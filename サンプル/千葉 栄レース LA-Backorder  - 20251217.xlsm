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ba\Box\共用\D-Order\Invoice\"/>
    </mc:Choice>
  </mc:AlternateContent>
  <xr:revisionPtr revIDLastSave="0" documentId="13_ncr:1_{417B3A56-B84C-4368-9D21-EB66B1B74516}" xr6:coauthVersionLast="47" xr6:coauthVersionMax="47" xr10:uidLastSave="{00000000-0000-0000-0000-000000000000}"/>
  <bookViews>
    <workbookView xWindow="-120" yWindow="-120" windowWidth="29040" windowHeight="17520" tabRatio="774" xr2:uid="{00000000-000D-0000-FFFF-FFFF00000000}"/>
  </bookViews>
  <sheets>
    <sheet name="NY BackOrder" sheetId="1" r:id="rId1"/>
    <sheet name="取引先マスタ" sheetId="7" r:id="rId2"/>
    <sheet name="仕入先マスタ" sheetId="14" r:id="rId3"/>
    <sheet name="Invoice(SF米国)" sheetId="12" r:id="rId4"/>
    <sheet name="Invoice(SF大阪)" sheetId="13" r:id="rId5"/>
    <sheet name="発注書" sheetId="6" r:id="rId6"/>
    <sheet name="carton mark " sheetId="22" r:id="rId7"/>
    <sheet name="顧客連絡用シート" sheetId="19" r:id="rId8"/>
    <sheet name="Sheet2" sheetId="20" r:id="rId9"/>
    <sheet name="Sheet1" sheetId="21" r:id="rId10"/>
    <sheet name="Invoice(Sample)" sheetId="9" state="hidden" r:id="rId11"/>
  </sheets>
  <externalReferences>
    <externalReference r:id="rId12"/>
  </externalReferences>
  <definedNames>
    <definedName name="_xlnm._FilterDatabase" localSheetId="0" hidden="1">'NY BackOrder'!$C$20:$W$155</definedName>
    <definedName name="_xlnm._FilterDatabase" localSheetId="1" hidden="1">取引先マスタ!$A$1:$J$185</definedName>
    <definedName name="_List_Currency">[1]Master!$K$2:$K$5</definedName>
    <definedName name="_List_TradeCondition">[1]Master!$D$2:$D$5</definedName>
    <definedName name="_xlnm.Print_Area" localSheetId="6">'carton mark '!$A$1:$H$51</definedName>
    <definedName name="_xlnm.Print_Area" localSheetId="10">'Invoice(Sample)'!$C$4:$AH$63</definedName>
    <definedName name="_xlnm.Print_Area" localSheetId="4">'Invoice(SF大阪)'!$B$14:$K$80</definedName>
    <definedName name="_xlnm.Print_Area" localSheetId="3">'Invoice(SF米国)'!$B$14:$K$80</definedName>
    <definedName name="_xlnm.Print_Area" localSheetId="0">'NY BackOrder'!$C$1:$O$164</definedName>
    <definedName name="_xlnm.Print_Area" localSheetId="5">発注書!$B$28:$M$70</definedName>
    <definedName name="_xlnm.Print_Titles" localSheetId="4">'Invoice(SF大阪)'!$14:$35</definedName>
    <definedName name="_xlnm.Print_Titles" localSheetId="3">'Invoice(SF米国)'!$14:$35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06" i="1" l="1"/>
  <c r="T106" i="1" s="1"/>
  <c r="R106" i="1"/>
  <c r="P106" i="1"/>
  <c r="L106" i="1"/>
  <c r="W155" i="1" l="1"/>
  <c r="S154" i="1"/>
  <c r="T154" i="1" s="1"/>
  <c r="R154" i="1"/>
  <c r="P154" i="1"/>
  <c r="L154" i="1"/>
  <c r="W153" i="1"/>
  <c r="W152" i="1"/>
  <c r="S151" i="1"/>
  <c r="T151" i="1" s="1"/>
  <c r="R151" i="1"/>
  <c r="P151" i="1"/>
  <c r="L151" i="1"/>
  <c r="W150" i="1"/>
  <c r="W55" i="1"/>
  <c r="W149" i="1" l="1"/>
  <c r="S148" i="1"/>
  <c r="T148" i="1" s="1"/>
  <c r="R148" i="1"/>
  <c r="P148" i="1"/>
  <c r="L148" i="1"/>
  <c r="W147" i="1"/>
  <c r="W137" i="1"/>
  <c r="W143" i="1"/>
  <c r="S142" i="1"/>
  <c r="T142" i="1" s="1"/>
  <c r="R142" i="1"/>
  <c r="P142" i="1"/>
  <c r="L142" i="1"/>
  <c r="W141" i="1"/>
  <c r="W128" i="1"/>
  <c r="S145" i="1"/>
  <c r="T145" i="1" s="1"/>
  <c r="R145" i="1"/>
  <c r="P145" i="1"/>
  <c r="L145" i="1"/>
  <c r="W146" i="1"/>
  <c r="W144" i="1"/>
  <c r="W140" i="1"/>
  <c r="S139" i="1"/>
  <c r="T139" i="1" s="1"/>
  <c r="R139" i="1"/>
  <c r="P139" i="1"/>
  <c r="L139" i="1"/>
  <c r="W138" i="1"/>
  <c r="S121" i="1"/>
  <c r="T121" i="1" s="1"/>
  <c r="R121" i="1"/>
  <c r="P121" i="1"/>
  <c r="L121" i="1"/>
  <c r="S136" i="1"/>
  <c r="T136" i="1" s="1"/>
  <c r="R136" i="1"/>
  <c r="P136" i="1"/>
  <c r="L136" i="1"/>
  <c r="W135" i="1"/>
  <c r="W134" i="1"/>
  <c r="S133" i="1"/>
  <c r="T133" i="1" s="1"/>
  <c r="R133" i="1"/>
  <c r="P133" i="1"/>
  <c r="L133" i="1"/>
  <c r="W132" i="1"/>
  <c r="W131" i="1"/>
  <c r="S130" i="1"/>
  <c r="T130" i="1" s="1"/>
  <c r="R130" i="1"/>
  <c r="P130" i="1"/>
  <c r="L130" i="1"/>
  <c r="W129" i="1"/>
  <c r="S126" i="1"/>
  <c r="T126" i="1" s="1"/>
  <c r="R126" i="1"/>
  <c r="P126" i="1"/>
  <c r="L126" i="1"/>
  <c r="S127" i="1"/>
  <c r="T127" i="1" s="1"/>
  <c r="R127" i="1"/>
  <c r="P127" i="1"/>
  <c r="L127" i="1"/>
  <c r="S125" i="1"/>
  <c r="T125" i="1" s="1"/>
  <c r="R125" i="1"/>
  <c r="P125" i="1"/>
  <c r="L125" i="1"/>
  <c r="S124" i="1"/>
  <c r="T124" i="1" s="1"/>
  <c r="R124" i="1"/>
  <c r="P124" i="1"/>
  <c r="L124" i="1"/>
  <c r="W123" i="1"/>
  <c r="S120" i="1"/>
  <c r="T120" i="1" s="1"/>
  <c r="R120" i="1"/>
  <c r="P120" i="1"/>
  <c r="L120" i="1"/>
  <c r="W122" i="1"/>
  <c r="S119" i="1"/>
  <c r="T119" i="1" s="1"/>
  <c r="R119" i="1"/>
  <c r="P119" i="1"/>
  <c r="L119" i="1"/>
  <c r="W118" i="1"/>
  <c r="W117" i="1"/>
  <c r="S116" i="1"/>
  <c r="T116" i="1" s="1"/>
  <c r="R116" i="1"/>
  <c r="P116" i="1"/>
  <c r="L116" i="1"/>
  <c r="W115" i="1"/>
  <c r="W114" i="1"/>
  <c r="S113" i="1"/>
  <c r="T113" i="1" s="1"/>
  <c r="R113" i="1"/>
  <c r="P113" i="1"/>
  <c r="L113" i="1"/>
  <c r="W112" i="1"/>
  <c r="W111" i="1" l="1"/>
  <c r="S110" i="1"/>
  <c r="T110" i="1" s="1"/>
  <c r="R110" i="1"/>
  <c r="P110" i="1"/>
  <c r="L110" i="1"/>
  <c r="W109" i="1"/>
  <c r="S107" i="1"/>
  <c r="T107" i="1" s="1"/>
  <c r="R107" i="1"/>
  <c r="P107" i="1"/>
  <c r="L107" i="1"/>
  <c r="S105" i="1"/>
  <c r="T105" i="1" s="1"/>
  <c r="R105" i="1"/>
  <c r="P105" i="1"/>
  <c r="L105" i="1"/>
  <c r="S104" i="1"/>
  <c r="T104" i="1" s="1"/>
  <c r="R104" i="1"/>
  <c r="P104" i="1"/>
  <c r="L104" i="1"/>
  <c r="S103" i="1"/>
  <c r="T103" i="1" s="1"/>
  <c r="R103" i="1"/>
  <c r="P103" i="1"/>
  <c r="L103" i="1"/>
  <c r="S102" i="1"/>
  <c r="T102" i="1" s="1"/>
  <c r="R102" i="1"/>
  <c r="P102" i="1"/>
  <c r="L102" i="1"/>
  <c r="S101" i="1"/>
  <c r="T101" i="1" s="1"/>
  <c r="R101" i="1"/>
  <c r="P101" i="1"/>
  <c r="L101" i="1"/>
  <c r="W108" i="1"/>
  <c r="S100" i="1"/>
  <c r="T100" i="1" s="1"/>
  <c r="R100" i="1"/>
  <c r="P100" i="1"/>
  <c r="L100" i="1"/>
  <c r="W99" i="1"/>
  <c r="W88" i="1" l="1"/>
  <c r="S87" i="1"/>
  <c r="T87" i="1" s="1"/>
  <c r="R87" i="1"/>
  <c r="P87" i="1"/>
  <c r="L87" i="1"/>
  <c r="W86" i="1"/>
  <c r="F3111" i="19"/>
  <c r="F3112" i="19"/>
  <c r="F3113" i="19"/>
  <c r="F3114" i="19"/>
  <c r="F3115" i="19"/>
  <c r="L97" i="1"/>
  <c r="P97" i="1"/>
  <c r="R97" i="1"/>
  <c r="S97" i="1"/>
  <c r="T97" i="1" s="1"/>
  <c r="W98" i="1"/>
  <c r="W96" i="1"/>
  <c r="S94" i="1"/>
  <c r="T94" i="1" s="1"/>
  <c r="P94" i="1"/>
  <c r="R94" i="1"/>
  <c r="L94" i="1"/>
  <c r="W95" i="1"/>
  <c r="S93" i="1"/>
  <c r="T93" i="1" s="1"/>
  <c r="R93" i="1"/>
  <c r="P93" i="1"/>
  <c r="L93" i="1"/>
  <c r="S91" i="1"/>
  <c r="T91" i="1" s="1"/>
  <c r="R91" i="1"/>
  <c r="P91" i="1"/>
  <c r="L91" i="1"/>
  <c r="S92" i="1"/>
  <c r="T92" i="1" s="1"/>
  <c r="R92" i="1"/>
  <c r="P92" i="1"/>
  <c r="L92" i="1"/>
  <c r="S90" i="1"/>
  <c r="T90" i="1" s="1"/>
  <c r="R90" i="1"/>
  <c r="P90" i="1"/>
  <c r="L90" i="1"/>
  <c r="W89" i="1"/>
  <c r="W85" i="1"/>
  <c r="S84" i="1"/>
  <c r="T84" i="1" s="1"/>
  <c r="R84" i="1"/>
  <c r="P84" i="1"/>
  <c r="L84" i="1"/>
  <c r="S83" i="1"/>
  <c r="T83" i="1" s="1"/>
  <c r="R83" i="1"/>
  <c r="P83" i="1"/>
  <c r="L83" i="1"/>
  <c r="W82" i="1"/>
  <c r="W81" i="1"/>
  <c r="S80" i="1"/>
  <c r="T80" i="1" s="1"/>
  <c r="R80" i="1"/>
  <c r="P80" i="1"/>
  <c r="L80" i="1"/>
  <c r="W79" i="1"/>
  <c r="W78" i="1"/>
  <c r="W75" i="1"/>
  <c r="S74" i="1"/>
  <c r="T74" i="1" s="1"/>
  <c r="R74" i="1"/>
  <c r="P74" i="1"/>
  <c r="L74" i="1"/>
  <c r="W73" i="1"/>
  <c r="S77" i="1"/>
  <c r="T77" i="1" s="1"/>
  <c r="R77" i="1"/>
  <c r="P77" i="1"/>
  <c r="L77" i="1"/>
  <c r="W76" i="1"/>
  <c r="W72" i="1"/>
  <c r="S71" i="1"/>
  <c r="T71" i="1" s="1"/>
  <c r="R71" i="1"/>
  <c r="P71" i="1"/>
  <c r="L71" i="1"/>
  <c r="W70" i="1"/>
  <c r="W47" i="1"/>
  <c r="W69" i="1" l="1"/>
  <c r="S67" i="1"/>
  <c r="T67" i="1" s="1"/>
  <c r="R67" i="1"/>
  <c r="P67" i="1"/>
  <c r="L67" i="1"/>
  <c r="S68" i="1"/>
  <c r="T68" i="1" s="1"/>
  <c r="R68" i="1"/>
  <c r="P68" i="1"/>
  <c r="L68" i="1"/>
  <c r="W66" i="1"/>
  <c r="W65" i="1"/>
  <c r="S64" i="1"/>
  <c r="T64" i="1" s="1"/>
  <c r="P64" i="1"/>
  <c r="W63" i="1"/>
  <c r="S61" i="1"/>
  <c r="T61" i="1" s="1"/>
  <c r="R61" i="1"/>
  <c r="P61" i="1"/>
  <c r="L61" i="1"/>
  <c r="W62" i="1"/>
  <c r="S60" i="1"/>
  <c r="T60" i="1" s="1"/>
  <c r="R60" i="1"/>
  <c r="P60" i="1"/>
  <c r="L60" i="1"/>
  <c r="W59" i="1"/>
  <c r="W58" i="1"/>
  <c r="S57" i="1"/>
  <c r="T57" i="1" s="1"/>
  <c r="R57" i="1"/>
  <c r="P57" i="1"/>
  <c r="L57" i="1"/>
  <c r="W56" i="1"/>
  <c r="S54" i="1"/>
  <c r="T54" i="1" s="1"/>
  <c r="R54" i="1"/>
  <c r="P54" i="1"/>
  <c r="L54" i="1"/>
  <c r="S53" i="1"/>
  <c r="T53" i="1" s="1"/>
  <c r="R53" i="1"/>
  <c r="P53" i="1"/>
  <c r="L53" i="1"/>
  <c r="S52" i="1"/>
  <c r="T52" i="1" s="1"/>
  <c r="R52" i="1"/>
  <c r="P52" i="1"/>
  <c r="L52" i="1"/>
  <c r="W51" i="1"/>
  <c r="L64" i="1" l="1"/>
  <c r="R64" i="1"/>
  <c r="W50" i="1"/>
  <c r="S49" i="1"/>
  <c r="T49" i="1" s="1"/>
  <c r="R49" i="1"/>
  <c r="P49" i="1"/>
  <c r="L49" i="1"/>
  <c r="W48" i="1"/>
  <c r="S45" i="1" l="1"/>
  <c r="T45" i="1" s="1"/>
  <c r="R45" i="1"/>
  <c r="P45" i="1"/>
  <c r="L45" i="1"/>
  <c r="W46" i="1"/>
  <c r="S44" i="1"/>
  <c r="T44" i="1" s="1"/>
  <c r="R44" i="1"/>
  <c r="P44" i="1"/>
  <c r="L44" i="1"/>
  <c r="S43" i="1"/>
  <c r="T43" i="1" s="1"/>
  <c r="R43" i="1"/>
  <c r="P43" i="1"/>
  <c r="L43" i="1"/>
  <c r="S42" i="1"/>
  <c r="T42" i="1" s="1"/>
  <c r="R42" i="1"/>
  <c r="P42" i="1"/>
  <c r="L42" i="1"/>
  <c r="S41" i="1"/>
  <c r="T41" i="1" s="1"/>
  <c r="R41" i="1"/>
  <c r="P41" i="1"/>
  <c r="L41" i="1"/>
  <c r="S40" i="1"/>
  <c r="T40" i="1" s="1"/>
  <c r="R40" i="1"/>
  <c r="P40" i="1"/>
  <c r="L40" i="1"/>
  <c r="S39" i="1"/>
  <c r="T39" i="1" s="1"/>
  <c r="R39" i="1"/>
  <c r="P39" i="1"/>
  <c r="L39" i="1"/>
  <c r="S38" i="1"/>
  <c r="T38" i="1" s="1"/>
  <c r="R38" i="1"/>
  <c r="P38" i="1"/>
  <c r="L38" i="1"/>
  <c r="S37" i="1"/>
  <c r="T37" i="1" s="1"/>
  <c r="R37" i="1"/>
  <c r="P37" i="1"/>
  <c r="L37" i="1"/>
  <c r="S36" i="1"/>
  <c r="T36" i="1" s="1"/>
  <c r="R36" i="1"/>
  <c r="P36" i="1"/>
  <c r="L36" i="1"/>
  <c r="W35" i="1"/>
  <c r="W34" i="1"/>
  <c r="S33" i="1"/>
  <c r="T33" i="1" s="1"/>
  <c r="R33" i="1"/>
  <c r="P33" i="1"/>
  <c r="L33" i="1"/>
  <c r="S32" i="1"/>
  <c r="T32" i="1" s="1"/>
  <c r="R32" i="1"/>
  <c r="P32" i="1"/>
  <c r="L32" i="1"/>
  <c r="W31" i="1"/>
  <c r="W30" i="1"/>
  <c r="S29" i="1"/>
  <c r="T29" i="1" s="1"/>
  <c r="R29" i="1"/>
  <c r="P29" i="1"/>
  <c r="L29" i="1"/>
  <c r="W28" i="1"/>
  <c r="W23" i="1" l="1"/>
  <c r="S22" i="1"/>
  <c r="P22" i="1"/>
  <c r="J22" i="1"/>
  <c r="R22" i="1" s="1"/>
  <c r="W21" i="1"/>
  <c r="T22" i="1" l="1"/>
  <c r="L22" i="1"/>
  <c r="W27" i="1"/>
  <c r="S26" i="1"/>
  <c r="T26" i="1" s="1"/>
  <c r="R26" i="1"/>
  <c r="P26" i="1"/>
  <c r="L26" i="1"/>
  <c r="S25" i="1"/>
  <c r="T25" i="1" s="1"/>
  <c r="R25" i="1"/>
  <c r="P25" i="1"/>
  <c r="L25" i="1"/>
  <c r="W24" i="1"/>
  <c r="D3084" i="19" l="1"/>
  <c r="D3085" i="19"/>
  <c r="C3081" i="19"/>
  <c r="B3081" i="19" s="1"/>
  <c r="D3081" i="19" s="1"/>
  <c r="C3080" i="19"/>
  <c r="B3080" i="19" s="1"/>
  <c r="D3080" i="19" s="1"/>
  <c r="E3075" i="19" l="1"/>
  <c r="C3075" i="19" s="1"/>
  <c r="F3075" i="19" s="1"/>
  <c r="E3074" i="19"/>
  <c r="C3074" i="19" s="1"/>
  <c r="F3074" i="19" s="1"/>
  <c r="E3073" i="19"/>
  <c r="C3073" i="19" s="1"/>
  <c r="F3073" i="19" s="1"/>
  <c r="C3070" i="19"/>
  <c r="B3070" i="19" s="1"/>
  <c r="D3070" i="19" s="1"/>
  <c r="C3069" i="19"/>
  <c r="B3069" i="19" s="1"/>
  <c r="D3069" i="19" s="1"/>
  <c r="F3042" i="19" l="1"/>
  <c r="D3042" i="19" s="1"/>
  <c r="G3042" i="19" s="1"/>
  <c r="D3041" i="19"/>
  <c r="G3041" i="19" s="1"/>
  <c r="F3026" i="19" l="1"/>
  <c r="F3025" i="19"/>
  <c r="F3019" i="19" l="1"/>
  <c r="F3018" i="19"/>
  <c r="F3017" i="19"/>
  <c r="E3013" i="19" l="1"/>
  <c r="C3013" i="19" s="1"/>
  <c r="F3013" i="19" s="1"/>
  <c r="E3012" i="19"/>
  <c r="C3012" i="19" s="1"/>
  <c r="F3012" i="19" s="1"/>
  <c r="D3007" i="19" l="1"/>
  <c r="F3007" i="19" s="1"/>
  <c r="D3006" i="19"/>
  <c r="F3006" i="19" s="1"/>
  <c r="D3005" i="19"/>
  <c r="F3005" i="19" s="1"/>
  <c r="D3004" i="19"/>
  <c r="F3004" i="19" s="1"/>
  <c r="D3003" i="19"/>
  <c r="F3003" i="19" s="1"/>
  <c r="D3002" i="19"/>
  <c r="F3002" i="19" s="1"/>
  <c r="D3001" i="19"/>
  <c r="F3001" i="19" s="1"/>
  <c r="D3000" i="19"/>
  <c r="F3000" i="19" s="1"/>
  <c r="D2999" i="19"/>
  <c r="F2999" i="19" s="1"/>
  <c r="D2997" i="19"/>
  <c r="F2997" i="19" s="1"/>
  <c r="D2996" i="19"/>
  <c r="F2996" i="19" s="1"/>
  <c r="D2995" i="19"/>
  <c r="F2995" i="19" s="1"/>
  <c r="D2994" i="19"/>
  <c r="F2994" i="19" s="1"/>
  <c r="D2993" i="19"/>
  <c r="F2993" i="19" s="1"/>
  <c r="D2992" i="19"/>
  <c r="F2992" i="19" s="1"/>
  <c r="D2991" i="19"/>
  <c r="F2991" i="19" s="1"/>
  <c r="D2990" i="19"/>
  <c r="F2990" i="19" s="1"/>
  <c r="D2989" i="19"/>
  <c r="F2989" i="19" s="1"/>
  <c r="C2984" i="19" l="1"/>
  <c r="B2984" i="19" s="1"/>
  <c r="D2984" i="19" s="1"/>
  <c r="C2982" i="19"/>
  <c r="B2982" i="19" s="1"/>
  <c r="D2982" i="19" s="1"/>
  <c r="E2972" i="19" l="1"/>
  <c r="G2972" i="19" s="1"/>
  <c r="E2971" i="19"/>
  <c r="G2971" i="19" s="1"/>
  <c r="E2965" i="19" l="1"/>
  <c r="C2965" i="19" s="1"/>
  <c r="F2965" i="19" s="1"/>
  <c r="E2964" i="19"/>
  <c r="C2964" i="19" s="1"/>
  <c r="F2964" i="19" s="1"/>
  <c r="G2959" i="19" l="1"/>
  <c r="F2958" i="19"/>
  <c r="D2958" i="19" s="1"/>
  <c r="G2958" i="19" s="1"/>
  <c r="F2925" i="19" l="1"/>
  <c r="D2925" i="19" s="1"/>
  <c r="G2925" i="19" s="1"/>
  <c r="D2924" i="19"/>
  <c r="G2924" i="19" s="1"/>
  <c r="F2923" i="19"/>
  <c r="D2923" i="19" s="1"/>
  <c r="G2923" i="19" s="1"/>
  <c r="D2922" i="19"/>
  <c r="G2922" i="19" s="1"/>
  <c r="F2921" i="19"/>
  <c r="D2921" i="19" s="1"/>
  <c r="G2921" i="19" s="1"/>
  <c r="D2920" i="19"/>
  <c r="G2920" i="19" s="1"/>
  <c r="F2919" i="19"/>
  <c r="D2919" i="19" s="1"/>
  <c r="G2919" i="19" s="1"/>
  <c r="F2917" i="19"/>
  <c r="D2917" i="19" s="1"/>
  <c r="G2917" i="19" s="1"/>
  <c r="D2918" i="19"/>
  <c r="G2918" i="19" s="1"/>
  <c r="D2916" i="19"/>
  <c r="G2916" i="19" s="1"/>
  <c r="F2915" i="19"/>
  <c r="D2915" i="19" s="1"/>
  <c r="G2915" i="19" s="1"/>
  <c r="D2914" i="19"/>
  <c r="G2914" i="19" s="1"/>
  <c r="E2901" i="19" l="1"/>
  <c r="G2901" i="19" s="1"/>
  <c r="E2900" i="19"/>
  <c r="G2900" i="19" s="1"/>
  <c r="E2899" i="19"/>
  <c r="G2899" i="19" s="1"/>
  <c r="E2898" i="19"/>
  <c r="G2898" i="19" s="1"/>
  <c r="E2897" i="19"/>
  <c r="G2897" i="19" s="1"/>
  <c r="E2896" i="19"/>
  <c r="G2896" i="19" s="1"/>
  <c r="E2895" i="19"/>
  <c r="G2895" i="19" s="1"/>
  <c r="E2894" i="19"/>
  <c r="G2894" i="19" s="1"/>
  <c r="E2893" i="19"/>
  <c r="G2893" i="19" s="1"/>
  <c r="E2892" i="19"/>
  <c r="G2892" i="19" s="1"/>
  <c r="E2891" i="19"/>
  <c r="G2891" i="19" s="1"/>
  <c r="E2890" i="19"/>
  <c r="G2890" i="19" s="1"/>
  <c r="E2889" i="19"/>
  <c r="G2889" i="19" s="1"/>
  <c r="F2884" i="19"/>
  <c r="D2884" i="19" s="1"/>
  <c r="G2884" i="19" s="1"/>
  <c r="F2882" i="19"/>
  <c r="D2882" i="19" s="1"/>
  <c r="G2882" i="19" s="1"/>
  <c r="D2883" i="19"/>
  <c r="G2883" i="19" s="1"/>
  <c r="D2881" i="19"/>
  <c r="G2881" i="19" s="1"/>
  <c r="D2877" i="19"/>
  <c r="U53" i="9" l="1"/>
  <c r="L53" i="9"/>
  <c r="H53" i="9"/>
  <c r="AA52" i="9" s="1"/>
  <c r="AF52" i="9" s="1" a="1"/>
  <c r="AF52" i="9" s="1"/>
  <c r="AC52" i="9"/>
  <c r="Y52" i="9"/>
  <c r="W52" i="9"/>
  <c r="H52" i="9"/>
  <c r="D52" i="9"/>
  <c r="C52" i="9"/>
  <c r="U51" i="9"/>
  <c r="L51" i="9"/>
  <c r="H51" i="9"/>
  <c r="AA50" i="9" s="1"/>
  <c r="AF50" i="9" s="1" a="1"/>
  <c r="AF50" i="9" s="1"/>
  <c r="AC50" i="9"/>
  <c r="Y50" i="9"/>
  <c r="W50" i="9"/>
  <c r="H50" i="9"/>
  <c r="D50" i="9"/>
  <c r="C50" i="9"/>
  <c r="U49" i="9"/>
  <c r="L49" i="9"/>
  <c r="H49" i="9"/>
  <c r="AA48" i="9" s="1"/>
  <c r="AF48" i="9" s="1" a="1"/>
  <c r="AF48" i="9" s="1"/>
  <c r="AC48" i="9"/>
  <c r="Y48" i="9"/>
  <c r="W48" i="9"/>
  <c r="H48" i="9"/>
  <c r="D48" i="9"/>
  <c r="C48" i="9"/>
  <c r="U47" i="9"/>
  <c r="L47" i="9"/>
  <c r="H47" i="9"/>
  <c r="AA46" i="9" s="1"/>
  <c r="AF46" i="9" s="1" a="1"/>
  <c r="AF46" i="9" s="1"/>
  <c r="AC46" i="9"/>
  <c r="Y46" i="9"/>
  <c r="W46" i="9"/>
  <c r="H46" i="9"/>
  <c r="D46" i="9"/>
  <c r="C46" i="9"/>
  <c r="U45" i="9"/>
  <c r="L45" i="9"/>
  <c r="H45" i="9"/>
  <c r="AA44" i="9" s="1"/>
  <c r="AF44" i="9" s="1" a="1"/>
  <c r="AF44" i="9" s="1"/>
  <c r="AC44" i="9"/>
  <c r="Y44" i="9"/>
  <c r="W44" i="9"/>
  <c r="H44" i="9"/>
  <c r="D44" i="9"/>
  <c r="C44" i="9"/>
  <c r="U43" i="9"/>
  <c r="L43" i="9"/>
  <c r="H43" i="9"/>
  <c r="AA42" i="9" s="1"/>
  <c r="AF42" i="9" s="1" a="1"/>
  <c r="AF42" i="9" s="1"/>
  <c r="AC42" i="9"/>
  <c r="Y42" i="9"/>
  <c r="W42" i="9"/>
  <c r="H42" i="9"/>
  <c r="D42" i="9"/>
  <c r="C42" i="9"/>
  <c r="U41" i="9"/>
  <c r="L41" i="9"/>
  <c r="H41" i="9"/>
  <c r="AA40" i="9" s="1"/>
  <c r="AF40" i="9" s="1" a="1"/>
  <c r="AF40" i="9" s="1"/>
  <c r="AC40" i="9"/>
  <c r="Y40" i="9"/>
  <c r="W40" i="9"/>
  <c r="H40" i="9"/>
  <c r="D40" i="9"/>
  <c r="C40" i="9"/>
  <c r="U39" i="9"/>
  <c r="L39" i="9"/>
  <c r="H39" i="9"/>
  <c r="AA38" i="9" s="1"/>
  <c r="AF38" i="9" s="1" a="1"/>
  <c r="AF38" i="9" s="1"/>
  <c r="AC38" i="9"/>
  <c r="Y38" i="9"/>
  <c r="W38" i="9"/>
  <c r="H38" i="9"/>
  <c r="D38" i="9"/>
  <c r="C38" i="9"/>
  <c r="U37" i="9"/>
  <c r="L37" i="9"/>
  <c r="H37" i="9"/>
  <c r="AA36" i="9" s="1"/>
  <c r="AF36" i="9" s="1" a="1"/>
  <c r="AF36" i="9" s="1"/>
  <c r="AC36" i="9"/>
  <c r="Y36" i="9"/>
  <c r="W36" i="9"/>
  <c r="H36" i="9"/>
  <c r="D36" i="9"/>
  <c r="C36" i="9"/>
  <c r="U35" i="9"/>
  <c r="L35" i="9"/>
  <c r="H35" i="9"/>
  <c r="AA34" i="9" s="1"/>
  <c r="AF34" i="9" s="1" a="1"/>
  <c r="AF34" i="9" s="1"/>
  <c r="AC34" i="9"/>
  <c r="Y34" i="9"/>
  <c r="W34" i="9"/>
  <c r="H34" i="9"/>
  <c r="D34" i="9"/>
  <c r="C34" i="9"/>
  <c r="U33" i="9"/>
  <c r="L33" i="9"/>
  <c r="H33" i="9"/>
  <c r="AA32" i="9" s="1"/>
  <c r="AF32" i="9" s="1" a="1"/>
  <c r="AF32" i="9" s="1"/>
  <c r="AC32" i="9"/>
  <c r="Y32" i="9"/>
  <c r="W32" i="9"/>
  <c r="H32" i="9"/>
  <c r="D32" i="9"/>
  <c r="C32" i="9"/>
  <c r="U31" i="9"/>
  <c r="L31" i="9"/>
  <c r="H31" i="9"/>
  <c r="AA30" i="9" s="1"/>
  <c r="AF30" i="9" s="1" a="1"/>
  <c r="AF30" i="9" s="1"/>
  <c r="AC30" i="9"/>
  <c r="Y30" i="9"/>
  <c r="W30" i="9"/>
  <c r="H30" i="9"/>
  <c r="D30" i="9"/>
  <c r="C30" i="9"/>
  <c r="U29" i="9"/>
  <c r="L29" i="9"/>
  <c r="H29" i="9"/>
  <c r="AA28" i="9" s="1"/>
  <c r="AF28" i="9" s="1" a="1"/>
  <c r="AF28" i="9" s="1"/>
  <c r="AC28" i="9"/>
  <c r="Y28" i="9"/>
  <c r="W28" i="9"/>
  <c r="H28" i="9"/>
  <c r="D28" i="9"/>
  <c r="C28" i="9"/>
  <c r="U27" i="9"/>
  <c r="L27" i="9"/>
  <c r="H27" i="9"/>
  <c r="AA26" i="9" s="1"/>
  <c r="AF26" i="9" s="1" a="1"/>
  <c r="AF26" i="9" s="1"/>
  <c r="AC26" i="9"/>
  <c r="Y26" i="9"/>
  <c r="W26" i="9"/>
  <c r="H26" i="9"/>
  <c r="D26" i="9"/>
  <c r="D109" i="20"/>
  <c r="D99" i="20"/>
  <c r="D98" i="20"/>
  <c r="E89" i="20"/>
  <c r="E88" i="20"/>
  <c r="F2804" i="19"/>
  <c r="F2803" i="19"/>
  <c r="F2797" i="19"/>
  <c r="F2796" i="19"/>
  <c r="F2793" i="19"/>
  <c r="F2792" i="19"/>
  <c r="F2787" i="19"/>
  <c r="F2786" i="19"/>
  <c r="F2784" i="19"/>
  <c r="F2782" i="19"/>
  <c r="F2779" i="19"/>
  <c r="F2778" i="19"/>
  <c r="F2777" i="19"/>
  <c r="F2776" i="19"/>
  <c r="F2774" i="19"/>
  <c r="F2772" i="19"/>
  <c r="D2766" i="19"/>
  <c r="G2766" i="19" s="1"/>
  <c r="D2765" i="19"/>
  <c r="G2765" i="19" s="1"/>
  <c r="G2764" i="19"/>
  <c r="D2762" i="19"/>
  <c r="G2762" i="19" s="1"/>
  <c r="F2761" i="19"/>
  <c r="D2761" i="19" s="1"/>
  <c r="G2761" i="19" s="1"/>
  <c r="D2760" i="19"/>
  <c r="G2760" i="19" s="1"/>
  <c r="D2758" i="19"/>
  <c r="G2758" i="19" s="1"/>
  <c r="F2757" i="19"/>
  <c r="D2757" i="19" s="1"/>
  <c r="G2757" i="19" s="1"/>
  <c r="D2756" i="19"/>
  <c r="G2756" i="19" s="1"/>
  <c r="D2754" i="19"/>
  <c r="G2754" i="19" s="1"/>
  <c r="F2753" i="19"/>
  <c r="D2753" i="19" s="1"/>
  <c r="G2753" i="19" s="1"/>
  <c r="D2752" i="19"/>
  <c r="G2752" i="19" s="1"/>
  <c r="C2746" i="19"/>
  <c r="D2746" i="19" s="1"/>
  <c r="C2745" i="19"/>
  <c r="D2745" i="19" s="1"/>
  <c r="C2739" i="19"/>
  <c r="B2739" i="19" s="1"/>
  <c r="D2739" i="19" s="1"/>
  <c r="C2738" i="19"/>
  <c r="D2738" i="19" s="1"/>
  <c r="C2737" i="19"/>
  <c r="B2737" i="19" s="1"/>
  <c r="D2737" i="19" s="1"/>
  <c r="C2736" i="19"/>
  <c r="B2736" i="19" s="1"/>
  <c r="D2736" i="19" s="1"/>
  <c r="C2731" i="19"/>
  <c r="C2730" i="19"/>
  <c r="C2728" i="19"/>
  <c r="C2723" i="19"/>
  <c r="C2722" i="19"/>
  <c r="C2721" i="19"/>
  <c r="C2720" i="19"/>
  <c r="C2716" i="19"/>
  <c r="C2715" i="19"/>
  <c r="C2714" i="19"/>
  <c r="C2713" i="19"/>
  <c r="C2711" i="19"/>
  <c r="C2710" i="19"/>
  <c r="C2709" i="19"/>
  <c r="C2708" i="19"/>
  <c r="C2707" i="19"/>
  <c r="C2706" i="19"/>
  <c r="C2705" i="19"/>
  <c r="C2704" i="19"/>
  <c r="C2702" i="19"/>
  <c r="C2701" i="19"/>
  <c r="C2700" i="19"/>
  <c r="C2699" i="19"/>
  <c r="C2698" i="19"/>
  <c r="C2697" i="19"/>
  <c r="C2696" i="19"/>
  <c r="C2695" i="19"/>
  <c r="C2694" i="19"/>
  <c r="C2693" i="19"/>
  <c r="C2692" i="19"/>
  <c r="E2687" i="19"/>
  <c r="C2687" i="19" s="1"/>
  <c r="F2687" i="19" s="1"/>
  <c r="E2686" i="19"/>
  <c r="C2686" i="19" s="1"/>
  <c r="F2686" i="19" s="1"/>
  <c r="E2684" i="19"/>
  <c r="C2684" i="19" s="1"/>
  <c r="F2684" i="19" s="1"/>
  <c r="E2683" i="19"/>
  <c r="C2683" i="19" s="1"/>
  <c r="F2683" i="19" s="1"/>
  <c r="E2681" i="19"/>
  <c r="C2681" i="19" s="1"/>
  <c r="F2681" i="19" s="1"/>
  <c r="E2680" i="19"/>
  <c r="C2680" i="19" s="1"/>
  <c r="F2680" i="19" s="1"/>
  <c r="F2675" i="19"/>
  <c r="D2675" i="19" s="1"/>
  <c r="G2675" i="19" s="1"/>
  <c r="D2674" i="19"/>
  <c r="G2674" i="19" s="1"/>
  <c r="F2673" i="19"/>
  <c r="D2673" i="19" s="1"/>
  <c r="G2673" i="19" s="1"/>
  <c r="D2672" i="19"/>
  <c r="G2672" i="19" s="1"/>
  <c r="F2671" i="19"/>
  <c r="D2671" i="19" s="1"/>
  <c r="G2671" i="19" s="1"/>
  <c r="D2670" i="19"/>
  <c r="G2670" i="19" s="1"/>
  <c r="F2669" i="19"/>
  <c r="D2669" i="19" s="1"/>
  <c r="G2669" i="19" s="1"/>
  <c r="D2668" i="19"/>
  <c r="G2668" i="19" s="1"/>
  <c r="F2667" i="19"/>
  <c r="D2667" i="19" s="1"/>
  <c r="G2667" i="19" s="1"/>
  <c r="D2666" i="19"/>
  <c r="G2666" i="19" s="1"/>
  <c r="F2665" i="19"/>
  <c r="D2665" i="19" s="1"/>
  <c r="G2665" i="19" s="1"/>
  <c r="D2664" i="19"/>
  <c r="G2664" i="19" s="1"/>
  <c r="F2663" i="19"/>
  <c r="D2663" i="19" s="1"/>
  <c r="G2663" i="19" s="1"/>
  <c r="D2662" i="19"/>
  <c r="G2662" i="19" s="1"/>
  <c r="F2661" i="19"/>
  <c r="D2661" i="19" s="1"/>
  <c r="G2661" i="19" s="1"/>
  <c r="D2660" i="19"/>
  <c r="G2660" i="19" s="1"/>
  <c r="F2659" i="19"/>
  <c r="D2659" i="19" s="1"/>
  <c r="G2659" i="19" s="1"/>
  <c r="D2658" i="19"/>
  <c r="G2658" i="19" s="1"/>
  <c r="D2653" i="19"/>
  <c r="B2653" i="19" s="1"/>
  <c r="E2653" i="19" s="1"/>
  <c r="D2652" i="19"/>
  <c r="B2652" i="19" s="1"/>
  <c r="E2652" i="19" s="1"/>
  <c r="B2651" i="19"/>
  <c r="E2651" i="19" s="1"/>
  <c r="D2649" i="19"/>
  <c r="B2649" i="19" s="1"/>
  <c r="E2649" i="19" s="1"/>
  <c r="D2648" i="19"/>
  <c r="B2648" i="19" s="1"/>
  <c r="E2648" i="19" s="1"/>
  <c r="D2627" i="19"/>
  <c r="B2627" i="19" s="1"/>
  <c r="E2627" i="19" s="1"/>
  <c r="D2626" i="19"/>
  <c r="B2626" i="19" s="1"/>
  <c r="E2626" i="19" s="1"/>
  <c r="B2625" i="19"/>
  <c r="E2625" i="19" s="1"/>
  <c r="D2623" i="19"/>
  <c r="B2623" i="19" s="1"/>
  <c r="E2623" i="19" s="1"/>
  <c r="D2622" i="19"/>
  <c r="B2622" i="19" s="1"/>
  <c r="E2622" i="19" s="1"/>
  <c r="C2612" i="19"/>
  <c r="B2612" i="19" s="1"/>
  <c r="D2612" i="19" s="1"/>
  <c r="C2611" i="19"/>
  <c r="B2611" i="19" s="1"/>
  <c r="D2611" i="19" s="1"/>
  <c r="C2606" i="19"/>
  <c r="D2606" i="19" s="1"/>
  <c r="C2605" i="19"/>
  <c r="D2605" i="19" s="1"/>
  <c r="G2597" i="19"/>
  <c r="E2596" i="19"/>
  <c r="G2596" i="19" s="1"/>
  <c r="E2595" i="19"/>
  <c r="G2595" i="19" s="1"/>
  <c r="E2594" i="19"/>
  <c r="G2594" i="19" s="1"/>
  <c r="E2593" i="19"/>
  <c r="G2593" i="19" s="1"/>
  <c r="E2592" i="19"/>
  <c r="G2592" i="19" s="1"/>
  <c r="E2591" i="19"/>
  <c r="G2591" i="19" s="1"/>
  <c r="F2586" i="19"/>
  <c r="D2586" i="19" s="1"/>
  <c r="G2586" i="19" s="1"/>
  <c r="D2585" i="19"/>
  <c r="G2585" i="19" s="1"/>
  <c r="S2566" i="19"/>
  <c r="W2566" i="19" s="1"/>
  <c r="R2566" i="19"/>
  <c r="L2566" i="19"/>
  <c r="T2565" i="19"/>
  <c r="R2565" i="19"/>
  <c r="P2565" i="19"/>
  <c r="K2565" i="19"/>
  <c r="L2565" i="19" s="1"/>
  <c r="T2563" i="19"/>
  <c r="R2563" i="19"/>
  <c r="P2563" i="19"/>
  <c r="K2563" i="19"/>
  <c r="L2563" i="19" s="1"/>
  <c r="T2561" i="19"/>
  <c r="R2561" i="19"/>
  <c r="P2561" i="19"/>
  <c r="K2561" i="19"/>
  <c r="L2561" i="19" s="1"/>
  <c r="T2559" i="19"/>
  <c r="R2559" i="19"/>
  <c r="P2559" i="19"/>
  <c r="K2559" i="19"/>
  <c r="L2559" i="19" s="1"/>
  <c r="T2557" i="19"/>
  <c r="R2557" i="19"/>
  <c r="P2557" i="19"/>
  <c r="K2557" i="19"/>
  <c r="L2557" i="19" s="1"/>
  <c r="T2555" i="19"/>
  <c r="R2555" i="19"/>
  <c r="P2555" i="19"/>
  <c r="K2555" i="19"/>
  <c r="L2555" i="19" s="1"/>
  <c r="T2553" i="19"/>
  <c r="R2553" i="19"/>
  <c r="P2553" i="19"/>
  <c r="K2553" i="19"/>
  <c r="L2553" i="19" s="1"/>
  <c r="T2551" i="19"/>
  <c r="R2551" i="19"/>
  <c r="P2551" i="19"/>
  <c r="K2551" i="19"/>
  <c r="L2551" i="19" s="1"/>
  <c r="T2549" i="19"/>
  <c r="R2549" i="19"/>
  <c r="P2549" i="19"/>
  <c r="K2549" i="19"/>
  <c r="L2549" i="19" s="1"/>
  <c r="T2548" i="19"/>
  <c r="R2548" i="19"/>
  <c r="P2548" i="19"/>
  <c r="K2548" i="19"/>
  <c r="L2548" i="19" s="1"/>
  <c r="T2546" i="19"/>
  <c r="R2546" i="19"/>
  <c r="P2546" i="19"/>
  <c r="K2546" i="19"/>
  <c r="L2546" i="19" s="1"/>
  <c r="T2544" i="19"/>
  <c r="R2544" i="19"/>
  <c r="P2544" i="19"/>
  <c r="K2544" i="19"/>
  <c r="L2544" i="19" s="1"/>
  <c r="T2543" i="19"/>
  <c r="R2543" i="19"/>
  <c r="P2543" i="19"/>
  <c r="K2543" i="19"/>
  <c r="L2543" i="19" s="1"/>
  <c r="T2541" i="19"/>
  <c r="R2541" i="19"/>
  <c r="P2541" i="19"/>
  <c r="K2541" i="19"/>
  <c r="L2541" i="19" s="1"/>
  <c r="T2539" i="19"/>
  <c r="R2539" i="19"/>
  <c r="P2539" i="19"/>
  <c r="K2539" i="19"/>
  <c r="L2539" i="19" s="1"/>
  <c r="T2538" i="19"/>
  <c r="R2538" i="19"/>
  <c r="P2538" i="19"/>
  <c r="K2538" i="19"/>
  <c r="L2538" i="19" s="1"/>
  <c r="T2536" i="19"/>
  <c r="R2536" i="19"/>
  <c r="P2536" i="19"/>
  <c r="K2536" i="19"/>
  <c r="L2536" i="19" s="1"/>
  <c r="T2534" i="19"/>
  <c r="R2534" i="19"/>
  <c r="P2534" i="19"/>
  <c r="K2534" i="19"/>
  <c r="L2534" i="19" s="1"/>
  <c r="T2532" i="19"/>
  <c r="R2532" i="19"/>
  <c r="P2532" i="19"/>
  <c r="K2532" i="19"/>
  <c r="L2532" i="19" s="1"/>
  <c r="T2531" i="19"/>
  <c r="R2531" i="19"/>
  <c r="P2531" i="19"/>
  <c r="K2531" i="19"/>
  <c r="L2531" i="19" s="1"/>
  <c r="T2529" i="19"/>
  <c r="R2529" i="19"/>
  <c r="P2529" i="19"/>
  <c r="K2529" i="19"/>
  <c r="L2529" i="19" s="1"/>
  <c r="T2527" i="19"/>
  <c r="R2527" i="19"/>
  <c r="P2527" i="19"/>
  <c r="K2527" i="19"/>
  <c r="L2527" i="19" s="1"/>
  <c r="T2526" i="19"/>
  <c r="R2526" i="19"/>
  <c r="P2526" i="19"/>
  <c r="K2526" i="19"/>
  <c r="L2526" i="19" s="1"/>
  <c r="T2525" i="19"/>
  <c r="R2525" i="19"/>
  <c r="P2525" i="19"/>
  <c r="K2525" i="19"/>
  <c r="L2525" i="19" s="1"/>
  <c r="T2524" i="19"/>
  <c r="R2524" i="19"/>
  <c r="P2524" i="19"/>
  <c r="K2524" i="19"/>
  <c r="L2524" i="19" s="1"/>
  <c r="T2523" i="19"/>
  <c r="R2523" i="19"/>
  <c r="P2523" i="19"/>
  <c r="K2523" i="19"/>
  <c r="L2523" i="19" s="1"/>
  <c r="T2522" i="19"/>
  <c r="R2522" i="19"/>
  <c r="P2522" i="19"/>
  <c r="K2522" i="19"/>
  <c r="L2522" i="19" s="1"/>
  <c r="T2521" i="19"/>
  <c r="R2521" i="19"/>
  <c r="P2521" i="19"/>
  <c r="K2521" i="19"/>
  <c r="L2521" i="19" s="1"/>
  <c r="T2520" i="19"/>
  <c r="R2520" i="19"/>
  <c r="P2520" i="19"/>
  <c r="K2520" i="19"/>
  <c r="L2520" i="19" s="1"/>
  <c r="T2519" i="19"/>
  <c r="R2519" i="19"/>
  <c r="P2519" i="19"/>
  <c r="K2519" i="19"/>
  <c r="L2519" i="19" s="1"/>
  <c r="D2515" i="19"/>
  <c r="G2515" i="19" s="1"/>
  <c r="D2514" i="19"/>
  <c r="G2514" i="19" s="1"/>
  <c r="F2513" i="19"/>
  <c r="D2513" i="19" s="1"/>
  <c r="G2513" i="19" s="1"/>
  <c r="D2512" i="19"/>
  <c r="G2512" i="19" s="1"/>
  <c r="D2511" i="19"/>
  <c r="G2511" i="19" s="1"/>
  <c r="D2510" i="19"/>
  <c r="G2510" i="19" s="1"/>
  <c r="F2509" i="19"/>
  <c r="D2509" i="19" s="1"/>
  <c r="G2509" i="19" s="1"/>
  <c r="D2508" i="19"/>
  <c r="G2508" i="19" s="1"/>
  <c r="F2507" i="19"/>
  <c r="D2507" i="19" s="1"/>
  <c r="G2507" i="19" s="1"/>
  <c r="D2506" i="19"/>
  <c r="G2506" i="19" s="1"/>
  <c r="F2505" i="19"/>
  <c r="D2505" i="19" s="1"/>
  <c r="G2505" i="19" s="1"/>
  <c r="D2504" i="19"/>
  <c r="G2504" i="19" s="1"/>
  <c r="F2503" i="19"/>
  <c r="D2503" i="19" s="1"/>
  <c r="G2503" i="19" s="1"/>
  <c r="D2502" i="19"/>
  <c r="G2502" i="19" s="1"/>
  <c r="F2501" i="19"/>
  <c r="D2501" i="19" s="1"/>
  <c r="G2501" i="19" s="1"/>
  <c r="D2500" i="19"/>
  <c r="G2500" i="19" s="1"/>
  <c r="F2499" i="19"/>
  <c r="D2499" i="19" s="1"/>
  <c r="G2499" i="19" s="1"/>
  <c r="D2498" i="19"/>
  <c r="G2498" i="19" s="1"/>
  <c r="F2497" i="19"/>
  <c r="D2497" i="19" s="1"/>
  <c r="G2497" i="19" s="1"/>
  <c r="D2496" i="19"/>
  <c r="G2496" i="19" s="1"/>
  <c r="F2495" i="19"/>
  <c r="D2495" i="19" s="1"/>
  <c r="G2495" i="19" s="1"/>
  <c r="D2494" i="19"/>
  <c r="G2494" i="19" s="1"/>
  <c r="F2493" i="19"/>
  <c r="D2493" i="19" s="1"/>
  <c r="G2493" i="19" s="1"/>
  <c r="D2492" i="19"/>
  <c r="G2492" i="19" s="1"/>
  <c r="F2491" i="19"/>
  <c r="D2491" i="19" s="1"/>
  <c r="G2491" i="19" s="1"/>
  <c r="D2490" i="19"/>
  <c r="G2490" i="19" s="1"/>
  <c r="F2489" i="19"/>
  <c r="D2489" i="19" s="1"/>
  <c r="G2489" i="19" s="1"/>
  <c r="D2488" i="19"/>
  <c r="G2488" i="19" s="1"/>
  <c r="D2487" i="19"/>
  <c r="G2487" i="19" s="1"/>
  <c r="G2486" i="19"/>
  <c r="D2485" i="19"/>
  <c r="G2485" i="19" s="1"/>
  <c r="G2484" i="19"/>
  <c r="F2483" i="19"/>
  <c r="D2483" i="19" s="1"/>
  <c r="G2483" i="19" s="1"/>
  <c r="D2482" i="19"/>
  <c r="G2482" i="19" s="1"/>
  <c r="F2481" i="19"/>
  <c r="D2481" i="19" s="1"/>
  <c r="G2481" i="19" s="1"/>
  <c r="D2480" i="19"/>
  <c r="G2480" i="19" s="1"/>
  <c r="F2479" i="19"/>
  <c r="D2479" i="19" s="1"/>
  <c r="G2479" i="19" s="1"/>
  <c r="D2478" i="19"/>
  <c r="G2478" i="19" s="1"/>
  <c r="F2477" i="19"/>
  <c r="D2477" i="19" s="1"/>
  <c r="G2477" i="19" s="1"/>
  <c r="D2476" i="19"/>
  <c r="G2476" i="19" s="1"/>
  <c r="F2475" i="19"/>
  <c r="D2475" i="19" s="1"/>
  <c r="G2475" i="19" s="1"/>
  <c r="D2474" i="19"/>
  <c r="G2474" i="19" s="1"/>
  <c r="F2473" i="19"/>
  <c r="D2473" i="19" s="1"/>
  <c r="G2473" i="19" s="1"/>
  <c r="D2472" i="19"/>
  <c r="G2472" i="19" s="1"/>
  <c r="F2471" i="19"/>
  <c r="D2471" i="19" s="1"/>
  <c r="G2471" i="19" s="1"/>
  <c r="D2470" i="19"/>
  <c r="G2470" i="19" s="1"/>
  <c r="F2469" i="19"/>
  <c r="D2469" i="19" s="1"/>
  <c r="G2469" i="19" s="1"/>
  <c r="D2468" i="19"/>
  <c r="G2468" i="19" s="1"/>
  <c r="F2467" i="19"/>
  <c r="D2467" i="19" s="1"/>
  <c r="G2467" i="19" s="1"/>
  <c r="D2466" i="19"/>
  <c r="G2466" i="19" s="1"/>
  <c r="F2465" i="19"/>
  <c r="D2465" i="19"/>
  <c r="G2465" i="19" s="1"/>
  <c r="D2464" i="19"/>
  <c r="G2464" i="19" s="1"/>
  <c r="F2463" i="19"/>
  <c r="D2463" i="19" s="1"/>
  <c r="G2463" i="19" s="1"/>
  <c r="D2462" i="19"/>
  <c r="G2462" i="19" s="1"/>
  <c r="F2461" i="19"/>
  <c r="D2461" i="19" s="1"/>
  <c r="G2461" i="19" s="1"/>
  <c r="D2460" i="19"/>
  <c r="G2460" i="19" s="1"/>
  <c r="F2454" i="19"/>
  <c r="D2454" i="19" s="1"/>
  <c r="G2454" i="19" s="1"/>
  <c r="D2453" i="19"/>
  <c r="G2453" i="19" s="1"/>
  <c r="F2452" i="19"/>
  <c r="D2452" i="19" s="1"/>
  <c r="G2452" i="19" s="1"/>
  <c r="D2451" i="19"/>
  <c r="G2451" i="19" s="1"/>
  <c r="F2450" i="19"/>
  <c r="D2450" i="19" s="1"/>
  <c r="G2450" i="19" s="1"/>
  <c r="D2449" i="19"/>
  <c r="G2449" i="19" s="1"/>
  <c r="F2448" i="19"/>
  <c r="D2448" i="19" s="1"/>
  <c r="G2448" i="19" s="1"/>
  <c r="D2447" i="19"/>
  <c r="G2447" i="19" s="1"/>
  <c r="F2446" i="19"/>
  <c r="D2446" i="19" s="1"/>
  <c r="G2446" i="19" s="1"/>
  <c r="D2445" i="19"/>
  <c r="G2445" i="19" s="1"/>
  <c r="D2423" i="19"/>
  <c r="G2423" i="19" s="1"/>
  <c r="D2422" i="19"/>
  <c r="G2422" i="19" s="1"/>
  <c r="D2421" i="19"/>
  <c r="G2421" i="19" s="1"/>
  <c r="D2420" i="19"/>
  <c r="G2420" i="19" s="1"/>
  <c r="F2419" i="19"/>
  <c r="D2419" i="19" s="1"/>
  <c r="G2419" i="19" s="1"/>
  <c r="D2418" i="19"/>
  <c r="G2418" i="19" s="1"/>
  <c r="F2417" i="19"/>
  <c r="D2417" i="19" s="1"/>
  <c r="G2417" i="19" s="1"/>
  <c r="D2416" i="19"/>
  <c r="G2416" i="19" s="1"/>
  <c r="F2415" i="19"/>
  <c r="D2415" i="19" s="1"/>
  <c r="G2415" i="19" s="1"/>
  <c r="D2414" i="19"/>
  <c r="G2414" i="19" s="1"/>
  <c r="F2413" i="19"/>
  <c r="D2413" i="19" s="1"/>
  <c r="G2413" i="19" s="1"/>
  <c r="D2412" i="19"/>
  <c r="G2412" i="19" s="1"/>
  <c r="F2411" i="19"/>
  <c r="D2411" i="19" s="1"/>
  <c r="G2411" i="19" s="1"/>
  <c r="D2410" i="19"/>
  <c r="G2410" i="19" s="1"/>
  <c r="F2409" i="19"/>
  <c r="D2409" i="19" s="1"/>
  <c r="G2409" i="19" s="1"/>
  <c r="D2408" i="19"/>
  <c r="G2408" i="19" s="1"/>
  <c r="F2407" i="19"/>
  <c r="D2407" i="19" s="1"/>
  <c r="G2407" i="19" s="1"/>
  <c r="D2406" i="19"/>
  <c r="G2406" i="19" s="1"/>
  <c r="F2405" i="19"/>
  <c r="D2405" i="19" s="1"/>
  <c r="G2405" i="19" s="1"/>
  <c r="D2404" i="19"/>
  <c r="G2404" i="19" s="1"/>
  <c r="F2403" i="19"/>
  <c r="D2403" i="19" s="1"/>
  <c r="G2403" i="19" s="1"/>
  <c r="D2402" i="19"/>
  <c r="G2402" i="19" s="1"/>
  <c r="F2401" i="19"/>
  <c r="D2401" i="19" s="1"/>
  <c r="G2401" i="19" s="1"/>
  <c r="D2400" i="19"/>
  <c r="G2400" i="19" s="1"/>
  <c r="F2399" i="19"/>
  <c r="D2399" i="19" s="1"/>
  <c r="G2399" i="19" s="1"/>
  <c r="D2398" i="19"/>
  <c r="G2398" i="19" s="1"/>
  <c r="C2356" i="19"/>
  <c r="D2356" i="19" s="1"/>
  <c r="C2351" i="19"/>
  <c r="E2351" i="19" s="1"/>
  <c r="C2350" i="19"/>
  <c r="E2350" i="19" s="1"/>
  <c r="D2348" i="19"/>
  <c r="C2348" i="19" s="1"/>
  <c r="E2348" i="19" s="1"/>
  <c r="D2347" i="19"/>
  <c r="C2347" i="19" s="1"/>
  <c r="E2347" i="19" s="1"/>
  <c r="D2331" i="19"/>
  <c r="D2330" i="19"/>
  <c r="C2329" i="19"/>
  <c r="B2329" i="19" s="1"/>
  <c r="D2329" i="19" s="1"/>
  <c r="C2328" i="19"/>
  <c r="B2328" i="19" s="1"/>
  <c r="D2328" i="19" s="1"/>
  <c r="E2323" i="19"/>
  <c r="E2322" i="19"/>
  <c r="E2321" i="19"/>
  <c r="E2320" i="19"/>
  <c r="D2316" i="19"/>
  <c r="E2316" i="19" s="1"/>
  <c r="E2310" i="19"/>
  <c r="E2309" i="19"/>
  <c r="E2304" i="19"/>
  <c r="E2303" i="19"/>
  <c r="E2302" i="19"/>
  <c r="E2301" i="19"/>
  <c r="E2300" i="19"/>
  <c r="E2299" i="19"/>
  <c r="E2298" i="19"/>
  <c r="E2297" i="19"/>
  <c r="E2296" i="19"/>
  <c r="E2295" i="19"/>
  <c r="E2294" i="19"/>
  <c r="E2293" i="19"/>
  <c r="G2289" i="19"/>
  <c r="D2278" i="19"/>
  <c r="G2278" i="19" s="1"/>
  <c r="D2277" i="19"/>
  <c r="G2277" i="19" s="1"/>
  <c r="D2276" i="19"/>
  <c r="G2276" i="19" s="1"/>
  <c r="D2275" i="19"/>
  <c r="G2275" i="19" s="1"/>
  <c r="D2274" i="19"/>
  <c r="G2274" i="19" s="1"/>
  <c r="D2273" i="19"/>
  <c r="G2273" i="19" s="1"/>
  <c r="D2272" i="19"/>
  <c r="G2272" i="19" s="1"/>
  <c r="D2271" i="19"/>
  <c r="G2271" i="19" s="1"/>
  <c r="D2270" i="19"/>
  <c r="G2270" i="19" s="1"/>
  <c r="D2269" i="19"/>
  <c r="G2269" i="19" s="1"/>
  <c r="D2268" i="19"/>
  <c r="G2268" i="19" s="1"/>
  <c r="E2262" i="19"/>
  <c r="F2250" i="19"/>
  <c r="D2250" i="19" s="1"/>
  <c r="G2250" i="19" s="1"/>
  <c r="D2249" i="19"/>
  <c r="G2249" i="19" s="1"/>
  <c r="F2248" i="19"/>
  <c r="D2248" i="19" s="1"/>
  <c r="G2248" i="19" s="1"/>
  <c r="D2247" i="19"/>
  <c r="G2247" i="19" s="1"/>
  <c r="F2241" i="19"/>
  <c r="D2241" i="19" s="1"/>
  <c r="G2241" i="19" s="1"/>
  <c r="D2240" i="19"/>
  <c r="G2240" i="19" s="1"/>
  <c r="F2234" i="19"/>
  <c r="F2233" i="19"/>
  <c r="F2226" i="19"/>
  <c r="F2225" i="19"/>
  <c r="F2224" i="19"/>
  <c r="F2223" i="19"/>
  <c r="G2219" i="19"/>
  <c r="D2206" i="19"/>
  <c r="G2206" i="19" s="1"/>
  <c r="D2205" i="19"/>
  <c r="G2205" i="19" s="1"/>
  <c r="D2204" i="19"/>
  <c r="G2204" i="19" s="1"/>
  <c r="D2203" i="19"/>
  <c r="G2203" i="19" s="1"/>
  <c r="D2202" i="19"/>
  <c r="G2202" i="19" s="1"/>
  <c r="C2197" i="19"/>
  <c r="B2197" i="19" s="1"/>
  <c r="D2197" i="19" s="1"/>
  <c r="C2196" i="19"/>
  <c r="B2196" i="19" s="1"/>
  <c r="D2196" i="19" s="1"/>
  <c r="C2195" i="19"/>
  <c r="B2195" i="19" s="1"/>
  <c r="D2195" i="19" s="1"/>
  <c r="C2194" i="19"/>
  <c r="B2194" i="19" s="1"/>
  <c r="D2194" i="19" s="1"/>
  <c r="F2190" i="19"/>
  <c r="D2190" i="19" s="1"/>
  <c r="G2190" i="19" s="1"/>
  <c r="D2189" i="19"/>
  <c r="G2189" i="19" s="1"/>
  <c r="F2184" i="19"/>
  <c r="F2183" i="19"/>
  <c r="F2182" i="19"/>
  <c r="F2180" i="19"/>
  <c r="F2179" i="19"/>
  <c r="C2166" i="19"/>
  <c r="B2166" i="19" s="1"/>
  <c r="D2166" i="19" s="1"/>
  <c r="C2165" i="19"/>
  <c r="B2165" i="19" s="1"/>
  <c r="D2165" i="19" s="1"/>
  <c r="C2164" i="19"/>
  <c r="B2164" i="19" s="1"/>
  <c r="D2164" i="19" s="1"/>
  <c r="C2163" i="19"/>
  <c r="B2163" i="19" s="1"/>
  <c r="D2163" i="19" s="1"/>
  <c r="C2162" i="19"/>
  <c r="B2162" i="19" s="1"/>
  <c r="D2162" i="19" s="1"/>
  <c r="C2146" i="19"/>
  <c r="D2136" i="19"/>
  <c r="C2136" i="19" s="1"/>
  <c r="E2136" i="19" s="1"/>
  <c r="D2135" i="19"/>
  <c r="C2135" i="19" s="1"/>
  <c r="E2135" i="19" s="1"/>
  <c r="D2133" i="19"/>
  <c r="C2133" i="19" s="1"/>
  <c r="E2133" i="19" s="1"/>
  <c r="D2132" i="19"/>
  <c r="C2132" i="19" s="1"/>
  <c r="E2132" i="19" s="1"/>
  <c r="H2127" i="19"/>
  <c r="E2122" i="19"/>
  <c r="E2121" i="19"/>
  <c r="F2115" i="19"/>
  <c r="F2114" i="19"/>
  <c r="F2106" i="19"/>
  <c r="F2105" i="19"/>
  <c r="D2101" i="19"/>
  <c r="E2101" i="19" s="1"/>
  <c r="D2100" i="19"/>
  <c r="E2100" i="19" s="1"/>
  <c r="D2099" i="19"/>
  <c r="E2099" i="19" s="1"/>
  <c r="D2098" i="19"/>
  <c r="E2098" i="19" s="1"/>
  <c r="C2094" i="19"/>
  <c r="D2094" i="19" s="1"/>
  <c r="B2088" i="19"/>
  <c r="D2088" i="19" s="1"/>
  <c r="D2087" i="19"/>
  <c r="C2086" i="19"/>
  <c r="B2086" i="19" s="1"/>
  <c r="D2086" i="19" s="1"/>
  <c r="C2084" i="19"/>
  <c r="B2084" i="19" s="1"/>
  <c r="D2084" i="19" s="1"/>
  <c r="C2083" i="19"/>
  <c r="B2083" i="19" s="1"/>
  <c r="D2083" i="19" s="1"/>
  <c r="F2048" i="19"/>
  <c r="D2048" i="19" s="1"/>
  <c r="G2048" i="19" s="1"/>
  <c r="D2047" i="19"/>
  <c r="G2047" i="19" s="1"/>
  <c r="F2046" i="19"/>
  <c r="D2046" i="19" s="1"/>
  <c r="G2046" i="19" s="1"/>
  <c r="D2045" i="19"/>
  <c r="G2045" i="19" s="1"/>
  <c r="F2044" i="19"/>
  <c r="D2044" i="19" s="1"/>
  <c r="G2044" i="19" s="1"/>
  <c r="D2043" i="19"/>
  <c r="G2043" i="19" s="1"/>
  <c r="F2042" i="19"/>
  <c r="D2042" i="19" s="1"/>
  <c r="G2042" i="19" s="1"/>
  <c r="D2041" i="19"/>
  <c r="G2041" i="19" s="1"/>
  <c r="F2040" i="19"/>
  <c r="D2040" i="19" s="1"/>
  <c r="G2040" i="19" s="1"/>
  <c r="D2039" i="19"/>
  <c r="G2039" i="19" s="1"/>
  <c r="F2038" i="19"/>
  <c r="D2038" i="19" s="1"/>
  <c r="G2038" i="19" s="1"/>
  <c r="D2037" i="19"/>
  <c r="G2037" i="19" s="1"/>
  <c r="F2036" i="19"/>
  <c r="D2036" i="19" s="1"/>
  <c r="G2036" i="19" s="1"/>
  <c r="D2035" i="19"/>
  <c r="G2035" i="19" s="1"/>
  <c r="F2034" i="19"/>
  <c r="D2034" i="19" s="1"/>
  <c r="G2034" i="19" s="1"/>
  <c r="D2033" i="19"/>
  <c r="G2033" i="19" s="1"/>
  <c r="C2028" i="19"/>
  <c r="D2028" i="19" s="1"/>
  <c r="F2024" i="19"/>
  <c r="G2024" i="19" s="1"/>
  <c r="E2019" i="19"/>
  <c r="E2018" i="19"/>
  <c r="E2016" i="19"/>
  <c r="E2015" i="19"/>
  <c r="F2011" i="19"/>
  <c r="G2011" i="19" s="1"/>
  <c r="F2010" i="19"/>
  <c r="D2010" i="19" s="1"/>
  <c r="G2010" i="19" s="1"/>
  <c r="F2007" i="19"/>
  <c r="G2007" i="19" s="1"/>
  <c r="F2006" i="19"/>
  <c r="G2006" i="19" s="1"/>
  <c r="C2002" i="19"/>
  <c r="D2002" i="19" s="1"/>
  <c r="C2001" i="19"/>
  <c r="B2001" i="19" s="1"/>
  <c r="D2001" i="19" s="1"/>
  <c r="F1995" i="19"/>
  <c r="C1990" i="19"/>
  <c r="B1990" i="19" s="1"/>
  <c r="D1990" i="19" s="1"/>
  <c r="C1989" i="19"/>
  <c r="B1989" i="19" s="1"/>
  <c r="D1989" i="19" s="1"/>
  <c r="C1984" i="19"/>
  <c r="F1984" i="19" s="1"/>
  <c r="E1983" i="19"/>
  <c r="C1983" i="19" s="1"/>
  <c r="F1983" i="19" s="1"/>
  <c r="E1982" i="19"/>
  <c r="C1982" i="19" s="1"/>
  <c r="F1982" i="19" s="1"/>
  <c r="E1981" i="19"/>
  <c r="C1981" i="19" s="1"/>
  <c r="F1981" i="19" s="1"/>
  <c r="C1980" i="19"/>
  <c r="F1980" i="19" s="1"/>
  <c r="E1979" i="19"/>
  <c r="C1979" i="19" s="1"/>
  <c r="F1979" i="19" s="1"/>
  <c r="C1978" i="19"/>
  <c r="F1978" i="19" s="1"/>
  <c r="E1977" i="19"/>
  <c r="C1977" i="19" s="1"/>
  <c r="F1977" i="19" s="1"/>
  <c r="C1976" i="19"/>
  <c r="F1976" i="19" s="1"/>
  <c r="E1975" i="19"/>
  <c r="C1975" i="19" s="1"/>
  <c r="F1975" i="19" s="1"/>
  <c r="D1970" i="19"/>
  <c r="E1969" i="19"/>
  <c r="E1968" i="19"/>
  <c r="E1967" i="19"/>
  <c r="E1966" i="19"/>
  <c r="E1965" i="19"/>
  <c r="E1964" i="19"/>
  <c r="D1960" i="19"/>
  <c r="G1960" i="19" s="1"/>
  <c r="F1959" i="19"/>
  <c r="D1959" i="19" s="1"/>
  <c r="G1959" i="19" s="1"/>
  <c r="D1958" i="19"/>
  <c r="G1958" i="19" s="1"/>
  <c r="F1957" i="19"/>
  <c r="D1957" i="19" s="1"/>
  <c r="G1957" i="19" s="1"/>
  <c r="F1951" i="19"/>
  <c r="H1951" i="19" s="1"/>
  <c r="F1950" i="19"/>
  <c r="H1950" i="19" s="1"/>
  <c r="F1949" i="19"/>
  <c r="H1949" i="19" s="1"/>
  <c r="F1948" i="19"/>
  <c r="H1948" i="19" s="1"/>
  <c r="F1947" i="19"/>
  <c r="H1947" i="19" s="1"/>
  <c r="F1946" i="19"/>
  <c r="H1946" i="19" s="1"/>
  <c r="F1945" i="19"/>
  <c r="H1945" i="19" s="1"/>
  <c r="F1944" i="19"/>
  <c r="H1944" i="19" s="1"/>
  <c r="F1943" i="19"/>
  <c r="H1943" i="19" s="1"/>
  <c r="F1942" i="19"/>
  <c r="H1942" i="19" s="1"/>
  <c r="F1941" i="19"/>
  <c r="H1941" i="19" s="1"/>
  <c r="F1940" i="19"/>
  <c r="H1940" i="19" s="1"/>
  <c r="F1939" i="19"/>
  <c r="H1939" i="19" s="1"/>
  <c r="F1938" i="19"/>
  <c r="H1938" i="19" s="1"/>
  <c r="F1937" i="19"/>
  <c r="H1937" i="19" s="1"/>
  <c r="F1936" i="19"/>
  <c r="H1936" i="19" s="1"/>
  <c r="C1931" i="19"/>
  <c r="D1931" i="19" s="1"/>
  <c r="C1930" i="19"/>
  <c r="B1930" i="19" s="1"/>
  <c r="D1930" i="19" s="1"/>
  <c r="C1929" i="19"/>
  <c r="B1929" i="19" s="1"/>
  <c r="D1929" i="19" s="1"/>
  <c r="C1928" i="19"/>
  <c r="B1928" i="19" s="1"/>
  <c r="D1928" i="19" s="1"/>
  <c r="C1927" i="19"/>
  <c r="B1927" i="19" s="1"/>
  <c r="D1927" i="19" s="1"/>
  <c r="C1926" i="19"/>
  <c r="D1926" i="19" s="1"/>
  <c r="G1921" i="19"/>
  <c r="G1920" i="19"/>
  <c r="G1919" i="19"/>
  <c r="G1918" i="19"/>
  <c r="G1917" i="19"/>
  <c r="G1916" i="19"/>
  <c r="G1915" i="19"/>
  <c r="G1910" i="19"/>
  <c r="G1909" i="19"/>
  <c r="E1908" i="19"/>
  <c r="G1908" i="19" s="1"/>
  <c r="E1907" i="19"/>
  <c r="G1907" i="19" s="1"/>
  <c r="E1906" i="19"/>
  <c r="G1906" i="19" s="1"/>
  <c r="E1905" i="19"/>
  <c r="G1905" i="19" s="1"/>
  <c r="G1903" i="19"/>
  <c r="E1902" i="19"/>
  <c r="G1902" i="19" s="1"/>
  <c r="E1901" i="19"/>
  <c r="G1901" i="19" s="1"/>
  <c r="E1900" i="19"/>
  <c r="G1900" i="19" s="1"/>
  <c r="E1899" i="19"/>
  <c r="G1899" i="19" s="1"/>
  <c r="E1881" i="19"/>
  <c r="D1881" i="19"/>
  <c r="F1880" i="19"/>
  <c r="F1879" i="19"/>
  <c r="E1879" i="19"/>
  <c r="D1879" i="19"/>
  <c r="F1878" i="19"/>
  <c r="E1878" i="19"/>
  <c r="D1878" i="19"/>
  <c r="F1877" i="19"/>
  <c r="E1877" i="19"/>
  <c r="D1877" i="19"/>
  <c r="F1876" i="19"/>
  <c r="E1876" i="19"/>
  <c r="D1876" i="19"/>
  <c r="F1875" i="19"/>
  <c r="E1875" i="19"/>
  <c r="D1875" i="19"/>
  <c r="F1874" i="19"/>
  <c r="E1874" i="19"/>
  <c r="D1874" i="19"/>
  <c r="E1868" i="19"/>
  <c r="D1868" i="19" s="1"/>
  <c r="F1868" i="19" s="1"/>
  <c r="D1867" i="19"/>
  <c r="F1867" i="19" s="1"/>
  <c r="E1866" i="19"/>
  <c r="D1866" i="19" s="1"/>
  <c r="F1866" i="19" s="1"/>
  <c r="D1865" i="19"/>
  <c r="F1865" i="19" s="1"/>
  <c r="D1862" i="19"/>
  <c r="E1851" i="19"/>
  <c r="E1850" i="19"/>
  <c r="E1849" i="19"/>
  <c r="E1848" i="19"/>
  <c r="E1847" i="19"/>
  <c r="H1844" i="19"/>
  <c r="D1844" i="19" s="1"/>
  <c r="D1843" i="19"/>
  <c r="C1843" i="19"/>
  <c r="I1843" i="19" s="1"/>
  <c r="D1842" i="19"/>
  <c r="C1842" i="19"/>
  <c r="E1842" i="19" s="1"/>
  <c r="D1841" i="19"/>
  <c r="C1841" i="19"/>
  <c r="F1841" i="19" s="1"/>
  <c r="F1835" i="19"/>
  <c r="F1834" i="19"/>
  <c r="F1828" i="19"/>
  <c r="F1827" i="19"/>
  <c r="F1826" i="19"/>
  <c r="F1825" i="19"/>
  <c r="E1817" i="19"/>
  <c r="G1817" i="19" s="1"/>
  <c r="E1816" i="19"/>
  <c r="G1816" i="19" s="1"/>
  <c r="E1811" i="19"/>
  <c r="G1811" i="19" s="1"/>
  <c r="E1810" i="19"/>
  <c r="G1810" i="19" s="1"/>
  <c r="E1809" i="19"/>
  <c r="G1809" i="19" s="1"/>
  <c r="H1804" i="19"/>
  <c r="I1804" i="19" s="1"/>
  <c r="H1803" i="19"/>
  <c r="I1803" i="19" s="1"/>
  <c r="H1802" i="19"/>
  <c r="I1802" i="19" s="1"/>
  <c r="H1801" i="19"/>
  <c r="I1801" i="19" s="1"/>
  <c r="H1799" i="19"/>
  <c r="F1799" i="19" s="1"/>
  <c r="I1799" i="19" s="1"/>
  <c r="H1798" i="19"/>
  <c r="F1798" i="19" s="1"/>
  <c r="I1798" i="19" s="1"/>
  <c r="H1797" i="19"/>
  <c r="F1797" i="19" s="1"/>
  <c r="I1797" i="19" s="1"/>
  <c r="H1796" i="19"/>
  <c r="F1796" i="19" s="1"/>
  <c r="I1796" i="19" s="1"/>
  <c r="H1794" i="19"/>
  <c r="F1794" i="19" s="1"/>
  <c r="I1794" i="19" s="1"/>
  <c r="H1793" i="19"/>
  <c r="F1793" i="19" s="1"/>
  <c r="I1793" i="19" s="1"/>
  <c r="H1792" i="19"/>
  <c r="F1792" i="19" s="1"/>
  <c r="I1792" i="19" s="1"/>
  <c r="H1791" i="19"/>
  <c r="F1791" i="19" s="1"/>
  <c r="I1791" i="19" s="1"/>
  <c r="H1789" i="19"/>
  <c r="F1789" i="19" s="1"/>
  <c r="I1789" i="19" s="1"/>
  <c r="H1788" i="19"/>
  <c r="F1788" i="19" s="1"/>
  <c r="I1788" i="19" s="1"/>
  <c r="H1787" i="19"/>
  <c r="F1787" i="19" s="1"/>
  <c r="I1787" i="19" s="1"/>
  <c r="H1786" i="19"/>
  <c r="F1786" i="19" s="1"/>
  <c r="I1786" i="19" s="1"/>
  <c r="E1773" i="19"/>
  <c r="E1772" i="19"/>
  <c r="E1768" i="19"/>
  <c r="E1767" i="19"/>
  <c r="Q1763" i="19"/>
  <c r="O1763" i="19"/>
  <c r="K1763" i="19"/>
  <c r="Q1762" i="19"/>
  <c r="O1762" i="19"/>
  <c r="K1762" i="19"/>
  <c r="O1761" i="19"/>
  <c r="G1761" i="19"/>
  <c r="K1761" i="19" s="1"/>
  <c r="O1760" i="19"/>
  <c r="G1760" i="19"/>
  <c r="K1760" i="19" s="1"/>
  <c r="O1759" i="19"/>
  <c r="G1759" i="19"/>
  <c r="K1759" i="19" s="1"/>
  <c r="O1758" i="19"/>
  <c r="G1758" i="19"/>
  <c r="Q1758" i="19" s="1"/>
  <c r="Q1755" i="19"/>
  <c r="O1755" i="19"/>
  <c r="O1754" i="19"/>
  <c r="G1754" i="19"/>
  <c r="K1754" i="19" s="1"/>
  <c r="Q1752" i="19"/>
  <c r="O1752" i="19"/>
  <c r="K1752" i="19"/>
  <c r="O1751" i="19"/>
  <c r="G1751" i="19"/>
  <c r="Q1751" i="19" s="1"/>
  <c r="O1750" i="19"/>
  <c r="G1750" i="19"/>
  <c r="Q1750" i="19" s="1"/>
  <c r="O1749" i="19"/>
  <c r="G1749" i="19"/>
  <c r="K1749" i="19" s="1"/>
  <c r="O1748" i="19"/>
  <c r="G1748" i="19"/>
  <c r="Q1748" i="19" s="1"/>
  <c r="O1747" i="19"/>
  <c r="G1747" i="19"/>
  <c r="Q1747" i="19" s="1"/>
  <c r="F1743" i="19"/>
  <c r="D1737" i="19"/>
  <c r="D1736" i="19"/>
  <c r="D1735" i="19"/>
  <c r="E1719" i="19"/>
  <c r="E1718" i="19"/>
  <c r="E1717" i="19"/>
  <c r="E1716" i="19"/>
  <c r="E1715" i="19"/>
  <c r="E1714" i="19"/>
  <c r="E1713" i="19"/>
  <c r="E1712" i="19"/>
  <c r="E1711" i="19"/>
  <c r="E1710" i="19"/>
  <c r="F1706" i="19"/>
  <c r="F1705" i="19"/>
  <c r="F1704" i="19"/>
  <c r="F1703" i="19"/>
  <c r="F1702" i="19"/>
  <c r="F1701" i="19"/>
  <c r="F1700" i="19"/>
  <c r="F1699" i="19"/>
  <c r="H1695" i="19"/>
  <c r="H1694" i="19"/>
  <c r="H1693" i="19"/>
  <c r="H1692" i="19"/>
  <c r="H1691" i="19"/>
  <c r="H1690" i="19"/>
  <c r="H1689" i="19"/>
  <c r="H1688" i="19"/>
  <c r="H1687" i="19"/>
  <c r="H1686" i="19"/>
  <c r="H1685" i="19"/>
  <c r="H1684" i="19"/>
  <c r="H1683" i="19"/>
  <c r="H1682" i="19"/>
  <c r="H1681" i="19"/>
  <c r="H1680" i="19"/>
  <c r="F1675" i="19"/>
  <c r="G1675" i="19" s="1"/>
  <c r="F1674" i="19"/>
  <c r="F1673" i="19"/>
  <c r="G1673" i="19" s="1"/>
  <c r="F1672" i="19"/>
  <c r="G1672" i="19" s="1"/>
  <c r="F1641" i="19"/>
  <c r="F1640" i="19"/>
  <c r="F1639" i="19"/>
  <c r="F1638" i="19"/>
  <c r="H1625" i="19"/>
  <c r="E1625" i="19"/>
  <c r="G1625" i="19" s="1"/>
  <c r="H1624" i="19"/>
  <c r="E1624" i="19"/>
  <c r="G1624" i="19" s="1"/>
  <c r="H1621" i="19"/>
  <c r="E1621" i="19"/>
  <c r="F1617" i="19"/>
  <c r="F1616" i="19"/>
  <c r="F1615" i="19"/>
  <c r="F1614" i="19"/>
  <c r="F1613" i="19"/>
  <c r="D1595" i="19"/>
  <c r="F1592" i="19"/>
  <c r="H1588" i="19"/>
  <c r="H1587" i="19"/>
  <c r="I1577" i="19"/>
  <c r="I1576" i="19"/>
  <c r="I1575" i="19"/>
  <c r="I1574" i="19"/>
  <c r="I1573" i="19"/>
  <c r="I1572" i="19"/>
  <c r="I1571" i="19"/>
  <c r="I1570" i="19"/>
  <c r="I1569" i="19"/>
  <c r="I1568" i="19"/>
  <c r="I1565" i="19"/>
  <c r="I1564" i="19"/>
  <c r="I1563" i="19"/>
  <c r="I1562" i="19"/>
  <c r="I1561" i="19"/>
  <c r="I1560" i="19"/>
  <c r="I1559" i="19"/>
  <c r="N1546" i="19"/>
  <c r="N1545" i="19"/>
  <c r="J1545" i="19"/>
  <c r="N1544" i="19"/>
  <c r="J1544" i="19"/>
  <c r="N1543" i="19"/>
  <c r="J1543" i="19"/>
  <c r="N1542" i="19"/>
  <c r="J1542" i="19"/>
  <c r="N1541" i="19"/>
  <c r="J1541" i="19"/>
  <c r="N1540" i="19"/>
  <c r="J1540" i="19"/>
  <c r="N1539" i="19"/>
  <c r="J1539" i="19"/>
  <c r="N1538" i="19"/>
  <c r="J1538" i="19"/>
  <c r="N1535" i="19"/>
  <c r="N1534" i="19"/>
  <c r="J1534" i="19"/>
  <c r="N1533" i="19"/>
  <c r="J1533" i="19"/>
  <c r="N1532" i="19"/>
  <c r="J1532" i="19"/>
  <c r="N1531" i="19"/>
  <c r="J1531" i="19"/>
  <c r="N1530" i="19"/>
  <c r="J1530" i="19"/>
  <c r="N1529" i="19"/>
  <c r="J1529" i="19"/>
  <c r="N1526" i="19"/>
  <c r="J1526" i="19"/>
  <c r="N1525" i="19"/>
  <c r="J1525" i="19"/>
  <c r="B1502" i="19"/>
  <c r="H1459" i="19"/>
  <c r="G1459" i="19"/>
  <c r="H1458" i="19"/>
  <c r="H1457" i="19"/>
  <c r="H1456" i="19"/>
  <c r="B1444" i="19"/>
  <c r="F981" i="19"/>
  <c r="F980" i="19"/>
  <c r="F978" i="19"/>
  <c r="F977" i="19"/>
  <c r="E963" i="19"/>
  <c r="E962" i="19"/>
  <c r="F958" i="19"/>
  <c r="P942" i="19"/>
  <c r="E942" i="19"/>
  <c r="E941" i="19"/>
  <c r="E940" i="19"/>
  <c r="E939" i="19"/>
  <c r="E938" i="19"/>
  <c r="H797" i="19"/>
  <c r="H796" i="19"/>
  <c r="H795" i="19"/>
  <c r="H794" i="19"/>
  <c r="H793" i="19"/>
  <c r="H789" i="19"/>
  <c r="H788" i="19"/>
  <c r="H787" i="19"/>
  <c r="H680" i="19"/>
  <c r="H679" i="19"/>
  <c r="H677" i="19"/>
  <c r="H676" i="19"/>
  <c r="H675" i="19"/>
  <c r="H674" i="19"/>
  <c r="H673" i="19"/>
  <c r="H672" i="19"/>
  <c r="H671" i="19"/>
  <c r="H670" i="19"/>
  <c r="H669" i="19"/>
  <c r="H668" i="19"/>
  <c r="G583" i="19"/>
  <c r="G582" i="19"/>
  <c r="G581" i="19"/>
  <c r="G580" i="19"/>
  <c r="G579" i="19"/>
  <c r="G578" i="19"/>
  <c r="G577" i="19"/>
  <c r="G560" i="19"/>
  <c r="G559" i="19"/>
  <c r="G558" i="19"/>
  <c r="G557" i="19"/>
  <c r="G556" i="19"/>
  <c r="G555" i="19"/>
  <c r="G554" i="19"/>
  <c r="G553" i="19"/>
  <c r="G552" i="19"/>
  <c r="G551" i="19"/>
  <c r="G550" i="19"/>
  <c r="G549" i="19"/>
  <c r="G548" i="19"/>
  <c r="G547" i="19"/>
  <c r="F501" i="19"/>
  <c r="H440" i="19"/>
  <c r="H439" i="19"/>
  <c r="H438" i="19"/>
  <c r="H437" i="19"/>
  <c r="H436" i="19"/>
  <c r="G423" i="19"/>
  <c r="E161" i="19"/>
  <c r="E160" i="19"/>
  <c r="E159" i="19"/>
  <c r="E158" i="19"/>
  <c r="E157" i="19"/>
  <c r="E156" i="19"/>
  <c r="E155" i="19"/>
  <c r="E106" i="19"/>
  <c r="E105" i="19"/>
  <c r="E92" i="19"/>
  <c r="C69" i="6"/>
  <c r="B69" i="6"/>
  <c r="C68" i="6"/>
  <c r="B68" i="6"/>
  <c r="C67" i="6"/>
  <c r="B67" i="6"/>
  <c r="B66" i="6"/>
  <c r="B65" i="6"/>
  <c r="J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A40" i="6"/>
  <c r="A39" i="6"/>
  <c r="B38" i="6"/>
  <c r="A38" i="6"/>
  <c r="B39" i="6" s="1"/>
  <c r="C33" i="6"/>
  <c r="C32" i="6"/>
  <c r="C31" i="6"/>
  <c r="M29" i="6"/>
  <c r="M28" i="6"/>
  <c r="B25" i="6"/>
  <c r="B20" i="6"/>
  <c r="B19" i="6"/>
  <c r="F18" i="6"/>
  <c r="H18" i="6" s="1"/>
  <c r="C13" i="6"/>
  <c r="C12" i="6"/>
  <c r="E11" i="6"/>
  <c r="C11" i="6"/>
  <c r="E10" i="6" a="1"/>
  <c r="E10" i="6" s="1"/>
  <c r="C10" i="6"/>
  <c r="E8" i="6" a="1"/>
  <c r="E8" i="6" s="1"/>
  <c r="E7" i="6"/>
  <c r="C7" i="6"/>
  <c r="E4" i="6"/>
  <c r="E5" i="6" s="1"/>
  <c r="J72" i="13"/>
  <c r="J73" i="13" s="1"/>
  <c r="J71" i="13"/>
  <c r="H71" i="13" a="1"/>
  <c r="H71" i="13" s="1"/>
  <c r="J70" i="13"/>
  <c r="H70" i="13" a="1"/>
  <c r="H70" i="13" s="1"/>
  <c r="J69" i="13"/>
  <c r="F33" i="13"/>
  <c r="D33" i="13"/>
  <c r="B33" i="13"/>
  <c r="J31" i="13"/>
  <c r="D31" i="13"/>
  <c r="B31" i="13"/>
  <c r="D28" i="13"/>
  <c r="C28" i="13"/>
  <c r="D27" i="13"/>
  <c r="C27" i="13"/>
  <c r="C26" i="13"/>
  <c r="C25" i="13"/>
  <c r="C24" i="13"/>
  <c r="D22" i="13"/>
  <c r="D21" i="13"/>
  <c r="C19" i="13"/>
  <c r="C18" i="13"/>
  <c r="E12" i="13"/>
  <c r="C12" i="13" a="1"/>
  <c r="C12" i="13" s="1"/>
  <c r="C11" i="13"/>
  <c r="C10" i="13"/>
  <c r="C9" i="13"/>
  <c r="C7" i="13"/>
  <c r="C6" i="13"/>
  <c r="C5" i="13"/>
  <c r="E4" i="13"/>
  <c r="E5" i="13" s="1"/>
  <c r="E6" i="13" s="1"/>
  <c r="C3" i="13"/>
  <c r="C22" i="13" s="1"/>
  <c r="H2" i="13"/>
  <c r="C2" i="13"/>
  <c r="E8" i="13" s="1"/>
  <c r="J73" i="12"/>
  <c r="J71" i="12"/>
  <c r="H71" i="12" a="1"/>
  <c r="H71" i="12" s="1"/>
  <c r="J70" i="12"/>
  <c r="H70" i="12" a="1"/>
  <c r="H70" i="12" s="1"/>
  <c r="J69" i="12"/>
  <c r="I32" i="12"/>
  <c r="D28" i="12"/>
  <c r="C28" i="12"/>
  <c r="D27" i="12"/>
  <c r="C27" i="12"/>
  <c r="C26" i="12"/>
  <c r="C25" i="12"/>
  <c r="C24" i="12"/>
  <c r="D22" i="12"/>
  <c r="C22" i="12"/>
  <c r="D21" i="12"/>
  <c r="C21" i="12"/>
  <c r="C20" i="12"/>
  <c r="C19" i="12"/>
  <c r="C18" i="12"/>
  <c r="J17" i="12"/>
  <c r="F31" i="12" s="1"/>
  <c r="G16" i="12"/>
  <c r="E12" i="12"/>
  <c r="C12" i="12" a="1"/>
  <c r="C12" i="12" s="1"/>
  <c r="E11" i="12" a="1"/>
  <c r="E11" i="12" s="1"/>
  <c r="C11" i="12"/>
  <c r="E10" i="12" a="1"/>
  <c r="E10" i="12" s="1"/>
  <c r="E10" i="13" s="1"/>
  <c r="E9" i="12" a="1"/>
  <c r="E9" i="12" s="1"/>
  <c r="E9" i="13" s="1"/>
  <c r="E8" i="12"/>
  <c r="C8" i="12"/>
  <c r="E5" i="12"/>
  <c r="E6" i="12" s="1"/>
  <c r="N1" i="1"/>
  <c r="B40" i="6" l="1"/>
  <c r="C8" i="13"/>
  <c r="G16" i="13"/>
  <c r="I1621" i="19"/>
  <c r="W2543" i="19"/>
  <c r="I1625" i="19"/>
  <c r="K1747" i="19"/>
  <c r="I1842" i="19"/>
  <c r="W2529" i="19"/>
  <c r="W2520" i="19"/>
  <c r="Q1760" i="19"/>
  <c r="G1842" i="19"/>
  <c r="W2557" i="19"/>
  <c r="E2305" i="19"/>
  <c r="Q1754" i="19"/>
  <c r="W2526" i="19"/>
  <c r="W2539" i="19"/>
  <c r="W2553" i="19"/>
  <c r="G562" i="19"/>
  <c r="K1750" i="19"/>
  <c r="W2524" i="19"/>
  <c r="W2536" i="19"/>
  <c r="W2549" i="19"/>
  <c r="W2565" i="19"/>
  <c r="I1624" i="19"/>
  <c r="W2522" i="19"/>
  <c r="W2532" i="19"/>
  <c r="W2546" i="19"/>
  <c r="W2561" i="19"/>
  <c r="F1842" i="19"/>
  <c r="G1911" i="19"/>
  <c r="G2599" i="19"/>
  <c r="G1676" i="19"/>
  <c r="K1758" i="19"/>
  <c r="G1621" i="19"/>
  <c r="Q1749" i="19"/>
  <c r="G1841" i="19"/>
  <c r="G1843" i="19"/>
  <c r="W2519" i="19"/>
  <c r="W2521" i="19"/>
  <c r="W2523" i="19"/>
  <c r="W2525" i="19"/>
  <c r="W2527" i="19"/>
  <c r="W2531" i="19"/>
  <c r="W2534" i="19"/>
  <c r="W2538" i="19"/>
  <c r="W2541" i="19"/>
  <c r="W2544" i="19"/>
  <c r="W2548" i="19"/>
  <c r="W2551" i="19"/>
  <c r="W2555" i="19"/>
  <c r="W2559" i="19"/>
  <c r="W2563" i="19"/>
  <c r="Q1761" i="19"/>
  <c r="E1841" i="19"/>
  <c r="E1843" i="19"/>
  <c r="F1843" i="19"/>
  <c r="Q1759" i="19"/>
  <c r="I1841" i="19"/>
  <c r="K1751" i="19"/>
  <c r="C1844" i="19"/>
  <c r="K1748" i="19"/>
  <c r="T2566" i="19"/>
  <c r="J17" i="13"/>
  <c r="F31" i="13" s="1"/>
  <c r="AF54" i="9"/>
  <c r="AF56" i="9" s="1"/>
  <c r="C20" i="13"/>
  <c r="C21" i="13"/>
  <c r="B18" i="6"/>
  <c r="J29" i="12"/>
  <c r="E9" i="6"/>
  <c r="E11" i="13"/>
  <c r="C65" i="6" l="1"/>
  <c r="C66" i="6"/>
  <c r="E1844" i="19"/>
  <c r="F1844" i="19"/>
  <c r="I1844" i="19"/>
  <c r="G1844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sunfashion</author>
    <author>chiba</author>
  </authors>
  <commentList>
    <comment ref="E22" authorId="0" shapeId="0" xr:uid="{F9B49EFE-05D8-48AA-8B42-A5A35E30A00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
PI# 5618</t>
        </r>
      </text>
    </comment>
    <comment ref="K22" authorId="0" shapeId="0" xr:uid="{89DF8BEE-BAEC-4E74-9B07-C8BEBEA87B7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32" authorId="1" shapeId="0" xr:uid="{D1BA4404-88F5-41CF-B946-52220A2DB65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155cm version is ZEA252M </t>
        </r>
      </text>
    </comment>
    <comment ref="E33" authorId="1" shapeId="0" xr:uid="{894E9C3D-B78F-42BD-A3B8-3CAC56F737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155cm version is ZEA252M </t>
        </r>
      </text>
    </comment>
    <comment ref="G33" authorId="1" shapeId="0" xr:uid="{4F6E463A-DB05-4198-8755-9ACCDBFC56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N51" authorId="1" shapeId="0" xr:uid="{B5E7919D-79E9-4381-BF9B-30BA9F0746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出荷はJan 26th</t>
        </r>
      </text>
    </comment>
    <comment ref="N52" authorId="1" shapeId="0" xr:uid="{818FB6C2-07AA-44FD-99DB-C944CAD9A96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出荷はJan 26th</t>
        </r>
      </text>
    </comment>
    <comment ref="N53" authorId="1" shapeId="0" xr:uid="{1F21F95C-DE29-4FBF-8478-215108F261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出荷はJan 26th</t>
        </r>
      </text>
    </comment>
    <comment ref="N54" authorId="1" shapeId="0" xr:uid="{CBF9C75F-FF5F-4223-8E3D-2967C85AD34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出荷はJan 26th</t>
        </r>
      </text>
    </comment>
    <comment ref="N55" authorId="1" shapeId="0" xr:uid="{89198516-6487-4A9B-B74E-37A8B12869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出荷はJan 26th</t>
        </r>
      </text>
    </comment>
    <comment ref="E64" authorId="0" shapeId="0" xr:uid="{869807F4-0880-4060-8713-077195AE6B2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
</t>
        </r>
      </text>
    </comment>
    <comment ref="E67" authorId="1" shapeId="0" xr:uid="{7EA40BEB-BC65-4A56-9E65-1BBDA0424E4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7855</t>
        </r>
      </text>
    </comment>
    <comment ref="G77" authorId="1" shapeId="0" xr:uid="{1111524F-0B19-4229-9D3F-D6E93AADFAA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J80" authorId="1" shapeId="0" xr:uid="{13F571F7-D194-4959-9BCC-5FC62C292B7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 pairs</t>
        </r>
      </text>
    </comment>
    <comment ref="G110" authorId="1" shapeId="0" xr:uid="{C90CF6C1-4B8F-498B-AF0B-EE9B7461816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E113" authorId="1" shapeId="0" xr:uid="{3DE8CF69-1A64-4C75-8353-79A38E5C5E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7870</t>
        </r>
      </text>
    </comment>
    <comment ref="G119" authorId="1" shapeId="0" xr:uid="{A7F6BFBC-7439-4B28-B0B4-1951356CFA7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G121" authorId="1" shapeId="0" xr:uid="{131C29F5-4945-4E13-AA63-8D5EB31DB4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E145" authorId="0" shapeId="0" xr:uid="{6A4A2532-56AC-4DCA-A0DA-05BA8B9F4A0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  <author>sunfashion</author>
    <author>a.hamada</author>
  </authors>
  <commentList>
    <comment ref="E183" authorId="0" shapeId="0" xr:uid="{6D2F63DD-0E4A-4636-8DCA-D795D381DF2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84" authorId="0" shapeId="0" xr:uid="{72811966-15D9-4162-8037-E049AC21BAA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B186" authorId="0" shapeId="0" xr:uid="{06B1A990-9897-4CE3-A012-378C9E777E9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FWL-69085 Cotton version
</t>
        </r>
      </text>
    </comment>
    <comment ref="E186" authorId="0" shapeId="0" xr:uid="{3D62F72B-6B38-4D1F-846C-A6F7D3FE03E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B187" authorId="0" shapeId="0" xr:uid="{135A3133-C60D-4C1E-9979-CD8C238E4E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FWL-69085 Cotton version
</t>
        </r>
      </text>
    </comment>
    <comment ref="E187" authorId="0" shapeId="0" xr:uid="{94F4E7FF-70F1-440A-8BE2-BC158936154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89" authorId="0" shapeId="0" xr:uid="{675A189A-728B-400B-AFEF-BD95431BEF0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0" authorId="0" shapeId="0" xr:uid="{729BA752-8B02-4745-A88C-14099216046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1" authorId="0" shapeId="0" xr:uid="{29AA24B8-CE83-4D2E-8067-EEE65AA25EA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2" authorId="0" shapeId="0" xr:uid="{F6B09C99-BA1E-4FFE-893C-538F35CA31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4" authorId="0" shapeId="0" xr:uid="{AF6580CE-60FB-48E7-B734-00AAD1A31D0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5" authorId="0" shapeId="0" xr:uid="{C8B81E96-FC1D-45D2-BAE4-1812D01B4CC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7" authorId="0" shapeId="0" xr:uid="{642EE125-B7C3-40F1-8CAB-384DE1BCC3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8" authorId="0" shapeId="0" xr:uid="{EFD6EE54-14EA-4E11-9C1B-704A649AD3D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200" authorId="0" shapeId="0" xr:uid="{D8A9AB16-6594-43B4-A38A-9F88A747B67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201" authorId="0" shapeId="0" xr:uid="{47322E7F-5583-4B28-92FE-AE3ABDCB87A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D215" authorId="0" shapeId="0" xr:uid="{C354AB81-EE92-4FA5-AD77-836C1653C63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16" authorId="0" shapeId="0" xr:uid="{E931F033-02E5-4047-9E5F-6931443F98E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17" authorId="0" shapeId="0" xr:uid="{9410E5C3-7517-4716-89FB-B97CD64C2EE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B228" authorId="0" shapeId="0" xr:uid="{C402FFFB-8348-4A66-9908-061344E382C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29" authorId="0" shapeId="0" xr:uid="{4A8BA970-7694-428E-B2F6-838AAB837C9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0" authorId="0" shapeId="0" xr:uid="{4C28756F-1648-41CB-9E2B-E996A50F4AD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1" authorId="0" shapeId="0" xr:uid="{F39F8989-21D8-4C72-8E6E-0C105E6F772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2" authorId="0" shapeId="0" xr:uid="{A49E4515-389A-404A-B886-052710E103E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48" authorId="0" shapeId="0" xr:uid="{48CA8F15-7575-473F-BD92-4E6C2894AFD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49" authorId="0" shapeId="0" xr:uid="{DF6EACD9-810B-4F36-AC89-A2C9336692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0" authorId="0" shapeId="0" xr:uid="{31D3E9EB-2E85-4D0D-B823-A236525164B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1" authorId="0" shapeId="0" xr:uid="{D79ED38A-F588-4DB6-BDC8-973DFF78197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2" authorId="0" shapeId="0" xr:uid="{ADA64E52-4EA6-488F-A909-B4FF541F1C1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3" authorId="0" shapeId="0" xr:uid="{6B4CC6BF-7156-4A03-A02D-550565089F5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5" authorId="0" shapeId="0" xr:uid="{A3B86A86-926F-46DA-A53B-1E9ECE2605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5" authorId="0" shapeId="0" xr:uid="{ECF13A02-59DA-4D1D-AA61-EE4E2DD0BAA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6" authorId="0" shapeId="0" xr:uid="{028B1ABF-9C4D-46E3-8927-84672906855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6" authorId="0" shapeId="0" xr:uid="{A04B94DF-E424-4BFB-B5D1-2BD0C8260DA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7" authorId="0" shapeId="0" xr:uid="{F44AC103-8E22-418E-97FC-376C90FFFC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7" authorId="0" shapeId="0" xr:uid="{64D3705A-A13A-4598-8F4D-923E579A780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8" authorId="0" shapeId="0" xr:uid="{77B85BD3-731E-487D-95A5-6640BE5F0BF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8" authorId="0" shapeId="0" xr:uid="{6BD9B29A-0DEE-4A50-8B8A-E9C6CDDF05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9" authorId="0" shapeId="0" xr:uid="{B87B7A5B-2372-4E2E-A9B3-FA8FEAD1C2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9" authorId="0" shapeId="0" xr:uid="{DC5C7B76-2F9A-482D-AEB1-94C479C1DE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1" authorId="0" shapeId="0" xr:uid="{4E17FC88-17E6-4582-90DA-7665FF4A8A3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2" authorId="0" shapeId="0" xr:uid="{23878459-8734-4F00-8433-9340CE8DB3D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3" authorId="0" shapeId="0" xr:uid="{71AB660D-BFC4-4368-86F0-F3ADC28D363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4" authorId="0" shapeId="0" xr:uid="{2FF7E0E4-7773-4B50-A23B-383D7454237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5" authorId="0" shapeId="0" xr:uid="{18B1D105-AE1C-49EB-8089-03C591438AF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7" authorId="0" shapeId="0" xr:uid="{C478E806-AC08-43EE-96FD-20D2A01FB3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8" authorId="0" shapeId="0" xr:uid="{F0CEBC9B-D912-4AE1-A24D-48254480430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9" authorId="0" shapeId="0" xr:uid="{E65F6E8A-47A7-492A-BA70-0C25CAEA27A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70" authorId="0" shapeId="0" xr:uid="{895C1A85-37EB-46ED-83A7-32D4B9515C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71" authorId="0" shapeId="0" xr:uid="{24C65EB1-B69A-40BC-B348-3E9411FFD7F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276" authorId="0" shapeId="0" xr:uid="{19AE5185-3A7E-4DDD-958F-3138BF27E99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277" authorId="0" shapeId="0" xr:uid="{E1C0607A-05B8-4401-BDD7-245BD5D87F5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B317" authorId="0" shapeId="0" xr:uid="{07131F95-1CA4-41E2-ACB4-18FA70804E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18" authorId="0" shapeId="0" xr:uid="{6498160D-76C0-4B75-A272-77EFBBDB3CB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19" authorId="0" shapeId="0" xr:uid="{DB89A98E-5AAF-457D-87B6-AAC89DDFAF3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0" authorId="0" shapeId="0" xr:uid="{8982467F-478E-4820-A925-3EA66E6C473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1" authorId="0" shapeId="0" xr:uid="{DD5E1B07-45D7-49EE-9A17-27C8722B7D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2" authorId="0" shapeId="0" xr:uid="{72765529-8234-4C70-BC59-1DDBC554AD4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D357" authorId="0" shapeId="0" xr:uid="{13492F73-351B-4637-AC3C-44B310046FF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カット代不要</t>
        </r>
      </text>
    </comment>
    <comment ref="D367" authorId="0" shapeId="0" xr:uid="{F6BCB5BB-ABF6-47F4-879E-F14E5F7552A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カット代不要</t>
        </r>
      </text>
    </comment>
    <comment ref="G401" authorId="0" shapeId="0" xr:uid="{F5DFF9C8-352B-44B2-9449-69374FA873E4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HK=USD1.03/m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$ 0.80 + メンコ $ 0.01 /m + C&amp;F $ 0.22/m 　</t>
        </r>
      </text>
    </comment>
    <comment ref="G402" authorId="0" shapeId="0" xr:uid="{B7028CFF-28BD-47D0-BB93-BB3662B3AE8B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HK=USD1.03/m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$ 0.80 + メンコ $ 0.01 /m + C&amp;F $ 0.22/m 　</t>
        </r>
      </text>
    </comment>
    <comment ref="G403" authorId="0" shapeId="0" xr:uid="{1BE0C613-DEAD-4658-864A-AD7A513A53AE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0.68/m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$ 0.45 + メンコ $ 0.01 /m + C&amp;F $ 0.22/m 　</t>
        </r>
      </text>
    </comment>
    <comment ref="G404" authorId="0" shapeId="0" xr:uid="{B0F9751C-5ACB-4638-B6E8-8DE4071B71D6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0.68/m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$ 0.45 + メンコ $ 0.01 /m + C&amp;F $ 0.22/m 　</t>
        </r>
      </text>
    </comment>
    <comment ref="G405" authorId="0" shapeId="0" xr:uid="{D57BB6B3-D5F3-4635-A779-6F675808E80F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1.91/m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$ 1.68 + メンコ $ 0.01 /m + C&amp;F $ 0.22/m 　</t>
        </r>
      </text>
    </comment>
    <comment ref="G406" authorId="0" shapeId="0" xr:uid="{9D667757-906F-47C9-A985-D1A897DE3CEA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HK=USD0.74/m
↓前回はCIF 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$ 0.47 + メンコ $ 0.01 /m + C&amp;F $ 0.23/m + insurance $ 0.03 /m　</t>
        </r>
      </text>
    </comment>
    <comment ref="G407" authorId="0" shapeId="0" xr:uid="{DB4B7D38-F8A7-47ED-A7F3-8701119B685E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
↓前回はCIF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$ 0.47 + メンコ $ 0.01 /m + C&amp;F $ 0.23/m + insurance $ 0.03 /m　</t>
        </r>
      </text>
    </comment>
    <comment ref="G408" authorId="0" shapeId="0" xr:uid="{4C57968B-58A7-4733-A0F9-DC530D977B47}">
      <text>
        <r>
          <rPr>
            <b/>
            <sz val="9"/>
            <color indexed="81"/>
            <rFont val="ＭＳ Ｐゴシック"/>
            <family val="3"/>
            <charset val="128"/>
          </rPr>
          <t>chiba:FOB USD 0.26 + 0.20= USD 0.46
C&amp;F HK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09" authorId="0" shapeId="0" xr:uid="{56B48092-287C-4B82-8A76-216FDAED16B6}">
      <text>
        <r>
          <rPr>
            <b/>
            <sz val="9"/>
            <color indexed="81"/>
            <rFont val="ＭＳ Ｐゴシック"/>
            <family val="3"/>
            <charset val="128"/>
          </rPr>
          <t>chiba:FOB USD 0.26 + 0.20= USD 0.46
C&amp;F HK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412" authorId="0" shapeId="0" xr:uid="{C873E1A0-75D3-4416-B2A9-83DC34A1215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413" authorId="0" shapeId="0" xr:uid="{85EF860F-0486-4B76-93F4-65C1D67BA92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414" authorId="0" shapeId="0" xr:uid="{46BDC1EA-0E7F-4D93-8C13-9939E3255B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I427" authorId="0" shapeId="0" xr:uid="{7E544E1B-7ECF-4737-8935-C7092195F3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6" authorId="0" shapeId="0" xr:uid="{3592DCC2-12FF-4407-8CBA-441CD07347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6" authorId="0" shapeId="0" xr:uid="{3CA0494B-45BA-4AA4-A037-B9215D4026E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7" authorId="0" shapeId="0" xr:uid="{97AA3D74-65DD-4889-874B-8B1E948BCB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7" authorId="0" shapeId="0" xr:uid="{11A8AA79-8C8B-4BEE-B40D-E6572B2605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8" authorId="0" shapeId="0" xr:uid="{A703A122-3EF1-4AAF-8AA5-82AD1E9E98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8" authorId="0" shapeId="0" xr:uid="{BCA1C1EE-E812-4C02-86D9-120C3593ADF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9" authorId="0" shapeId="0" xr:uid="{930F74F6-F128-48A1-8003-CC2ADB6A70C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9" authorId="0" shapeId="0" xr:uid="{FB966D2D-5EE2-4CCD-B9F3-61613A9EC83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40" authorId="0" shapeId="0" xr:uid="{73074E62-D9C6-4E27-90F1-934556F944D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40" authorId="0" shapeId="0" xr:uid="{E8F9F96B-EF48-4C45-9B7C-F29D980A3EB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42" authorId="0" shapeId="0" xr:uid="{EE0A9D84-5FDA-4D05-9BA2-A28F205CD63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D509" authorId="0" shapeId="0" xr:uid="{ED771326-820B-4E1C-BDB5-7733B83DCD1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510" authorId="0" shapeId="0" xr:uid="{7E4880BD-5A97-4093-AB33-E1EAE2FF7F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1" authorId="0" shapeId="0" xr:uid="{9A391007-FF60-4B4D-B1E2-A33B7786104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2" authorId="0" shapeId="0" xr:uid="{A934C34F-1B35-4251-9E68-6E0C98EE909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3" authorId="0" shapeId="0" xr:uid="{4AC66210-E7A7-4B59-9F97-2A7D895485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4" authorId="0" shapeId="0" xr:uid="{DBD95CC1-BAD1-4C55-8C1D-1235434B90F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5" authorId="0" shapeId="0" xr:uid="{9DBFC633-EFAB-4C3A-A3C7-F7207CDF88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6" authorId="0" shapeId="0" xr:uid="{C87A35DD-8B05-421D-B5D6-D377C13E3AE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7" authorId="0" shapeId="0" xr:uid="{4BC5391D-3117-463B-BA41-06A3CE4DB38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8" authorId="0" shapeId="0" xr:uid="{A3D0582F-3033-480D-B4AD-0A1E28BDFED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9" authorId="0" shapeId="0" xr:uid="{5909EE2B-C52A-482F-8F68-C50A2359F28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22" authorId="0" shapeId="0" xr:uid="{63507383-317A-4A1E-A19A-8C4E6086735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3" authorId="0" shapeId="0" xr:uid="{065A0E54-5599-45E3-A286-3081363138B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4" authorId="0" shapeId="0" xr:uid="{A90265AC-C869-4918-81F6-0EE45CE3242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5" authorId="0" shapeId="0" xr:uid="{D5B2649E-E0D7-4813-8797-3230655251A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6" authorId="0" shapeId="0" xr:uid="{3CCB2506-038C-4F12-A35B-2B15117F7DD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7" authorId="0" shapeId="0" xr:uid="{9DA58D3C-7B15-40D6-8B8D-1EE885F1123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8" authorId="0" shapeId="0" xr:uid="{465ACA9E-871E-4655-9AEB-D0808709331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9" authorId="0" shapeId="0" xr:uid="{06A569FE-256A-48ED-8746-BD7FB5240A6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0" authorId="0" shapeId="0" xr:uid="{196792C7-FFC5-4ECD-8CBD-4118149D821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1" authorId="0" shapeId="0" xr:uid="{AE3A31E1-BE42-45DF-9AE1-4E8DEAD2D50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2" authorId="0" shapeId="0" xr:uid="{FEEA625E-76E7-43D1-96D3-7591E9B0508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3" authorId="0" shapeId="0" xr:uid="{A89469D2-851F-4162-9441-0B6CB0A810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4" authorId="0" shapeId="0" xr:uid="{D99B9483-C7F8-4795-95CB-80195CD7C9C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5" authorId="0" shapeId="0" xr:uid="{C4D650C4-9891-4127-B663-E69FE9F4908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6" authorId="0" shapeId="0" xr:uid="{D1A2EB7B-F8F4-426D-B42F-482966468C6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7" authorId="0" shapeId="0" xr:uid="{DC048E43-2464-4B3E-BBF8-DAD119B974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8" authorId="0" shapeId="0" xr:uid="{421C2EB0-593E-4033-95D1-466966965B0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9" authorId="0" shapeId="0" xr:uid="{593552DF-C1E1-4211-B684-C6C4079A44F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0" authorId="0" shapeId="0" xr:uid="{26637AB1-832B-4C44-AF7F-436A6662889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1" authorId="0" shapeId="0" xr:uid="{5101040A-4768-4C50-82E3-16B1EAF5C2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2" authorId="0" shapeId="0" xr:uid="{A7BAA371-60CE-48BC-86BE-52FE42E2A22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7" authorId="0" shapeId="0" xr:uid="{E11C0E7F-706D-45D9-9776-43188DD85D1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8" authorId="0" shapeId="0" xr:uid="{1778D110-35BE-46A5-8AB2-876BDB564A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9" authorId="0" shapeId="0" xr:uid="{EFE60195-A4D9-4F39-BD0A-AF30C61F36E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0" authorId="0" shapeId="0" xr:uid="{05BD9FCB-2919-414D-A3C9-E54B9A66DAC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1" authorId="0" shapeId="0" xr:uid="{0DB7CEFB-6A02-4EC6-B563-2BBE998FBE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2" authorId="0" shapeId="0" xr:uid="{7FEF24EE-7192-4C1E-A740-52A053F1687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3" authorId="0" shapeId="0" xr:uid="{6C795629-B344-4A4E-AF0F-0278D9DEC69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4" authorId="0" shapeId="0" xr:uid="{08E83473-E597-4CB5-A717-7B26D39D9AC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5" authorId="0" shapeId="0" xr:uid="{A094C13E-325F-4A10-9601-FFF1FE2F802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6" authorId="0" shapeId="0" xr:uid="{D3262AB1-D685-4ACA-9059-63D50078F3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7" authorId="0" shapeId="0" xr:uid="{A3F4E50E-7FCB-4D4E-91DC-A9D40F7586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8" authorId="0" shapeId="0" xr:uid="{739EF8B9-E039-4894-B946-963E17652EC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9" authorId="0" shapeId="0" xr:uid="{CF25A3A6-93E2-4150-8036-A27F19A445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60" authorId="0" shapeId="0" xr:uid="{850C7BA6-F819-46B2-B896-743B88F7A14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G571" authorId="0" shapeId="0" xr:uid="{F163F9A4-286D-47F5-B583-5E81A01A48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
</t>
        </r>
      </text>
    </comment>
    <comment ref="G572" authorId="0" shapeId="0" xr:uid="{41B99DA5-5150-4782-80B8-D6AB0175BD8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
</t>
        </r>
      </text>
    </comment>
    <comment ref="C577" authorId="0" shapeId="0" xr:uid="{4EE222AC-94A9-4266-957E-9D477A0B53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Coach Reserve 1430m</t>
        </r>
      </text>
    </comment>
    <comment ref="F577" authorId="0" shapeId="0" xr:uid="{60FDAA2A-F16E-4FF7-93D7-A9DF19EC16B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7" authorId="0" shapeId="0" xr:uid="{38ED5A7D-8F01-47D4-A94A-5F4BA1606BF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78" authorId="0" shapeId="0" xr:uid="{C2A14C50-743F-469D-B9D9-84F545D93C9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8" authorId="0" shapeId="0" xr:uid="{5FFC107F-ED37-45A5-8BD0-50D778FF5DB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79" authorId="0" shapeId="0" xr:uid="{300D1A3D-649F-480D-A4F1-E52E95C798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9" authorId="0" shapeId="0" xr:uid="{5D95F231-5016-4350-B79A-2F65204A255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0" authorId="0" shapeId="0" xr:uid="{5AB3ECB1-EC96-42AA-A716-D474ADBFEEA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0" authorId="0" shapeId="0" xr:uid="{B0C7F7DC-0BC6-40B8-A637-03A6E44DE0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C581" authorId="0" shapeId="0" xr:uid="{1DF0D0CD-9908-4B14-A1EC-3241271653A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Coach Reserve 1345m</t>
        </r>
      </text>
    </comment>
    <comment ref="F581" authorId="0" shapeId="0" xr:uid="{002EC4E4-9DF5-480F-A70F-CBEF20018DC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1" authorId="0" shapeId="0" xr:uid="{5D572D48-A8AE-4200-A85B-FC8336BBE90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2" authorId="0" shapeId="0" xr:uid="{35468EA1-40BC-40F7-9D73-6C99A4F2425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2" authorId="0" shapeId="0" xr:uid="{A4C66B28-DCD4-42BE-AD6B-C67C79B984E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3" authorId="0" shapeId="0" xr:uid="{3C847830-1E05-44F2-92BE-083ED8383D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3" authorId="0" shapeId="0" xr:uid="{2ABFBC0C-160C-4F29-828D-682FC6BDD91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93" authorId="0" shapeId="0" xr:uid="{A05F2B79-EDA4-4409-8496-30CEF80BD34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Derek Lam 特別単価
レート￥90 くらい</t>
        </r>
      </text>
    </comment>
    <comment ref="F596" authorId="0" shapeId="0" xr:uid="{333524F3-CAF8-403D-9EE8-79A4D8D44FF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Derek Lam 特別単価
レート￥90 くらい</t>
        </r>
      </text>
    </comment>
    <comment ref="E622" authorId="0" shapeId="0" xr:uid="{639B7F59-1AD2-47DF-A5CE-26241EFDC4F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</t>
        </r>
      </text>
    </comment>
    <comment ref="G656" authorId="0" shapeId="0" xr:uid="{60AC512F-9240-4736-9805-123547562DA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375 /col</t>
        </r>
      </text>
    </comment>
    <comment ref="F702" authorId="0" shapeId="0" xr:uid="{C5F32F25-D46B-4D0A-A386-806CEFA5B65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703" authorId="0" shapeId="0" xr:uid="{97E3BC83-317D-46A4-8631-70CE35D9991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A715" authorId="0" shapeId="0" xr:uid="{AA9CEC61-F7A2-4DD1-8377-9EDFF3BBB00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6" authorId="0" shapeId="0" xr:uid="{DE3DE70D-35D1-4C4D-BAE7-296EE7939B7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7" authorId="0" shapeId="0" xr:uid="{259CDDE4-27E5-4BA1-AE8A-46C1D92E86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8" authorId="0" shapeId="0" xr:uid="{39F8A2E6-09C4-45B3-BA53-3C0C00BF54A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0" authorId="0" shapeId="0" xr:uid="{CCF7B71D-8853-48E2-B2B4-756B48F264D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1" authorId="0" shapeId="0" xr:uid="{9F908D95-2112-46A5-8B3B-2387B68BC7B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2" authorId="0" shapeId="0" xr:uid="{8E148AEF-9D9B-4697-BF0B-EFE54682CA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3" authorId="0" shapeId="0" xr:uid="{E6F3270C-3A9C-4880-8D84-E0E354ECE2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808" authorId="0" shapeId="0" xr:uid="{6D1645FF-E5D0-48C1-929F-685304A22A6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809" authorId="0" shapeId="0" xr:uid="{576888CB-CEFD-4BAE-BD22-127BE84F6EF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I812" authorId="0" shapeId="0" xr:uid="{9BD6F4F5-A30A-4E8C-8622-CB64F321E29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</t>
        </r>
      </text>
    </comment>
    <comment ref="N812" authorId="0" shapeId="0" xr:uid="{C9F6ECE2-D259-4EF0-9BD8-CF35D7BCA28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</t>
        </r>
      </text>
    </comment>
    <comment ref="I825" authorId="0" shapeId="0" xr:uid="{0C19762B-CC90-487E-9B1D-34751B0B78A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0.22/m
Handling Fee 分0.01 /m プラスで USD 0.23/m</t>
        </r>
      </text>
    </comment>
    <comment ref="N825" authorId="0" shapeId="0" xr:uid="{27900844-3C51-4ABF-8718-A2959AEE9C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0.17/m
Handling Fee 分0.01 /m プラスで USD 0.18/m</t>
        </r>
      </text>
    </comment>
    <comment ref="I826" authorId="0" shapeId="0" xr:uid="{D3BB134C-D50F-4C1E-9945-51BA03430F5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0.22/m
Handling Fee 分0.01 /m プラスで USD 0.23/m
</t>
        </r>
      </text>
    </comment>
    <comment ref="N826" authorId="0" shapeId="0" xr:uid="{47937A39-111D-44CC-B6C5-D5FD1F213F8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0.17/m
Handling Fee 分0.01 /m プラスで USD 0.18/m</t>
        </r>
      </text>
    </comment>
    <comment ref="I827" authorId="0" shapeId="0" xr:uid="{77550232-B79A-4EE0-9A4B-6A7B4145D37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0.22/m
Handling Fee 分0.01 /m プラスで USD 0.23/m
</t>
        </r>
      </text>
    </comment>
    <comment ref="N827" authorId="0" shapeId="0" xr:uid="{7749184F-C5C9-4EAF-89E0-3BC003EACC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0.17/m
Handling Fee 分0.01 /m プラスで USD 0.18/m</t>
        </r>
      </text>
    </comment>
    <comment ref="I828" authorId="0" shapeId="0" xr:uid="{437694DA-40EE-4A6A-B68E-431AEAE75C1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0.22/m
Handling Fee 分0.01 /m プラスで USD 0.23/m</t>
        </r>
      </text>
    </comment>
    <comment ref="N828" authorId="0" shapeId="0" xr:uid="{2F13D6CA-3050-4687-BEC1-D6480F24ADC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0.17/m
Handling Fee 分0.01 /m プラスで USD 0.18/m</t>
        </r>
      </text>
    </comment>
    <comment ref="H939" authorId="0" shapeId="0" xr:uid="{7B07E075-2F0F-4832-B590-865BF2079D8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A946" authorId="0" shapeId="0" xr:uid="{ED806370-5D83-496C-953C-BBEDD28FC59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G958" authorId="1" shapeId="0" xr:uid="{D0DCC0C7-286A-4FE0-8F30-BD84C56F247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レート98
</t>
        </r>
      </text>
    </comment>
    <comment ref="F991" authorId="0" shapeId="0" xr:uid="{624843C7-1BE0-40CB-A069-71BB902C29CB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F992" authorId="0" shapeId="0" xr:uid="{20F5678F-0DA0-4461-8E78-8FE5C98EBDEB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F993" authorId="0" shapeId="0" xr:uid="{0CA3F648-6447-4E7E-8D9E-578561AA8105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
500m 以上特価</t>
        </r>
      </text>
    </comment>
    <comment ref="D1019" authorId="0" shapeId="0" xr:uid="{07BC35AE-CB4B-4618-AD7E-999A095DC7AF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D1020" authorId="0" shapeId="0" xr:uid="{71ED8CC7-796A-433E-87CF-438DDF89BB5E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1" authorId="0" shapeId="0" xr:uid="{83386B23-A0C5-448E-AC76-84E21498B4EC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2" authorId="0" shapeId="0" xr:uid="{5B94A711-31AD-4C24-B6D6-B791CDA02928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3" authorId="0" shapeId="0" xr:uid="{3FDEEAAA-CD61-42C9-87A2-1C339324D732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4" authorId="0" shapeId="0" xr:uid="{C21F4BF9-9956-4178-8BB3-BE21E15B7497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5" authorId="0" shapeId="0" xr:uid="{386CA144-97BE-4BE7-BFA5-764699E8236A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6" authorId="0" shapeId="0" xr:uid="{82B7F25E-3AAD-49FB-8861-E0418038D3B2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7" authorId="0" shapeId="0" xr:uid="{13C23F74-A8A9-49F3-B25F-59678A6634E5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8" authorId="0" shapeId="0" xr:uid="{B8BA2653-73BD-4CED-8F9F-867CAC83C1FF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135" authorId="0" shapeId="0" xr:uid="{E3CA6EF5-0D0B-40A2-B332-533B627A8E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95
</t>
        </r>
      </text>
    </comment>
    <comment ref="D1136" authorId="0" shapeId="0" xr:uid="{383DD3FC-3A69-4023-9641-F622427C99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95
</t>
        </r>
      </text>
    </comment>
    <comment ref="E1151" authorId="0" shapeId="0" xr:uid="{D49E4D60-049D-4FF4-A65D-C384A8E1F66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100m にdecreas ?? </t>
        </r>
      </text>
    </comment>
    <comment ref="E1210" authorId="0" shapeId="0" xr:uid="{D7B2211E-0E61-4CE7-BCE3-87024651F8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100
</t>
        </r>
      </text>
    </comment>
    <comment ref="E1211" authorId="0" shapeId="0" xr:uid="{E48B01FC-F63F-43C6-888E-5175947893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
レート 85
</t>
        </r>
      </text>
    </comment>
    <comment ref="E1213" authorId="0" shapeId="0" xr:uid="{EB7C5035-F05D-4ECD-9339-03D1128958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100
</t>
        </r>
      </text>
    </comment>
    <comment ref="D1277" authorId="0" shapeId="0" xr:uid="{3946D247-59C6-4C4F-BCE8-4C2D1AE7A8A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78" authorId="0" shapeId="0" xr:uid="{266B5604-F724-46D0-874D-ED480CA9BAD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79" authorId="0" shapeId="0" xr:uid="{E9C96450-2660-4762-9A2B-597033F069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80" authorId="0" shapeId="0" xr:uid="{86393CDD-8041-4901-8555-6C4BCC35E8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81" authorId="0" shapeId="0" xr:uid="{0F5A88BA-4A34-4C05-9AC1-E9797E78B1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52" authorId="0" shapeId="0" xr:uid="{55D996FE-DD2E-42E1-832F-FC67593AC17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E1353" authorId="0" shapeId="0" xr:uid="{8B5B2E06-0766-43C7-83FA-FD43F2A870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E1356" authorId="0" shapeId="0" xr:uid="{904F173E-6043-4984-9FB0-78A498F64B4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A1375" authorId="1" shapeId="0" xr:uid="{FE58A0CA-C004-45EA-90BA-F0FD224B4B1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2801
</t>
        </r>
      </text>
    </comment>
    <comment ref="A1381" authorId="1" shapeId="0" xr:uid="{658AADC5-5C00-405D-8618-F755852BAA5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2880</t>
        </r>
      </text>
    </comment>
    <comment ref="D1407" authorId="1" shapeId="0" xr:uid="{D02DE6D6-807E-4E44-BD9A-00FAF0ED808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08" authorId="1" shapeId="0" xr:uid="{E612B9DB-101C-4490-A98C-DCCC47A6E19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09" authorId="1" shapeId="0" xr:uid="{66A02D5F-D81A-44A1-BAEF-1020D050FBC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10" authorId="1" shapeId="0" xr:uid="{CB8E0BD8-4AF3-4B3D-8B21-AF2B6DF63E4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4" authorId="1" shapeId="0" xr:uid="{B28DB9B8-B44C-42BB-9E30-DD07DF516FE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5" authorId="1" shapeId="0" xr:uid="{F84203A2-A2FD-4CBE-96A8-C93807BFBD7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7" authorId="1" shapeId="0" xr:uid="{487FB3B0-08BC-434B-9552-2B21FC2543E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8" authorId="1" shapeId="0" xr:uid="{4E9D34C3-388E-4100-82DB-5C0913A558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C1432" authorId="1" shapeId="0" xr:uid="{DA67EF99-970B-4B05-8067-C45CB76C333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63" authorId="1" shapeId="0" xr:uid="{F5E02693-4F4E-49B7-9775-E20E7972BCE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65" authorId="1" shapeId="0" xr:uid="{9AC6F86E-F3BC-4254-80F1-8B4016282A5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E1469" authorId="1" shapeId="0" xr:uid="{6C6BE50F-9969-41BC-8D7A-AED8C20A3C6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E1470" authorId="1" shapeId="0" xr:uid="{8EDCF1CE-556C-4440-B29D-35CE60A10CE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E1475" authorId="1" shapeId="0" xr:uid="{7E77ED0A-AAAE-4328-8A7D-CF83EB5A946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</t>
        </r>
      </text>
    </comment>
    <comment ref="E1476" authorId="1" shapeId="0" xr:uid="{9E5C461C-F60E-4516-9BA2-AC5BA5F6AA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</t>
        </r>
      </text>
    </comment>
    <comment ref="C1479" authorId="1" shapeId="0" xr:uid="{FE5FFD69-F14A-4E3A-A702-D498CF98BA8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89" authorId="1" shapeId="0" xr:uid="{F50CC946-EE51-4C0D-A29A-0C50C59982E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91" authorId="1" shapeId="0" xr:uid="{C6D038A0-A3FF-44D8-BE3B-4F0C30C0A34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C1491" authorId="1" shapeId="0" xr:uid="{410D0984-8924-4963-ACAA-1E441BE6196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5m test
1m shipping sample 
4m 控え
</t>
        </r>
      </text>
    </comment>
    <comment ref="C1492" authorId="1" shapeId="0" xr:uid="{C1BCD7AA-5AC9-4BB0-AAA5-A98EA83A0B3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5m test
1m shipping sample 
4m 控え
</t>
        </r>
      </text>
    </comment>
    <comment ref="B1493" authorId="1" shapeId="0" xr:uid="{B97F94DD-B177-4902-870D-0AEDDC2745F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A1512" authorId="1" shapeId="0" xr:uid="{2E9043BC-67EA-4626-9BEC-9D5D5666884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# 3263</t>
        </r>
      </text>
    </comment>
    <comment ref="F1534" authorId="1" shapeId="0" xr:uid="{2BB20A8E-8F3F-45ED-AE58-A2893FFA762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F1545" authorId="1" shapeId="0" xr:uid="{21CD5A4E-ED35-4A1A-A47F-BD9DFD814EE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A1552" authorId="0" shapeId="0" xr:uid="{C6DA2636-408E-48F2-8E32-089D1937A5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: 3340</t>
        </r>
      </text>
    </comment>
    <comment ref="B1559" authorId="1" shapeId="0" xr:uid="{8270857D-77DA-4685-BF2C-A65552FA084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3369 </t>
        </r>
      </text>
    </comment>
    <comment ref="F1564" authorId="1" shapeId="0" xr:uid="{E1879714-6A30-4C5A-A3DE-3A6CD4B4441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B1568" authorId="1" shapeId="0" xr:uid="{437168DB-0184-49E5-988E-C22C564BD1A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3370</t>
        </r>
      </text>
    </comment>
    <comment ref="F1575" authorId="1" shapeId="0" xr:uid="{448E6192-CCCA-4DAB-8B2A-9C975ECDB9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A1638" authorId="0" shapeId="0" xr:uid="{073EAF08-480D-4FBB-867C-734F9B1CEF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PI＃3603</t>
        </r>
      </text>
    </comment>
    <comment ref="D1653" authorId="0" shapeId="0" xr:uid="{D6561108-08D4-4608-BF7E-BD70DA34DB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D1654" authorId="0" shapeId="0" xr:uid="{AFD9ED23-2B72-4B5E-9387-4A14E5D957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D1655" authorId="0" shapeId="0" xr:uid="{B315B0D3-4F85-49D0-A43E-7E92E81270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B1662" authorId="0" shapeId="0" xr:uid="{0648155A-E1EF-4D0B-A771-AFF3FDAF2E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PI＃3838</t>
        </r>
      </text>
    </comment>
    <comment ref="A1667" authorId="0" shapeId="0" xr:uid="{7CC0A7C8-EF29-4A9D-BDF8-0050921A9E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PI＃3836</t>
        </r>
      </text>
    </comment>
    <comment ref="A1710" authorId="1" shapeId="0" xr:uid="{9DE3E5E7-BFE8-4F30-A074-68AC41E295D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3844 for Col.13 Coral </t>
        </r>
      </text>
    </comment>
    <comment ref="D1710" authorId="1" shapeId="0" xr:uid="{B7750AE1-4EB7-4B7B-B622-8798923051A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1" authorId="1" shapeId="0" xr:uid="{4CA51E52-CDA1-4A55-9062-12381BBBBF9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E1711" authorId="0" shapeId="0" xr:uid="{00E90938-B018-4E11-9BA3-91FD914488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顧客にはtest fee 一括でUSD 210.99で請求</t>
        </r>
      </text>
    </comment>
    <comment ref="D1712" authorId="1" shapeId="0" xr:uid="{17092221-F4CD-4DC2-9DDC-EBD199E2457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3" authorId="1" shapeId="0" xr:uid="{0EB39858-3CD4-4D90-912F-233E3A625CF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4" authorId="1" shapeId="0" xr:uid="{F40FCC0F-50A7-48CF-AA8D-0BB83DBD86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test= USD 150 ( NYが支払うので、NY には請求無し） </t>
        </r>
      </text>
    </comment>
    <comment ref="D1715" authorId="1" shapeId="0" xr:uid="{F5AEBEAF-A318-4769-8EA8-9878121A37D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バルク単価で対応</t>
        </r>
      </text>
    </comment>
    <comment ref="D1716" authorId="1" shapeId="0" xr:uid="{BD62DFAA-7A46-4561-85D1-6668E96D8AD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7" authorId="1" shapeId="0" xr:uid="{43C4CC52-0FE5-41E1-8344-633A48EDF33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バルク単価で対応
</t>
        </r>
      </text>
    </comment>
    <comment ref="E1717" authorId="0" shapeId="0" xr:uid="{F5BA4DFF-A0D6-4E81-AC7A-2AC3D611AE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顧客にはtest fee USD 200で請求</t>
        </r>
      </text>
    </comment>
    <comment ref="D1718" authorId="1" shapeId="0" xr:uid="{517CA2FB-6673-469C-A451-4B8B34973DB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9" authorId="1" shapeId="0" xr:uid="{37F1D038-FD9F-44F2-A2B1-5BE36D0E7A8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50" authorId="0" shapeId="0" xr:uid="{ACDC4FDE-88B2-499C-B152-4D1DC94FE1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D1751" authorId="0" shapeId="0" xr:uid="{3CA57C33-9454-424E-AAD3-9BADF3F7FC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H1752" authorId="0" shapeId="0" xr:uid="{2F3101CE-9211-4FD3-ACB7-0F3B97F6BB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I1752" authorId="0" shapeId="0" xr:uid="{7C11C962-1571-4DBB-85DF-CF177B9C3E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R1752" authorId="0" shapeId="0" xr:uid="{60431B1B-B170-49D0-A660-32684AAE7E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S1752" authorId="0" shapeId="0" xr:uid="{9B2A59C1-EA22-4709-8136-E4990F7DD5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D1754" authorId="0" shapeId="0" xr:uid="{CFCB36C5-5792-42B6-85F7-CBDC18654F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H1755" authorId="0" shapeId="0" xr:uid="{FDF62481-DB6D-4637-B530-637935C393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I1755" authorId="0" shapeId="0" xr:uid="{557B9CF9-6D77-485A-B954-AA5DF349CDE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R1755" authorId="0" shapeId="0" xr:uid="{D57F1C28-FD69-4BF8-A43A-CB425E2B9E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S1755" authorId="0" shapeId="0" xr:uid="{074472FB-6A54-4427-86A9-0C0DBFDC5E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D1759" authorId="0" shapeId="0" xr:uid="{78B568B0-7E85-4A39-B2A6-5BE5365B2F7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D1760" authorId="0" shapeId="0" xr:uid="{995DF0E3-8096-4389-8108-ADDED9EBDD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D1761" authorId="0" shapeId="0" xr:uid="{8887CBE7-CF1E-4A41-82AE-E31050BA3B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H1762" authorId="0" shapeId="0" xr:uid="{A5705EA0-3EC3-45CF-9F73-334562DA44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I1762" authorId="0" shapeId="0" xr:uid="{F68FA911-5E9A-4C0C-8849-623DA0D61F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R1762" authorId="0" shapeId="0" xr:uid="{6F6F5052-8115-4F1F-B1FE-C47F0B3921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S1762" authorId="0" shapeId="0" xr:uid="{86590D64-11B2-4AA7-B675-71CB012F94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H1763" authorId="0" shapeId="0" xr:uid="{85D67428-1330-414A-9D04-DB11C26F561A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I1763" authorId="0" shapeId="0" xr:uid="{519175C7-E025-4297-94A4-D926E2FEF397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J1763" authorId="0" shapeId="0" xr:uid="{F0242C28-84B1-4037-86D7-4309E62CF9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PO-02723と一緒に手配なので、無し</t>
        </r>
      </text>
    </comment>
    <comment ref="R1763" authorId="0" shapeId="0" xr:uid="{C84DAF92-466C-4659-B786-573E531BA7A9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S1763" authorId="0" shapeId="0" xr:uid="{F4E08B39-A2FD-418A-A847-D8FCA3B60AF7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F1811" authorId="0" shapeId="0" xr:uid="{3A88898B-EDA1-49BA-9354-C7D3CB67A4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181円/m(メタリックカラー 197円/m)</t>
        </r>
      </text>
    </comment>
    <comment ref="F1817" authorId="0" shapeId="0" xr:uid="{FAF49513-853A-4284-A90D-DF878C1165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181円/m(メタリックカラー 197円/m)</t>
        </r>
      </text>
    </comment>
    <comment ref="A1926" authorId="0" shapeId="0" xr:uid="{F483FA8E-FF61-461C-9898-345B83D4E4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27" authorId="0" shapeId="0" xr:uid="{4702D319-10AA-49EB-990D-2A74A14160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28" authorId="0" shapeId="0" xr:uid="{98C55DB2-304D-4CBF-B068-E2C5C1A70C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29" authorId="0" shapeId="0" xr:uid="{DA0948E0-4667-4B58-8BFE-6BA5B82C1E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30" authorId="0" shapeId="0" xr:uid="{EC98A70D-A908-4ACD-B91F-513CF661FA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31" authorId="0" shapeId="0" xr:uid="{CCA4C086-12C4-44AA-AE18-68635A1887F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C1931" authorId="0" shapeId="0" xr:uid="{50D8BAF0-A0A8-4DAD-B463-491E8CF283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
</t>
        </r>
      </text>
    </comment>
    <comment ref="A1981" authorId="0" shapeId="0" xr:uid="{2009B624-FE18-49B8-B487-51111518FF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(KKF8825 D#3)</t>
        </r>
      </text>
    </comment>
    <comment ref="A1982" authorId="0" shapeId="0" xr:uid="{2A0FC056-5693-42B8-975F-55A9C465E3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(KKF8825 D#3)</t>
        </r>
      </text>
    </comment>
    <comment ref="A1989" authorId="0" shapeId="0" xr:uid="{1E5C9573-D23E-41C0-9B5D-2CC07588BA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1990" authorId="0" shapeId="0" xr:uid="{69804DD3-9FE0-4EE8-89B0-592A3BCA8E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1995" authorId="0" shapeId="0" xr:uid="{C536307E-A105-4B4B-9EFA-5563C50CB7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6756</t>
        </r>
      </text>
    </comment>
    <comment ref="A2001" authorId="0" shapeId="0" xr:uid="{2456D15A-FED9-4B55-AE3D-5527B42B9B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A2002" authorId="0" shapeId="0" xr:uid="{D82A298C-8676-4483-91AC-DCDC551953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A2010" authorId="0" shapeId="0" xr:uid="{5E8DA581-C62D-4117-BE72-4C0F12ECAB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KKF2230 D#2</t>
        </r>
      </text>
    </comment>
    <comment ref="A2011" authorId="0" shapeId="0" xr:uid="{311D55CD-047E-4FA8-B905-8B1C78D9AD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KKF2230 D#2</t>
        </r>
      </text>
    </comment>
    <comment ref="A2083" authorId="0" shapeId="0" xr:uid="{9C8D3C39-34A2-486C-AE56-429245A46E4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2084" authorId="0" shapeId="0" xr:uid="{3AEBE203-FCB6-418E-A653-C3DF661282E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2121" authorId="1" shapeId="0" xr:uid="{FDB255E2-9A43-41AA-A3FC-60A0219A4B6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A2122" authorId="1" shapeId="0" xr:uid="{0EC14667-A12F-4DE0-AB9C-B47E40BFF53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A2132" authorId="0" shapeId="0" xr:uid="{280E0276-9090-4A45-9241-C72A040282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D/#1</t>
        </r>
      </text>
    </comment>
    <comment ref="A2133" authorId="0" shapeId="0" xr:uid="{995A4221-9AF3-407F-9591-6223B78934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D/#1</t>
        </r>
      </text>
    </comment>
    <comment ref="D2135" authorId="0" shapeId="0" xr:uid="{17523316-ECF2-4A98-A852-61BDDA9DFE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 カット代 100円/m +念のためキバタ生産アップチャージ 100円/m</t>
        </r>
      </text>
    </comment>
    <comment ref="D2136" authorId="0" shapeId="0" xr:uid="{E9E912BA-A7E7-4C01-9FA6-A359FEA6C9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+念のためキバタ生産1反〜9反 100円/mアップ+輸出梱包 30円/m </t>
        </r>
      </text>
    </comment>
    <comment ref="A2157" authorId="1" shapeId="0" xr:uid="{246AD061-E277-45D2-9556-08C2B2ACBEE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A2162" authorId="0" shapeId="0" xr:uid="{E1026A98-2F6F-4086-9558-34791B669B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
</t>
        </r>
      </text>
    </comment>
    <comment ref="A2163" authorId="0" shapeId="0" xr:uid="{274CF0D2-3FD2-4A1E-BB5C-29432C7C23C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  <comment ref="A2164" authorId="0" shapeId="0" xr:uid="{F5C3149C-D840-4D31-A476-55DAB39B5B1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  <comment ref="A2165" authorId="0" shapeId="0" xr:uid="{2BC0A0FA-A049-4299-AA95-4B578E1226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  <comment ref="A2166" authorId="0" shapeId="0" xr:uid="{29379F2B-90CF-41A3-BC9C-0E01DBF1B2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
</t>
        </r>
      </text>
    </comment>
    <comment ref="A2194" authorId="0" shapeId="0" xr:uid="{76C759AE-E853-4CF6-A7C3-F9AD243287A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KKF9225 D#1</t>
        </r>
      </text>
    </comment>
    <comment ref="A2195" authorId="0" shapeId="0" xr:uid="{81B3EA83-FC9B-40F7-A0D1-991C230A7E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KKF9225 D#1</t>
        </r>
      </text>
    </comment>
    <comment ref="A2196" authorId="0" shapeId="0" xr:uid="{0D749A12-755A-488C-BEA7-8017E03A4B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D#1</t>
        </r>
      </text>
    </comment>
    <comment ref="A2197" authorId="0" shapeId="0" xr:uid="{B39E97F4-2912-4928-9BA7-184DC412D4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D#1</t>
        </r>
      </text>
    </comment>
    <comment ref="G2223" authorId="0" shapeId="0" xr:uid="{926CA3C6-F04A-4FBC-B1D4-4A442D85A3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2224" authorId="0" shapeId="0" xr:uid="{6E8B542F-0005-4D61-92AA-EF93000B9AD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2225" authorId="0" shapeId="0" xr:uid="{C741BD10-7583-4381-BF30-DC7452C28E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2226" authorId="0" shapeId="0" xr:uid="{C917CA38-1FE1-49F8-A93C-CCE8F293C6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A2328" authorId="0" shapeId="0" xr:uid="{A9361A88-4078-4AE1-994E-F8F198F4FA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A2329" authorId="0" shapeId="0" xr:uid="{6E486EF8-C219-4182-AB78-BCBF0C9EC39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A2340" authorId="1" shapeId="0" xr:uid="{3B8B845F-7C0C-4D22-9765-D1CD842925A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A2341" authorId="1" shapeId="0" xr:uid="{D7F587BC-11D7-4362-BBEB-A20A1343914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D2347" authorId="0" shapeId="0" xr:uid="{7EFFF23C-4BB4-4F1A-8502-170ECB3137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 カット代 100円/m +念のためキバタ生産アップチャージ 100円/m</t>
        </r>
      </text>
    </comment>
    <comment ref="D2348" authorId="0" shapeId="0" xr:uid="{CA19B7E2-CCA1-4BDD-A736-1F7F380A73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+念のためキバタ生産1反〜9反 100円/mアップ+輸出梱包 30円/m </t>
        </r>
      </text>
    </comment>
    <comment ref="D2350" authorId="0" shapeId="0" xr:uid="{0B127816-E125-4591-A073-07E99D9253B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商品代650円 + カット代 100円/m +念のためキバタ生産アップチャージ 100円/m</t>
        </r>
      </text>
    </comment>
    <comment ref="D2351" authorId="0" shapeId="0" xr:uid="{302F7833-23EE-428B-ABFB-959ABF0873F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商品代650円 +念のためキバタ生産1反〜9反 100円/mアップ+輸出梱包 30円/m </t>
        </r>
      </text>
    </comment>
    <comment ref="F2398" authorId="0" shapeId="0" xr:uid="{DA1F03A8-0F55-4E76-977A-FD1C6556EF2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2025年7月より160円/m</t>
        </r>
      </text>
    </comment>
    <comment ref="F2399" authorId="0" shapeId="0" xr:uid="{8DD73711-9127-45EE-9B11-75DBB162C6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2025年7月より160円/m</t>
        </r>
      </text>
    </comment>
    <comment ref="F2400" authorId="0" shapeId="0" xr:uid="{269C6854-BA2E-4463-93B9-9C412BC81D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2025年7月より130円/m</t>
        </r>
      </text>
    </comment>
    <comment ref="F2401" authorId="0" shapeId="0" xr:uid="{8CF736C0-D64F-4A0C-A755-8AD42F40E9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2025年7月より130円/m</t>
        </r>
      </text>
    </comment>
    <comment ref="A2591" authorId="2" shapeId="0" xr:uid="{448EFB70-1CF7-4DDC-888C-43C4893BBD8E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2" authorId="2" shapeId="0" xr:uid="{67EC25A2-71D0-40A1-A8B8-7D6A77FCE08E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3" authorId="2" shapeId="0" xr:uid="{FEFFA617-8E84-4127-A4F4-D91BBA4032A9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4" authorId="2" shapeId="0" xr:uid="{D0E4997F-D99E-44AA-9948-61AF60E0AC55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5" authorId="2" shapeId="0" xr:uid="{95C3923D-D8FC-4531-A042-CBF72BCDD20A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6" authorId="2" shapeId="0" xr:uid="{FE317439-8979-4796-B7E1-C05130701D8F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611" authorId="0" shapeId="0" xr:uid="{3F704114-B8FA-46DF-8A29-E85A220770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KKF9385-W</t>
        </r>
      </text>
    </comment>
    <comment ref="A2612" authorId="0" shapeId="0" xr:uid="{382200F2-93CA-4134-9412-2BCD1D7064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KKF9385-W</t>
        </r>
      </text>
    </comment>
    <comment ref="A2617" authorId="0" shapeId="0" xr:uid="{3120203B-4C4C-407F-84B5-66CFC82CAF5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KKF9385-W</t>
        </r>
      </text>
    </comment>
    <comment ref="A2622" authorId="0" shapeId="0" xr:uid="{B850C8D5-CE92-4082-A5E5-B24C8EDF96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3" authorId="0" shapeId="0" xr:uid="{80406C8B-25AE-4A7A-8F33-2916EEEEFB4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5" authorId="0" shapeId="0" xr:uid="{71B4F38E-527C-4A6D-9A06-3A2C927004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6" authorId="0" shapeId="0" xr:uid="{92C266E9-33C6-4B04-B416-D1D8D1A348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7" authorId="0" shapeId="0" xr:uid="{8765C52D-654B-40F1-BDD4-BD926BB033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D2627" authorId="0" shapeId="0" xr:uid="{1954D696-EBCC-4CB0-8725-1C0317A474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＊C0撥水時、バルク@50/mアップ+バルク梱包費用 +30 
1680+30=1710</t>
        </r>
      </text>
    </comment>
    <comment ref="A2648" authorId="0" shapeId="0" xr:uid="{C80372D9-C4B4-40EB-9F79-AA7658DE2F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49" authorId="0" shapeId="0" xr:uid="{D601D4D6-5734-4369-8C57-FCD5E9BD55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51" authorId="0" shapeId="0" xr:uid="{A58D0061-9AF9-4CAD-A93A-A2B59A6458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52" authorId="0" shapeId="0" xr:uid="{98292CBC-85C2-474B-A279-0B42750A73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53" authorId="0" shapeId="0" xr:uid="{B4DD8D37-15B2-447B-898B-52732DC959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D2653" authorId="0" shapeId="0" xr:uid="{CEC60C70-6B4D-45C8-A659-8AB68446D0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＊C0撥水時、バルク@50/mアップ+バルク梱包費用 +30 
1680+30=1710</t>
        </r>
      </text>
    </comment>
    <comment ref="A2680" authorId="0" shapeId="0" xr:uid="{EC829E14-0DD0-4A66-B372-59F92D255392}">
      <text>
        <r>
          <rPr>
            <b/>
            <sz val="9"/>
            <color indexed="81"/>
            <rFont val="MS P ゴシック"/>
            <family val="3"/>
            <charset val="128"/>
          </rPr>
          <t>chiba:
KKS2786J</t>
        </r>
        <r>
          <rPr>
            <sz val="9"/>
            <color indexed="81"/>
            <rFont val="MS P ゴシック"/>
            <family val="3"/>
            <charset val="128"/>
          </rPr>
          <t xml:space="preserve"> </t>
        </r>
      </text>
    </comment>
    <comment ref="A2681" authorId="0" shapeId="0" xr:uid="{E5DE34AA-ED65-40A5-A1E8-1D67C0C50B9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KKS2786J </t>
        </r>
      </text>
    </comment>
    <comment ref="A2683" authorId="0" shapeId="0" xr:uid="{50D82396-3C0A-4EB2-800D-3E408EA1AC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84" authorId="0" shapeId="0" xr:uid="{6C7A2C75-E3E2-44AB-A92E-69FE1486E0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86" authorId="0" shapeId="0" xr:uid="{9991DC33-8F6E-4CCF-B713-2FF3E75E66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KKF6111-58 </t>
        </r>
      </text>
    </comment>
    <comment ref="A2687" authorId="0" shapeId="0" xr:uid="{DE1FF180-B171-49A8-B69C-F0395C246D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KKF6111-58 </t>
        </r>
      </text>
    </comment>
    <comment ref="A2939" authorId="0" shapeId="0" xr:uid="{D52E5E85-A9E2-4FCF-8741-D070ED07EB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A2943" authorId="0" shapeId="0" xr:uid="{383309B9-DE97-4C01-9D3E-D2E2DBF96A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F2958" authorId="0" shapeId="0" xr:uid="{F7FD178C-F1A6-47FB-A5C1-EC1C9B064C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2026年2月1日以降出荷分（6か月間有効）は2280円/m (現行2230円/m)</t>
        </r>
      </text>
    </comment>
    <comment ref="F2959" authorId="0" shapeId="0" xr:uid="{6499CB90-C513-42B0-A00C-925DC2CB9E2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2026年2月1日以降出荷分（6か月間有効）は2280円/m (現行2230円/m)</t>
        </r>
      </text>
    </comment>
    <comment ref="A2964" authorId="0" shapeId="0" xr:uid="{3D88FC3E-980D-4107-94C1-0C8B649513FC}">
      <text>
        <r>
          <rPr>
            <b/>
            <sz val="9"/>
            <color indexed="81"/>
            <rFont val="MS P ゴシック"/>
            <family val="3"/>
            <charset val="128"/>
          </rPr>
          <t>chiba:
KKC626-W</t>
        </r>
      </text>
    </comment>
    <comment ref="A2965" authorId="0" shapeId="0" xr:uid="{453761BE-B097-4EFA-ACE8-CEBD993371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KKC626-W</t>
        </r>
      </text>
    </comment>
    <comment ref="A3012" authorId="0" shapeId="0" xr:uid="{E330D54E-FD06-45F5-BA42-2A5A967150A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 KKF4009-W </t>
        </r>
      </text>
    </comment>
    <comment ref="A3013" authorId="0" shapeId="0" xr:uid="{52625B30-BA4F-4AC6-B6E8-79D37454D26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KKF4009-W </t>
        </r>
      </text>
    </comment>
    <comment ref="A3080" authorId="0" shapeId="0" xr:uid="{5E87B149-7DE4-4730-912A-DEA2F69B3AA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
</t>
        </r>
      </text>
    </comment>
    <comment ref="A3081" authorId="0" shapeId="0" xr:uid="{24257EAC-8949-49C9-AE59-31A6AB6FDA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</authors>
  <commentList>
    <comment ref="H88" authorId="0" shapeId="0" xr:uid="{6D3EE1CB-C2A1-4312-8383-FA70FC315A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  <comment ref="H89" authorId="0" shapeId="0" xr:uid="{28AD14D5-638E-4B49-AF04-DE6F538132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<sst xmlns="http://schemas.openxmlformats.org/spreadsheetml/2006/main" count="9916" uniqueCount="3989">
  <si>
    <t>ART. NO.</t>
    <phoneticPr fontId="3"/>
  </si>
  <si>
    <t>QTY</t>
    <phoneticPr fontId="3"/>
  </si>
  <si>
    <t>Put-up</t>
    <phoneticPr fontId="3"/>
  </si>
  <si>
    <t>SF-USA</t>
    <phoneticPr fontId="3"/>
  </si>
  <si>
    <t>(per roll)</t>
    <phoneticPr fontId="3"/>
  </si>
  <si>
    <t>(per meter)</t>
    <phoneticPr fontId="3"/>
  </si>
  <si>
    <t>T3500</t>
    <phoneticPr fontId="3"/>
  </si>
  <si>
    <t>2020A-WS</t>
    <phoneticPr fontId="3"/>
  </si>
  <si>
    <t>M</t>
    <phoneticPr fontId="3"/>
  </si>
  <si>
    <t>100% Nylon Tulle</t>
    <phoneticPr fontId="3"/>
  </si>
  <si>
    <t xml:space="preserve">Trina Turk </t>
    <phoneticPr fontId="3"/>
  </si>
  <si>
    <t># 1 White</t>
    <phoneticPr fontId="3"/>
  </si>
  <si>
    <t>Handling Fee</t>
    <phoneticPr fontId="3"/>
  </si>
  <si>
    <t>TI-3500</t>
    <phoneticPr fontId="3"/>
  </si>
  <si>
    <t>12 x 12mm</t>
    <phoneticPr fontId="3"/>
  </si>
  <si>
    <t># 500 Black</t>
    <phoneticPr fontId="3"/>
  </si>
  <si>
    <t># 511 Burgundy</t>
    <phoneticPr fontId="3"/>
  </si>
  <si>
    <t>Stretch Binder Tape Polyester 90%, Polyurethane 10%</t>
    <phoneticPr fontId="3"/>
  </si>
  <si>
    <t>15 x 15mm</t>
    <phoneticPr fontId="3"/>
  </si>
  <si>
    <t>ES-FB002</t>
    <phoneticPr fontId="3"/>
  </si>
  <si>
    <t># 50 Black</t>
    <phoneticPr fontId="3"/>
  </si>
  <si>
    <t># 47 Indigo</t>
    <phoneticPr fontId="3"/>
  </si>
  <si>
    <t>20 x 20mm</t>
    <phoneticPr fontId="3"/>
  </si>
  <si>
    <t>Soft Suede Tape  Polyester-100%</t>
    <phoneticPr fontId="3"/>
  </si>
  <si>
    <t>Knit Binding Tape  Polyester-100%</t>
    <phoneticPr fontId="3"/>
  </si>
  <si>
    <t># 26</t>
    <phoneticPr fontId="3"/>
  </si>
  <si>
    <t># 31</t>
    <phoneticPr fontId="3"/>
  </si>
  <si>
    <t># 20</t>
    <phoneticPr fontId="3"/>
  </si>
  <si>
    <t>Binding Tape Wool 100%</t>
    <phoneticPr fontId="3"/>
  </si>
  <si>
    <t># 24 Black</t>
    <phoneticPr fontId="3"/>
  </si>
  <si>
    <t>Kint Binding Tape Wool 100%</t>
    <phoneticPr fontId="3"/>
  </si>
  <si>
    <t>KS9625</t>
    <phoneticPr fontId="3"/>
  </si>
  <si>
    <t># 43 Black</t>
    <phoneticPr fontId="3"/>
  </si>
  <si>
    <t>Size</t>
    <phoneticPr fontId="3"/>
  </si>
  <si>
    <t>Color</t>
    <phoneticPr fontId="3"/>
  </si>
  <si>
    <t>Qty</t>
    <phoneticPr fontId="3"/>
  </si>
  <si>
    <t>Trim Lace 100% Cotton</t>
    <phoneticPr fontId="3"/>
  </si>
  <si>
    <t>Mill's Black</t>
    <phoneticPr fontId="3"/>
  </si>
  <si>
    <t>KYL-24376</t>
    <phoneticPr fontId="3"/>
  </si>
  <si>
    <t>DTM Taupe</t>
    <phoneticPr fontId="3"/>
  </si>
  <si>
    <t>DTM Forest</t>
    <phoneticPr fontId="3"/>
  </si>
  <si>
    <t>KYL-24198</t>
    <phoneticPr fontId="3"/>
  </si>
  <si>
    <t>Dyeing fee</t>
    <phoneticPr fontId="3"/>
  </si>
  <si>
    <t>Price/M</t>
    <phoneticPr fontId="3"/>
  </si>
  <si>
    <t>品番</t>
    <rPh sb="0" eb="2">
      <t>ヒンバン</t>
    </rPh>
    <phoneticPr fontId="3"/>
  </si>
  <si>
    <t>ｻｲｽﾞ</t>
    <phoneticPr fontId="3"/>
  </si>
  <si>
    <t>色番</t>
    <rPh sb="0" eb="1">
      <t>イロ</t>
    </rPh>
    <rPh sb="1" eb="2">
      <t>バン</t>
    </rPh>
    <phoneticPr fontId="3"/>
  </si>
  <si>
    <t>仕立</t>
    <rPh sb="0" eb="2">
      <t>シタ</t>
    </rPh>
    <phoneticPr fontId="3"/>
  </si>
  <si>
    <t>数量</t>
    <rPh sb="0" eb="2">
      <t>スウリョウ</t>
    </rPh>
    <phoneticPr fontId="3"/>
  </si>
  <si>
    <t>貴社品番</t>
    <rPh sb="0" eb="2">
      <t>キシャ</t>
    </rPh>
    <rPh sb="2" eb="4">
      <t>ヒンバン</t>
    </rPh>
    <phoneticPr fontId="3"/>
  </si>
  <si>
    <t>単価/M</t>
    <rPh sb="0" eb="2">
      <t>タンカ</t>
    </rPh>
    <phoneticPr fontId="3"/>
  </si>
  <si>
    <t>金額</t>
    <rPh sb="0" eb="2">
      <t>キンガク</t>
    </rPh>
    <phoneticPr fontId="3"/>
  </si>
  <si>
    <t>在庫有無</t>
    <rPh sb="0" eb="2">
      <t>ザイコ</t>
    </rPh>
    <rPh sb="2" eb="4">
      <t>ウム</t>
    </rPh>
    <phoneticPr fontId="3"/>
  </si>
  <si>
    <t>納期</t>
    <rPh sb="0" eb="2">
      <t>ノウキ</t>
    </rPh>
    <phoneticPr fontId="3"/>
  </si>
  <si>
    <t>2 sets (USD100/col)</t>
    <phoneticPr fontId="3"/>
  </si>
  <si>
    <t>Cutting Fee</t>
    <phoneticPr fontId="3"/>
  </si>
  <si>
    <t>Mill's Off White</t>
    <phoneticPr fontId="3"/>
  </si>
  <si>
    <t>T5000</t>
    <phoneticPr fontId="3"/>
  </si>
  <si>
    <t>Striped Grosgrain Ribbon 100% Nylon</t>
    <phoneticPr fontId="3"/>
  </si>
  <si>
    <t>KYL-T25340-19</t>
    <phoneticPr fontId="3"/>
  </si>
  <si>
    <t>Lace Trim</t>
    <phoneticPr fontId="3"/>
  </si>
  <si>
    <t>1 set</t>
    <phoneticPr fontId="3"/>
  </si>
  <si>
    <t>KYL-T25340-12</t>
    <phoneticPr fontId="3"/>
  </si>
  <si>
    <t xml:space="preserve">BCBG </t>
    <phoneticPr fontId="3"/>
  </si>
  <si>
    <t>Col.19</t>
    <phoneticPr fontId="3"/>
  </si>
  <si>
    <t>KYL-T8237-19</t>
    <phoneticPr fontId="3"/>
  </si>
  <si>
    <t>KYL-T25340</t>
    <phoneticPr fontId="3"/>
  </si>
  <si>
    <t>KYL-T23336-1</t>
    <phoneticPr fontId="3"/>
  </si>
  <si>
    <t>Dye 80</t>
    <phoneticPr fontId="3"/>
  </si>
  <si>
    <t>55348</t>
    <phoneticPr fontId="3"/>
  </si>
  <si>
    <t>55339</t>
    <phoneticPr fontId="3"/>
  </si>
  <si>
    <t xml:space="preserve"># 1 </t>
    <phoneticPr fontId="3"/>
  </si>
  <si>
    <t># 4</t>
    <phoneticPr fontId="3"/>
  </si>
  <si>
    <t># 6</t>
    <phoneticPr fontId="3"/>
  </si>
  <si>
    <t># 8</t>
    <phoneticPr fontId="3"/>
  </si>
  <si>
    <t># 1</t>
    <phoneticPr fontId="3"/>
  </si>
  <si>
    <t># 2</t>
    <phoneticPr fontId="3"/>
  </si>
  <si>
    <t xml:space="preserve">PO# </t>
    <phoneticPr fontId="3"/>
  </si>
  <si>
    <t>Art. #</t>
    <phoneticPr fontId="3"/>
  </si>
  <si>
    <t xml:space="preserve">Width </t>
    <phoneticPr fontId="3"/>
  </si>
  <si>
    <t xml:space="preserve">C/# </t>
    <phoneticPr fontId="3"/>
  </si>
  <si>
    <t>Price/m</t>
    <phoneticPr fontId="3"/>
  </si>
  <si>
    <t>137m</t>
    <phoneticPr fontId="3"/>
  </si>
  <si>
    <t>C/#</t>
    <phoneticPr fontId="3"/>
  </si>
  <si>
    <t>FOB JAPAN Price /m</t>
    <phoneticPr fontId="3"/>
  </si>
  <si>
    <t>535829</t>
    <phoneticPr fontId="3"/>
  </si>
  <si>
    <t xml:space="preserve"># 9 Black </t>
    <phoneticPr fontId="3"/>
  </si>
  <si>
    <t># 500</t>
    <phoneticPr fontId="3"/>
  </si>
  <si>
    <t># 118</t>
    <phoneticPr fontId="3"/>
  </si>
  <si>
    <t># 60</t>
    <phoneticPr fontId="3"/>
  </si>
  <si>
    <t># 429</t>
    <phoneticPr fontId="3"/>
  </si>
  <si>
    <t>Client</t>
    <phoneticPr fontId="3"/>
  </si>
  <si>
    <r>
      <t>5 sets</t>
    </r>
    <r>
      <rPr>
        <sz val="11"/>
        <rFont val="ＭＳ Ｐゴシック"/>
        <family val="3"/>
        <charset val="128"/>
      </rPr>
      <t>　</t>
    </r>
    <r>
      <rPr>
        <sz val="11"/>
        <rFont val="Arial"/>
        <family val="2"/>
      </rPr>
      <t xml:space="preserve">(US$12/cut ) </t>
    </r>
    <phoneticPr fontId="3"/>
  </si>
  <si>
    <t>KYL-T25282</t>
    <phoneticPr fontId="3"/>
  </si>
  <si>
    <t>Dye 30</t>
    <phoneticPr fontId="3"/>
  </si>
  <si>
    <t xml:space="preserve">Color </t>
    <phoneticPr fontId="3"/>
  </si>
  <si>
    <t xml:space="preserve">Mill's Off White </t>
    <phoneticPr fontId="3"/>
  </si>
  <si>
    <t>(per meter)</t>
  </si>
  <si>
    <t>(per set)</t>
    <phoneticPr fontId="3"/>
  </si>
  <si>
    <t xml:space="preserve">Trim Lace ( Fron Yarn : 100% Rayon / Back Yarn : 100% Cotton ) </t>
    <phoneticPr fontId="3"/>
  </si>
  <si>
    <t xml:space="preserve">KYL - 25372 </t>
    <phoneticPr fontId="3"/>
  </si>
  <si>
    <t xml:space="preserve">DTM Firecracker </t>
    <phoneticPr fontId="3"/>
  </si>
  <si>
    <t>DTM Indigo</t>
    <phoneticPr fontId="3"/>
  </si>
  <si>
    <t>Dyeing Fee</t>
    <phoneticPr fontId="3"/>
  </si>
  <si>
    <t xml:space="preserve">2 sets </t>
    <phoneticPr fontId="3"/>
  </si>
  <si>
    <t xml:space="preserve">Col.19 Mill's Black </t>
    <phoneticPr fontId="3"/>
  </si>
  <si>
    <t xml:space="preserve">Ready Date </t>
    <phoneticPr fontId="3"/>
  </si>
  <si>
    <t xml:space="preserve">in stock </t>
    <phoneticPr fontId="3"/>
  </si>
  <si>
    <t>サイズ</t>
    <phoneticPr fontId="3"/>
  </si>
  <si>
    <t>仕立て</t>
    <rPh sb="0" eb="2">
      <t>シタ</t>
    </rPh>
    <phoneticPr fontId="3"/>
  </si>
  <si>
    <t xml:space="preserve">KYL - T25340 </t>
    <phoneticPr fontId="3"/>
  </si>
  <si>
    <t>109.6m ( 8 rolls )</t>
    <phoneticPr fontId="3"/>
  </si>
  <si>
    <t>Total Qty</t>
    <phoneticPr fontId="3"/>
  </si>
  <si>
    <t>Roll Qty</t>
    <phoneticPr fontId="3"/>
  </si>
  <si>
    <t xml:space="preserve"># 5 Black </t>
    <phoneticPr fontId="3"/>
  </si>
  <si>
    <t xml:space="preserve">Mill's Black </t>
    <phoneticPr fontId="3"/>
  </si>
  <si>
    <t xml:space="preserve">Customer </t>
    <phoneticPr fontId="3"/>
  </si>
  <si>
    <t># 62</t>
    <phoneticPr fontId="3"/>
  </si>
  <si>
    <t># 34</t>
    <phoneticPr fontId="3"/>
  </si>
  <si>
    <t># 5</t>
    <phoneticPr fontId="3"/>
  </si>
  <si>
    <t xml:space="preserve">3 sets </t>
    <phoneticPr fontId="3"/>
  </si>
  <si>
    <t xml:space="preserve">Gold </t>
    <phoneticPr fontId="3"/>
  </si>
  <si>
    <t>DTM Poppy</t>
    <phoneticPr fontId="3"/>
  </si>
  <si>
    <t xml:space="preserve">Black </t>
    <phoneticPr fontId="3"/>
  </si>
  <si>
    <t>単価</t>
    <rPh sb="0" eb="2">
      <t>タンカ</t>
    </rPh>
    <phoneticPr fontId="3"/>
  </si>
  <si>
    <t>Dye Fee</t>
    <phoneticPr fontId="3"/>
  </si>
  <si>
    <r>
      <rPr>
        <sz val="9"/>
        <rFont val="ＭＳ Ｐゴシック"/>
        <family val="3"/>
        <charset val="128"/>
      </rPr>
      <t>品番</t>
    </r>
    <r>
      <rPr>
        <sz val="9"/>
        <rFont val="Arial  "/>
        <family val="2"/>
      </rPr>
      <t>/Art.No.</t>
    </r>
    <rPh sb="0" eb="2">
      <t>ヒンバン</t>
    </rPh>
    <phoneticPr fontId="3"/>
  </si>
  <si>
    <r>
      <rPr>
        <sz val="9"/>
        <rFont val="ＭＳ Ｐゴシック"/>
        <family val="3"/>
        <charset val="128"/>
      </rPr>
      <t>巾</t>
    </r>
    <r>
      <rPr>
        <sz val="9"/>
        <rFont val="Arial  "/>
        <family val="2"/>
      </rPr>
      <t>/WIDTH</t>
    </r>
    <rPh sb="0" eb="1">
      <t>ハバ</t>
    </rPh>
    <phoneticPr fontId="3"/>
  </si>
  <si>
    <r>
      <rPr>
        <sz val="9"/>
        <rFont val="ＭＳ Ｐゴシック"/>
        <family val="3"/>
        <charset val="128"/>
      </rPr>
      <t>仕立</t>
    </r>
    <r>
      <rPr>
        <sz val="9"/>
        <rFont val="Arial  "/>
        <family val="2"/>
      </rPr>
      <t>/PUT-UP</t>
    </r>
    <rPh sb="0" eb="2">
      <t>シタテ</t>
    </rPh>
    <phoneticPr fontId="3"/>
  </si>
  <si>
    <r>
      <rPr>
        <sz val="9"/>
        <rFont val="ＭＳ Ｐゴシック"/>
        <family val="3"/>
        <charset val="128"/>
      </rPr>
      <t>仕入単価</t>
    </r>
    <rPh sb="0" eb="2">
      <t>シイレ</t>
    </rPh>
    <rPh sb="2" eb="4">
      <t>タンカ</t>
    </rPh>
    <phoneticPr fontId="3"/>
  </si>
  <si>
    <t xml:space="preserve">SIC-100     </t>
  </si>
  <si>
    <t xml:space="preserve">5     </t>
  </si>
  <si>
    <t xml:space="preserve">レーヨンペタシャムリボン        </t>
  </si>
  <si>
    <t xml:space="preserve">7     </t>
  </si>
  <si>
    <t xml:space="preserve">10    </t>
  </si>
  <si>
    <t xml:space="preserve">12    </t>
  </si>
  <si>
    <t xml:space="preserve">15    </t>
  </si>
  <si>
    <t xml:space="preserve">18    </t>
  </si>
  <si>
    <t xml:space="preserve">25    </t>
  </si>
  <si>
    <t xml:space="preserve">30    </t>
  </si>
  <si>
    <t xml:space="preserve">38    </t>
  </si>
  <si>
    <t xml:space="preserve">50    </t>
  </si>
  <si>
    <t xml:space="preserve">75    </t>
  </si>
  <si>
    <t xml:space="preserve">Status </t>
    <phoneticPr fontId="3"/>
  </si>
  <si>
    <t>Double Faced Velveteen Ribbon</t>
    <phoneticPr fontId="3"/>
  </si>
  <si>
    <t>FWL-24139</t>
    <phoneticPr fontId="3"/>
  </si>
  <si>
    <t># 22</t>
    <phoneticPr fontId="3"/>
  </si>
  <si>
    <t>KYL-3225-1</t>
    <phoneticPr fontId="3"/>
  </si>
  <si>
    <t xml:space="preserve"># 2 </t>
    <phoneticPr fontId="3"/>
  </si>
  <si>
    <t># 5</t>
  </si>
  <si>
    <t># 10</t>
  </si>
  <si>
    <t># 18</t>
    <phoneticPr fontId="3"/>
  </si>
  <si>
    <t># 55</t>
    <phoneticPr fontId="3"/>
  </si>
  <si>
    <t>L</t>
    <phoneticPr fontId="3"/>
  </si>
  <si>
    <t># 69</t>
    <phoneticPr fontId="3"/>
  </si>
  <si>
    <t>Ready Date</t>
    <phoneticPr fontId="3"/>
  </si>
  <si>
    <t xml:space="preserve">Dye fee </t>
    <phoneticPr fontId="3"/>
  </si>
  <si>
    <t xml:space="preserve">Total Amount </t>
    <phoneticPr fontId="3"/>
  </si>
  <si>
    <t>Width</t>
    <phoneticPr fontId="3"/>
  </si>
  <si>
    <t>KYL-25345</t>
    <phoneticPr fontId="3"/>
  </si>
  <si>
    <t xml:space="preserve">Size </t>
    <phoneticPr fontId="3"/>
  </si>
  <si>
    <t xml:space="preserve">TOTAL </t>
    <phoneticPr fontId="3"/>
  </si>
  <si>
    <t>単価 /m</t>
    <rPh sb="0" eb="2">
      <t>タンカ</t>
    </rPh>
    <phoneticPr fontId="3"/>
  </si>
  <si>
    <t xml:space="preserve"># 30 Black </t>
    <phoneticPr fontId="3"/>
  </si>
  <si>
    <t># 121</t>
    <phoneticPr fontId="3"/>
  </si>
  <si>
    <t># 53</t>
    <phoneticPr fontId="3"/>
  </si>
  <si>
    <t>Art. #</t>
  </si>
  <si>
    <t>Handling Fee</t>
  </si>
  <si>
    <t>1 set</t>
  </si>
  <si>
    <t>Mill's Off White</t>
  </si>
  <si>
    <t xml:space="preserve"># 1 White </t>
    <phoneticPr fontId="3"/>
  </si>
  <si>
    <t xml:space="preserve"> Mill's Off White</t>
    <phoneticPr fontId="3"/>
  </si>
  <si>
    <t># 01</t>
    <phoneticPr fontId="3"/>
  </si>
  <si>
    <t># 56</t>
    <phoneticPr fontId="3"/>
  </si>
  <si>
    <t>Dye 70</t>
    <phoneticPr fontId="3"/>
  </si>
  <si>
    <t>T3500C</t>
    <phoneticPr fontId="3"/>
  </si>
  <si>
    <t xml:space="preserve">DTM Black </t>
    <phoneticPr fontId="3"/>
  </si>
  <si>
    <t xml:space="preserve">DTM Midnight 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</si>
  <si>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"/>
        <family val="2"/>
      </rPr>
      <t>/m</t>
    </r>
    <rPh sb="0" eb="2">
      <t>タンカ</t>
    </rPh>
    <phoneticPr fontId="3"/>
  </si>
  <si>
    <t xml:space="preserve">6 sets </t>
    <phoneticPr fontId="3"/>
  </si>
  <si>
    <t>KYL-8238-1</t>
    <phoneticPr fontId="3"/>
  </si>
  <si>
    <t>KYL-T23217-1</t>
    <phoneticPr fontId="3"/>
  </si>
  <si>
    <t>FWL-71057</t>
    <phoneticPr fontId="3"/>
  </si>
  <si>
    <t>単価/m</t>
    <rPh sb="0" eb="2">
      <t>タンカ</t>
    </rPh>
    <phoneticPr fontId="3"/>
  </si>
  <si>
    <t>運賃</t>
    <rPh sb="0" eb="2">
      <t>ウンチン</t>
    </rPh>
    <phoneticPr fontId="3"/>
  </si>
  <si>
    <t>DTM Ecru</t>
    <phoneticPr fontId="3"/>
  </si>
  <si>
    <t xml:space="preserve">Dye Fee </t>
    <phoneticPr fontId="3"/>
  </si>
  <si>
    <t>T3000</t>
    <phoneticPr fontId="3"/>
  </si>
  <si>
    <t xml:space="preserve"># SO </t>
    <phoneticPr fontId="3"/>
  </si>
  <si>
    <t>在庫状況</t>
    <rPh sb="0" eb="2">
      <t>ザイコ</t>
    </rPh>
    <rPh sb="2" eb="4">
      <t>ジョウキョウ</t>
    </rPh>
    <phoneticPr fontId="3"/>
  </si>
  <si>
    <t xml:space="preserve">In stock </t>
    <phoneticPr fontId="3"/>
  </si>
  <si>
    <t>KYL-875006GL6</t>
    <phoneticPr fontId="3"/>
  </si>
  <si>
    <t># SO Ivory</t>
    <phoneticPr fontId="3"/>
  </si>
  <si>
    <t>PO#</t>
    <phoneticPr fontId="3"/>
  </si>
  <si>
    <t xml:space="preserve">Sub total </t>
    <phoneticPr fontId="3"/>
  </si>
  <si>
    <t xml:space="preserve"># 329 Ivory </t>
    <phoneticPr fontId="3"/>
  </si>
  <si>
    <t xml:space="preserve"># OF </t>
    <phoneticPr fontId="3"/>
  </si>
  <si>
    <t># 108</t>
    <phoneticPr fontId="3"/>
  </si>
  <si>
    <t># 127</t>
    <phoneticPr fontId="3"/>
  </si>
  <si>
    <t xml:space="preserve">In Stock </t>
    <phoneticPr fontId="3"/>
  </si>
  <si>
    <t>9 x 9 mm</t>
    <phoneticPr fontId="3"/>
  </si>
  <si>
    <t>KYL-T8333-19</t>
    <phoneticPr fontId="3"/>
  </si>
  <si>
    <t xml:space="preserve">M size </t>
    <phoneticPr fontId="3"/>
  </si>
  <si>
    <t>長さ</t>
    <rPh sb="0" eb="1">
      <t>ナガ</t>
    </rPh>
    <phoneticPr fontId="3"/>
  </si>
  <si>
    <t>カラー</t>
    <phoneticPr fontId="3"/>
  </si>
  <si>
    <t xml:space="preserve">Art. # </t>
    <phoneticPr fontId="3"/>
  </si>
  <si>
    <t xml:space="preserve">Cutting Fee </t>
    <phoneticPr fontId="3"/>
  </si>
  <si>
    <t># 13</t>
    <phoneticPr fontId="3"/>
  </si>
  <si>
    <t>T2120</t>
    <phoneticPr fontId="3"/>
  </si>
  <si>
    <t xml:space="preserve">Cord Length </t>
    <phoneticPr fontId="3"/>
  </si>
  <si>
    <t>Composition</t>
    <phoneticPr fontId="3"/>
  </si>
  <si>
    <t>Put-up</t>
  </si>
  <si>
    <t>EXW JAPAN</t>
    <phoneticPr fontId="3"/>
  </si>
  <si>
    <t>仕入単価</t>
    <rPh sb="0" eb="2">
      <t>シイレ</t>
    </rPh>
    <rPh sb="2" eb="4">
      <t>タンカ</t>
    </rPh>
    <phoneticPr fontId="3"/>
  </si>
  <si>
    <t xml:space="preserve">subtotal </t>
    <phoneticPr fontId="3"/>
  </si>
  <si>
    <t xml:space="preserve">International Freight </t>
    <phoneticPr fontId="3"/>
  </si>
  <si>
    <t xml:space="preserve">Charge </t>
    <phoneticPr fontId="3"/>
  </si>
  <si>
    <t># 46</t>
    <phoneticPr fontId="3"/>
  </si>
  <si>
    <t>5603 with Cel Tip</t>
    <phoneticPr fontId="3"/>
  </si>
  <si>
    <t xml:space="preserve">Cord x Tip </t>
    <phoneticPr fontId="3"/>
  </si>
  <si>
    <t>KYL-23419</t>
    <phoneticPr fontId="3"/>
  </si>
  <si>
    <t>Art. No.</t>
    <phoneticPr fontId="3"/>
  </si>
  <si>
    <t>Art No.</t>
    <phoneticPr fontId="3"/>
  </si>
  <si>
    <t>Note</t>
    <phoneticPr fontId="3"/>
  </si>
  <si>
    <t xml:space="preserve">Art.# </t>
    <phoneticPr fontId="3"/>
  </si>
  <si>
    <t xml:space="preserve"># 27 </t>
    <phoneticPr fontId="3"/>
  </si>
  <si>
    <r>
      <t>2021 June 1st -</t>
    </r>
    <r>
      <rPr>
        <b/>
        <sz val="10"/>
        <color indexed="10"/>
        <rFont val="ＭＳ Ｐゴシック"/>
        <family val="3"/>
        <charset val="128"/>
      </rPr>
      <t>　レート</t>
    </r>
    <r>
      <rPr>
        <b/>
        <sz val="10"/>
        <color indexed="10"/>
        <rFont val="Arial"/>
        <family val="2"/>
      </rPr>
      <t>90</t>
    </r>
    <phoneticPr fontId="3"/>
  </si>
  <si>
    <t>Roll Qty</t>
  </si>
  <si>
    <t>Total Qty</t>
  </si>
  <si>
    <t xml:space="preserve">L/T </t>
    <phoneticPr fontId="3"/>
  </si>
  <si>
    <t xml:space="preserve"># 01 Ivory </t>
    <phoneticPr fontId="3"/>
  </si>
  <si>
    <t>10 mm</t>
  </si>
  <si>
    <t>Color</t>
  </si>
  <si>
    <t>KYL-8331-1</t>
    <phoneticPr fontId="3"/>
  </si>
  <si>
    <t>KYL-2529-1</t>
    <phoneticPr fontId="3"/>
  </si>
  <si>
    <t xml:space="preserve">MOQ / col for standard colors </t>
    <phoneticPr fontId="3"/>
  </si>
  <si>
    <t xml:space="preserve"># 84NT Black </t>
    <phoneticPr fontId="3"/>
  </si>
  <si>
    <t>Sample Cut</t>
    <phoneticPr fontId="3"/>
  </si>
  <si>
    <t># 02</t>
    <phoneticPr fontId="3"/>
  </si>
  <si>
    <t>1 roll</t>
  </si>
  <si>
    <t>EXW (JAPAN) / m</t>
    <phoneticPr fontId="3"/>
  </si>
  <si>
    <t>カテ</t>
    <phoneticPr fontId="3"/>
  </si>
  <si>
    <t xml:space="preserve">INV# </t>
    <phoneticPr fontId="3"/>
  </si>
  <si>
    <t>仕入数量</t>
    <rPh sb="0" eb="2">
      <t>シイレ</t>
    </rPh>
    <rPh sb="2" eb="4">
      <t>スウリョウ</t>
    </rPh>
    <phoneticPr fontId="3"/>
  </si>
  <si>
    <r>
      <t xml:space="preserve">Osaka </t>
    </r>
    <r>
      <rPr>
        <b/>
        <sz val="12"/>
        <rFont val="ＭＳ Ｐゴシック"/>
        <family val="3"/>
        <charset val="128"/>
      </rPr>
      <t>→</t>
    </r>
    <r>
      <rPr>
        <b/>
        <sz val="12"/>
        <rFont val="Arial"/>
        <family val="2"/>
      </rPr>
      <t>NY</t>
    </r>
    <phoneticPr fontId="3"/>
  </si>
  <si>
    <t>備考欄</t>
    <rPh sb="0" eb="2">
      <t>ビコウ</t>
    </rPh>
    <rPh sb="2" eb="3">
      <t>ラン</t>
    </rPh>
    <phoneticPr fontId="3"/>
  </si>
  <si>
    <t>適用為替レート</t>
    <rPh sb="0" eb="2">
      <t>テキヨウ</t>
    </rPh>
    <rPh sb="2" eb="4">
      <t>カワセ</t>
    </rPh>
    <phoneticPr fontId="3"/>
  </si>
  <si>
    <t>カテゴリ</t>
    <phoneticPr fontId="3"/>
  </si>
  <si>
    <t>項目</t>
    <rPh sb="0" eb="2">
      <t>コウモク</t>
    </rPh>
    <phoneticPr fontId="3"/>
  </si>
  <si>
    <t>大阪→NY</t>
    <rPh sb="0" eb="2">
      <t>オオサカ</t>
    </rPh>
    <phoneticPr fontId="3"/>
  </si>
  <si>
    <t>NY→顧客</t>
    <rPh sb="3" eb="5">
      <t>コキャク</t>
    </rPh>
    <phoneticPr fontId="3"/>
  </si>
  <si>
    <t>a</t>
    <phoneticPr fontId="3"/>
  </si>
  <si>
    <t>Trim</t>
    <phoneticPr fontId="3"/>
  </si>
  <si>
    <t>b</t>
    <phoneticPr fontId="3"/>
  </si>
  <si>
    <t>Fabric</t>
    <phoneticPr fontId="3"/>
  </si>
  <si>
    <t>c</t>
    <phoneticPr fontId="3"/>
  </si>
  <si>
    <t>d</t>
    <phoneticPr fontId="3"/>
  </si>
  <si>
    <t>e</t>
    <phoneticPr fontId="3"/>
  </si>
  <si>
    <t>Other (Dye/set-up)</t>
    <phoneticPr fontId="3"/>
  </si>
  <si>
    <t>KYL-23551</t>
    <phoneticPr fontId="3"/>
  </si>
  <si>
    <t>Ready/Ship Date</t>
    <phoneticPr fontId="3"/>
  </si>
  <si>
    <t>　</t>
    <phoneticPr fontId="3"/>
  </si>
  <si>
    <t xml:space="preserve">DTM Navy </t>
    <phoneticPr fontId="3"/>
  </si>
  <si>
    <t xml:space="preserve">Qty </t>
    <phoneticPr fontId="3"/>
  </si>
  <si>
    <t>6120-FT</t>
    <phoneticPr fontId="3"/>
  </si>
  <si>
    <t xml:space="preserve">Checking </t>
    <phoneticPr fontId="3"/>
  </si>
  <si>
    <t xml:space="preserve">Handling Fee (Inland Freight Charge in Japan) </t>
    <phoneticPr fontId="3"/>
  </si>
  <si>
    <t># 17</t>
    <phoneticPr fontId="3"/>
  </si>
  <si>
    <t xml:space="preserve">Shipping date </t>
    <phoneticPr fontId="3"/>
  </si>
  <si>
    <t>COO</t>
    <phoneticPr fontId="3"/>
  </si>
  <si>
    <t>CHINA</t>
    <phoneticPr fontId="3"/>
  </si>
  <si>
    <t>JAPAN</t>
    <phoneticPr fontId="3"/>
  </si>
  <si>
    <t>International Freight</t>
    <phoneticPr fontId="3"/>
  </si>
  <si>
    <t>Article</t>
    <phoneticPr fontId="3"/>
  </si>
  <si>
    <t>TI-3000N</t>
    <phoneticPr fontId="3"/>
  </si>
  <si>
    <t xml:space="preserve">Put-up / roll </t>
    <phoneticPr fontId="3"/>
  </si>
  <si>
    <t>KYL-T8333-1</t>
    <phoneticPr fontId="3"/>
  </si>
  <si>
    <t>12701</t>
    <phoneticPr fontId="3"/>
  </si>
  <si>
    <t>Velvet Ribbon</t>
    <phoneticPr fontId="3"/>
  </si>
  <si>
    <t>Rayon-70%/Nylon-30%</t>
    <phoneticPr fontId="3"/>
  </si>
  <si>
    <t>11700</t>
    <phoneticPr fontId="3"/>
  </si>
  <si>
    <t>Rayon-89%/Nylon-11%</t>
    <phoneticPr fontId="3"/>
  </si>
  <si>
    <t>600m</t>
  </si>
  <si>
    <t xml:space="preserve">EXW JAPAN /m
</t>
    <phoneticPr fontId="3"/>
  </si>
  <si>
    <t>155×50</t>
  </si>
  <si>
    <t>Up to 20m</t>
    <phoneticPr fontId="3"/>
  </si>
  <si>
    <t>2020A-WS</t>
  </si>
  <si>
    <t>NN007-CSP</t>
  </si>
  <si>
    <t>反数</t>
    <rPh sb="0" eb="2">
      <t>タンスウ</t>
    </rPh>
    <phoneticPr fontId="3"/>
  </si>
  <si>
    <t>合計数量</t>
    <rPh sb="0" eb="2">
      <t>ゴウケイ</t>
    </rPh>
    <rPh sb="2" eb="4">
      <t>スウリョウ</t>
    </rPh>
    <phoneticPr fontId="3"/>
  </si>
  <si>
    <t xml:space="preserve">JAPAN </t>
    <phoneticPr fontId="3"/>
  </si>
  <si>
    <t># 0</t>
    <phoneticPr fontId="3"/>
  </si>
  <si>
    <t>L size</t>
    <phoneticPr fontId="3"/>
  </si>
  <si>
    <t># OF</t>
    <phoneticPr fontId="3"/>
  </si>
  <si>
    <r>
      <t xml:space="preserve">SIZE
</t>
    </r>
    <r>
      <rPr>
        <b/>
        <sz val="10"/>
        <rFont val="ＭＳ Ｐゴシック"/>
        <family val="3"/>
        <charset val="128"/>
      </rPr>
      <t>（</t>
    </r>
    <r>
      <rPr>
        <b/>
        <sz val="10"/>
        <rFont val="arial    "/>
        <family val="2"/>
      </rPr>
      <t>cm×m</t>
    </r>
    <r>
      <rPr>
        <b/>
        <sz val="10"/>
        <rFont val="ＭＳ Ｐゴシック"/>
        <family val="3"/>
        <charset val="128"/>
      </rPr>
      <t>）</t>
    </r>
    <phoneticPr fontId="3"/>
  </si>
  <si>
    <r>
      <t>POLYESTER 100</t>
    </r>
    <r>
      <rPr>
        <sz val="10"/>
        <color indexed="8"/>
        <rFont val="ＭＳ Ｐゴシック"/>
        <family val="3"/>
        <charset val="128"/>
      </rPr>
      <t>％</t>
    </r>
  </si>
  <si>
    <t>SS size</t>
    <phoneticPr fontId="3"/>
  </si>
  <si>
    <t xml:space="preserve">PI# </t>
    <phoneticPr fontId="3"/>
  </si>
  <si>
    <t>在庫</t>
    <rPh sb="0" eb="2">
      <t>ザイコ</t>
    </rPh>
    <phoneticPr fontId="3"/>
  </si>
  <si>
    <t xml:space="preserve">Handling Fee (Inland Freight Charge in Japan) </t>
  </si>
  <si>
    <t>EXW JAPAN 
USD/m</t>
    <phoneticPr fontId="3"/>
  </si>
  <si>
    <t>T2023-CSP</t>
  </si>
  <si>
    <t>148×50</t>
  </si>
  <si>
    <t>NN007-SP</t>
  </si>
  <si>
    <t># 130</t>
    <phoneticPr fontId="3"/>
  </si>
  <si>
    <t>Dye fee</t>
    <phoneticPr fontId="3"/>
  </si>
  <si>
    <t>Width</t>
  </si>
  <si>
    <t>15mm</t>
    <phoneticPr fontId="3"/>
  </si>
  <si>
    <t>Composition</t>
  </si>
  <si>
    <t>Trim Lace 100% Nylon</t>
    <phoneticPr fontId="3"/>
  </si>
  <si>
    <t>Commercial Invoice</t>
    <phoneticPr fontId="50"/>
  </si>
  <si>
    <t>No.</t>
    <phoneticPr fontId="50"/>
  </si>
  <si>
    <t>Issued Office</t>
    <phoneticPr fontId="50"/>
  </si>
  <si>
    <t>Invoice Date</t>
    <phoneticPr fontId="50"/>
  </si>
  <si>
    <t>Consignee:</t>
    <phoneticPr fontId="50"/>
  </si>
  <si>
    <t>L/C No.</t>
    <phoneticPr fontId="50"/>
  </si>
  <si>
    <t>Dated</t>
    <phoneticPr fontId="50"/>
  </si>
  <si>
    <t>Expiry Date</t>
    <phoneticPr fontId="50"/>
  </si>
  <si>
    <t>Issuing Bank</t>
    <phoneticPr fontId="50"/>
  </si>
  <si>
    <t>Bank Information</t>
    <phoneticPr fontId="50"/>
  </si>
  <si>
    <t>Name</t>
    <phoneticPr fontId="50"/>
  </si>
  <si>
    <t>Sold to:</t>
    <phoneticPr fontId="50"/>
  </si>
  <si>
    <t>Address</t>
    <phoneticPr fontId="50"/>
  </si>
  <si>
    <t>SWIFT Code</t>
    <phoneticPr fontId="50"/>
  </si>
  <si>
    <t>Account#</t>
    <phoneticPr fontId="50"/>
  </si>
  <si>
    <t>Terms/Method of Payment</t>
    <phoneticPr fontId="50"/>
  </si>
  <si>
    <t>Shipping Method/Vessel</t>
    <phoneticPr fontId="50"/>
  </si>
  <si>
    <t>Port of Loading</t>
    <phoneticPr fontId="50"/>
  </si>
  <si>
    <t>Sailing on or about</t>
    <phoneticPr fontId="50"/>
  </si>
  <si>
    <t>Port of Discharge</t>
    <phoneticPr fontId="50"/>
  </si>
  <si>
    <t>Place of Delivery</t>
    <phoneticPr fontId="50"/>
  </si>
  <si>
    <t>Final Destination</t>
    <phoneticPr fontId="50"/>
  </si>
  <si>
    <t>Inco-Terms</t>
    <phoneticPr fontId="50"/>
  </si>
  <si>
    <t>Quantity</t>
    <phoneticPr fontId="50"/>
  </si>
  <si>
    <t>Unit Price</t>
    <phoneticPr fontId="50"/>
  </si>
  <si>
    <t>Amount</t>
    <phoneticPr fontId="50"/>
  </si>
  <si>
    <t>Order No.</t>
    <phoneticPr fontId="50"/>
  </si>
  <si>
    <t>Put-Up</t>
    <phoneticPr fontId="50"/>
  </si>
  <si>
    <t>Roll</t>
    <phoneticPr fontId="50"/>
  </si>
  <si>
    <t>Total</t>
    <phoneticPr fontId="50"/>
  </si>
  <si>
    <t>Sub total</t>
    <phoneticPr fontId="50"/>
  </si>
  <si>
    <t>Grand total</t>
    <phoneticPr fontId="50"/>
  </si>
  <si>
    <r>
      <rPr>
        <b/>
        <sz val="12"/>
        <color indexed="8"/>
        <rFont val="Times New Roman"/>
        <family val="1"/>
      </rPr>
      <t>SUN FASHION AMERICA, INC.</t>
    </r>
    <r>
      <rPr>
        <sz val="10"/>
        <color indexed="8"/>
        <rFont val="Times New Roman"/>
        <family val="1"/>
      </rPr>
      <t xml:space="preserve">
265 West 37th Street 7th Floor
New York, NY 10018, U.S.A.
TEL: 1-845-633-2132
&lt;Shipper: Sun Fashion Corp. in Japan&gt;</t>
    </r>
    <phoneticPr fontId="3"/>
  </si>
  <si>
    <t>Osaka</t>
    <phoneticPr fontId="3"/>
  </si>
  <si>
    <t>New York</t>
    <phoneticPr fontId="3"/>
  </si>
  <si>
    <t>N/A</t>
  </si>
  <si>
    <t>N/A</t>
    <phoneticPr fontId="50"/>
  </si>
  <si>
    <t>401 West 42nd St. New York NY 10036</t>
    <phoneticPr fontId="50"/>
  </si>
  <si>
    <t>CITIUS33</t>
    <phoneticPr fontId="50"/>
  </si>
  <si>
    <t>6877846069              </t>
    <phoneticPr fontId="50"/>
  </si>
  <si>
    <t>Routing#</t>
    <phoneticPr fontId="3"/>
  </si>
  <si>
    <t>021000089  </t>
    <phoneticPr fontId="3"/>
  </si>
  <si>
    <t>Beneficiary</t>
    <phoneticPr fontId="3"/>
  </si>
  <si>
    <t>Sun Fashion America, Inc        </t>
    <phoneticPr fontId="50"/>
  </si>
  <si>
    <t>Citibank</t>
    <phoneticPr fontId="3"/>
  </si>
  <si>
    <t xml:space="preserve"> By T/T or Check</t>
    <phoneticPr fontId="3"/>
  </si>
  <si>
    <t>Invoice No.</t>
    <phoneticPr fontId="3"/>
  </si>
  <si>
    <t>Customer Name</t>
    <phoneticPr fontId="3"/>
  </si>
  <si>
    <t>　</t>
  </si>
  <si>
    <t>Item</t>
    <phoneticPr fontId="50"/>
  </si>
  <si>
    <t>Other charge</t>
    <phoneticPr fontId="50"/>
  </si>
  <si>
    <t>Customer Reference No.</t>
    <phoneticPr fontId="50"/>
  </si>
  <si>
    <t>(SELECT)</t>
  </si>
  <si>
    <t>Courier Ref. No.</t>
    <phoneticPr fontId="3"/>
  </si>
  <si>
    <t>Note:</t>
    <phoneticPr fontId="50"/>
  </si>
  <si>
    <t>#</t>
    <phoneticPr fontId="3"/>
  </si>
  <si>
    <t>[Shipper Information]</t>
    <phoneticPr fontId="3"/>
  </si>
  <si>
    <t>Sun Fashion Corp.</t>
    <phoneticPr fontId="3"/>
  </si>
  <si>
    <t>21-10 Fukushima 8 Chome, Fukushima-Ku,</t>
    <phoneticPr fontId="3"/>
  </si>
  <si>
    <t>OSAKA 553-0003, JAPAN</t>
    <phoneticPr fontId="3"/>
  </si>
  <si>
    <t>TEL: +81 6-6455-2850</t>
    <phoneticPr fontId="3"/>
  </si>
  <si>
    <t>[Packing Details]</t>
    <phoneticPr fontId="3"/>
  </si>
  <si>
    <t>Size:</t>
    <phoneticPr fontId="3"/>
  </si>
  <si>
    <t>Gross Weight:</t>
    <phoneticPr fontId="3"/>
  </si>
  <si>
    <t>SUN FASHION AMERICA, INC.</t>
    <phoneticPr fontId="50"/>
  </si>
  <si>
    <t>Mie Kobayashi</t>
    <phoneticPr fontId="3"/>
  </si>
  <si>
    <t>Order No.</t>
    <phoneticPr fontId="3"/>
  </si>
  <si>
    <t>Put-Up</t>
    <phoneticPr fontId="3"/>
  </si>
  <si>
    <t>Roll</t>
    <phoneticPr fontId="3"/>
  </si>
  <si>
    <t>Total</t>
    <phoneticPr fontId="3"/>
  </si>
  <si>
    <t>Unit Price</t>
    <phoneticPr fontId="3"/>
  </si>
  <si>
    <t>Amount</t>
    <phoneticPr fontId="3"/>
  </si>
  <si>
    <t>Port of Discharge</t>
    <phoneticPr fontId="3"/>
  </si>
  <si>
    <t>Shipping Method/Vessel#</t>
    <phoneticPr fontId="3"/>
  </si>
  <si>
    <t>Port of Loading</t>
    <phoneticPr fontId="3"/>
  </si>
  <si>
    <t>Place of Delivery</t>
    <phoneticPr fontId="3"/>
  </si>
  <si>
    <t>Sailing on or about</t>
    <phoneticPr fontId="3"/>
  </si>
  <si>
    <t>Final Destination</t>
    <phoneticPr fontId="3"/>
  </si>
  <si>
    <t>Customer Reference</t>
    <phoneticPr fontId="3"/>
  </si>
  <si>
    <t>Inco-Terms</t>
    <phoneticPr fontId="3"/>
  </si>
  <si>
    <t>Sold to:</t>
    <phoneticPr fontId="3"/>
  </si>
  <si>
    <t>Consignee</t>
    <phoneticPr fontId="3"/>
  </si>
  <si>
    <t>Terms/Method of Payment</t>
    <phoneticPr fontId="3"/>
  </si>
  <si>
    <t>Bank Information</t>
    <phoneticPr fontId="3"/>
  </si>
  <si>
    <t>Name</t>
    <phoneticPr fontId="3"/>
  </si>
  <si>
    <t>Address</t>
    <phoneticPr fontId="3"/>
  </si>
  <si>
    <t>SWIFT Code</t>
    <phoneticPr fontId="3"/>
  </si>
  <si>
    <t>LC No.</t>
    <phoneticPr fontId="3"/>
  </si>
  <si>
    <t>Expiry Date</t>
    <phoneticPr fontId="3"/>
  </si>
  <si>
    <t>Issuing Bank</t>
    <phoneticPr fontId="3"/>
  </si>
  <si>
    <t>Dated</t>
    <phoneticPr fontId="3"/>
  </si>
  <si>
    <t>Routing No.</t>
    <phoneticPr fontId="3"/>
  </si>
  <si>
    <t>Account No.</t>
    <phoneticPr fontId="3"/>
  </si>
  <si>
    <t>No.</t>
    <phoneticPr fontId="3"/>
  </si>
  <si>
    <t>Issued Office</t>
    <phoneticPr fontId="3"/>
  </si>
  <si>
    <t>Issued Date</t>
    <phoneticPr fontId="3"/>
  </si>
  <si>
    <t>Commercial Invoice</t>
    <phoneticPr fontId="3"/>
  </si>
  <si>
    <t>401 West 42nd St. New York NY 10036</t>
    <phoneticPr fontId="3"/>
  </si>
  <si>
    <t>CITIUS33</t>
    <phoneticPr fontId="3"/>
  </si>
  <si>
    <t>Courier Ref.</t>
    <phoneticPr fontId="3"/>
  </si>
  <si>
    <t>Description of Goods</t>
    <phoneticPr fontId="3"/>
  </si>
  <si>
    <t>Quantity</t>
    <phoneticPr fontId="3"/>
  </si>
  <si>
    <t>Grand Total</t>
    <phoneticPr fontId="3"/>
  </si>
  <si>
    <t>[Packing Details]</t>
  </si>
  <si>
    <t>Size:</t>
  </si>
  <si>
    <t xml:space="preserve">      OSAKA</t>
    <phoneticPr fontId="3"/>
  </si>
  <si>
    <t>Type:</t>
    <phoneticPr fontId="3"/>
  </si>
  <si>
    <t>3.1 PHILLIP LIM, LLC</t>
  </si>
  <si>
    <t>Rm 702 7/F, New Tech Plaza</t>
  </si>
  <si>
    <t>ALC &amp; CO LLC</t>
  </si>
  <si>
    <t>818 S Broadway Suite 400</t>
  </si>
  <si>
    <t>U.S.A.</t>
  </si>
  <si>
    <t>Jade</t>
  </si>
  <si>
    <t>ALEXANDER WANG</t>
  </si>
  <si>
    <t>386 Broadway 6th Floor</t>
  </si>
  <si>
    <t>Tel: 212-532-3103</t>
  </si>
  <si>
    <t>Alexandra Grecco</t>
  </si>
  <si>
    <t>265 West 37th St. 5FL</t>
  </si>
  <si>
    <t>LEIGH REILLY</t>
  </si>
  <si>
    <t>Alexis Monsanto Atelier</t>
  </si>
  <si>
    <t>8281 Melrose Ave. suite 206</t>
  </si>
  <si>
    <t>Alexis Monsanto</t>
  </si>
  <si>
    <t>ALIX NYC</t>
  </si>
  <si>
    <t>209 W38TH ST SUITE 312</t>
  </si>
  <si>
    <t>Tim and Grace</t>
  </si>
  <si>
    <t>AMANDA JAMES DESIGN GROUP LLC</t>
  </si>
  <si>
    <t>2050 N Stemmons FWY # 15149</t>
  </si>
  <si>
    <t>Tel: 424.501.5381</t>
  </si>
  <si>
    <t>Amsale Aberra, L.L.C.</t>
  </si>
  <si>
    <t>318 West 39th Street, 12th Flr</t>
  </si>
  <si>
    <t>Sylvia</t>
  </si>
  <si>
    <t>Anahit's Studio, LLC</t>
  </si>
  <si>
    <t>112 WWST 9th St. SuitE 909 ,</t>
  </si>
  <si>
    <t>Anahit Jackson</t>
  </si>
  <si>
    <t>ANKASA LTD / Sachin &amp; Babi</t>
  </si>
  <si>
    <t>132 West 36th Street, 9th Floor</t>
  </si>
  <si>
    <t>Tel: (212) 575-1994</t>
  </si>
  <si>
    <t>ARE YOU AM I</t>
  </si>
  <si>
    <t>1024 SANTEE ST. SUITE 300</t>
  </si>
  <si>
    <t>Tel: 213.689.5088</t>
  </si>
  <si>
    <t>Artsline Company</t>
  </si>
  <si>
    <t>A2, 11/F, Phase 2, Hang Fung Ind Bldg,</t>
  </si>
  <si>
    <t>Kowloon, Hong Kong</t>
  </si>
  <si>
    <t>Christin Au</t>
  </si>
  <si>
    <t>BAILEY 44</t>
  </si>
  <si>
    <t>4700 S. BOYLE AVENUE</t>
  </si>
  <si>
    <t>Lizette</t>
  </si>
  <si>
    <t>Beach Riot</t>
  </si>
  <si>
    <t>828 production place</t>
  </si>
  <si>
    <t>Kat Eyanson</t>
  </si>
  <si>
    <t>Belle Atelier</t>
  </si>
  <si>
    <t>1755 n Damen Ave #c2 REAR</t>
  </si>
  <si>
    <t>Giselle</t>
  </si>
  <si>
    <t>BIBHU MOHAPATRA</t>
  </si>
  <si>
    <t>39 North Moore Street, Store Entrance</t>
  </si>
  <si>
    <t>BURNING TORCH</t>
  </si>
  <si>
    <t>1738 CORDOVA ST</t>
  </si>
  <si>
    <t>Amy</t>
  </si>
  <si>
    <t>Carolina Herrera</t>
  </si>
  <si>
    <t>501 7th Avenue 16FL</t>
  </si>
  <si>
    <t>Tel:212 944 5757</t>
  </si>
  <si>
    <t>Alonso</t>
  </si>
  <si>
    <t>Centric West LLC</t>
  </si>
  <si>
    <t>620 South Elm Street</t>
  </si>
  <si>
    <t>RefJoe’s Jeans</t>
  </si>
  <si>
    <t>CHANGZHOU HUALIDA GARMENTS Group</t>
  </si>
  <si>
    <t>No. 958 Laodong East Rd</t>
  </si>
  <si>
    <t xml:space="preserve">CHINA  </t>
  </si>
  <si>
    <t>Jerrica/Roi Robinson Wang</t>
  </si>
  <si>
    <t>CHENFENG (JIANGSU) APPAREL CO.,LTD</t>
  </si>
  <si>
    <t>Bella</t>
  </si>
  <si>
    <t>China Ting Group Co., LTD</t>
  </si>
  <si>
    <t>4FL, No. 56 Beisha East Rd.</t>
  </si>
  <si>
    <t>Yukishu</t>
  </si>
  <si>
    <t>CHINAMINE TRADING LTD.</t>
  </si>
  <si>
    <t xml:space="preserve">RM 2802-2815, 28/F No. 1 Hung To Road </t>
  </si>
  <si>
    <t>Kwun Tong Kowloon, Hong Kong</t>
  </si>
  <si>
    <t>Kay Lee</t>
  </si>
  <si>
    <t>Christy Dawn</t>
  </si>
  <si>
    <t>2115 South San Pedro</t>
  </si>
  <si>
    <t>Classita (M) Sdn Bhd</t>
  </si>
  <si>
    <t>Lot 2661, 3rd Mile</t>
  </si>
  <si>
    <t>Tel: 605-621-8888</t>
  </si>
  <si>
    <t>Coach/Tapestry</t>
  </si>
  <si>
    <t>10 Hudson Yard 16FL</t>
  </si>
  <si>
    <t>Clay Smith</t>
  </si>
  <si>
    <t>CREATIVE DESIGN MANAGEMENT EDGARDO BONILLA BRIDAL</t>
  </si>
  <si>
    <t>One Executive Drive, Suite 3</t>
  </si>
  <si>
    <t>260 West 39th St. suite 1401</t>
  </si>
  <si>
    <t>Margo Lafontaine</t>
  </si>
  <si>
    <t>DANNIJO</t>
  </si>
  <si>
    <t>1407 Broadway, Suite #720</t>
  </si>
  <si>
    <t>Tel: 212-971-7070</t>
  </si>
  <si>
    <t>DDA HOLDINGS, INC</t>
  </si>
  <si>
    <t>Adeline Martinez</t>
  </si>
  <si>
    <t>Deutsche Bekleidungswerke Limited</t>
  </si>
  <si>
    <t>Plot P-1A, road no.6, Long Hau IP Expansion Area,</t>
  </si>
  <si>
    <t>Hana/Tigon</t>
  </si>
  <si>
    <t>Estee Couture</t>
  </si>
  <si>
    <t>16083 Sierra Pass Way</t>
  </si>
  <si>
    <t>EVERYBODY.WORLD</t>
  </si>
  <si>
    <t>5718 S. Santa Fe Ave.</t>
  </si>
  <si>
    <t>U.S.A</t>
  </si>
  <si>
    <t>Alice</t>
  </si>
  <si>
    <t>FOOK WAH KUN KEE KNITTING FTY., LTD.</t>
  </si>
  <si>
    <t>9/F., Block B, Po Yip Building,</t>
  </si>
  <si>
    <t>Sandy Feng</t>
  </si>
  <si>
    <t>FRANKIES BIKINIS</t>
  </si>
  <si>
    <t>Grace Fu</t>
  </si>
  <si>
    <t>231 Lexington Ave #1A</t>
  </si>
  <si>
    <t xml:space="preserve">Grace </t>
  </si>
  <si>
    <t>Grace Garment Factory</t>
  </si>
  <si>
    <t>HAPPY TIMES CAFE LLC</t>
  </si>
  <si>
    <t>349 SCHOLES STREET SUITE 307</t>
  </si>
  <si>
    <t>MIKE ECKHAUS</t>
  </si>
  <si>
    <t>Hat Salon</t>
  </si>
  <si>
    <t>5 Stropkov Ct. #101</t>
  </si>
  <si>
    <t>Malky</t>
  </si>
  <si>
    <t>Hellessy</t>
  </si>
  <si>
    <t>Allan</t>
  </si>
  <si>
    <t>Helmut Lang New York</t>
  </si>
  <si>
    <t>Marcel Pawlas</t>
  </si>
  <si>
    <t>Henet Pte. Ltd</t>
  </si>
  <si>
    <t>1 Maritime Square #09-19</t>
  </si>
  <si>
    <t>Harbourfront Centre</t>
  </si>
  <si>
    <t>Tel: 65 6258 6881</t>
  </si>
  <si>
    <t>HONOR</t>
  </si>
  <si>
    <t>270 Lafayette Street Suite 1209</t>
  </si>
  <si>
    <t>Madison Wu</t>
  </si>
  <si>
    <t>JANE WANG LLC</t>
  </si>
  <si>
    <t>33 Great Neck Rd., Suite #6</t>
  </si>
  <si>
    <t>Tel: 917-592-2966</t>
  </si>
  <si>
    <t>Jason Wu (Shanghai) Garment Co., Ltd.</t>
  </si>
  <si>
    <t>2700 Lianhualu Rd., Building 1, 5th FL</t>
  </si>
  <si>
    <t xml:space="preserve">Michelle </t>
  </si>
  <si>
    <t>Jenny Yoo Collection</t>
  </si>
  <si>
    <t>132 West 36th Street 9th Floor</t>
  </si>
  <si>
    <t>JOHNNY WAS</t>
  </si>
  <si>
    <t>JILLMARK, INC. dba H O N O R I N E</t>
  </si>
  <si>
    <t>10474 Santa Monica Blvd., Suite 308</t>
  </si>
  <si>
    <t>Samantha</t>
  </si>
  <si>
    <t xml:space="preserve">Katie May  </t>
  </si>
  <si>
    <t>2301 East 7th Street Suite A315-A319,</t>
  </si>
  <si>
    <t>Kevan Hall</t>
  </si>
  <si>
    <t>8313 Beverly Blvd.</t>
  </si>
  <si>
    <t>Tel: 323.658.7979</t>
  </si>
  <si>
    <t>KRP LCC/Houghton</t>
  </si>
  <si>
    <t>26500 Agoura Rd #531</t>
  </si>
  <si>
    <t>Katharine Polk</t>
  </si>
  <si>
    <t xml:space="preserve">Lauren Moshi </t>
  </si>
  <si>
    <t xml:space="preserve">Clelia Chavez </t>
  </si>
  <si>
    <t>LE SUPERBE</t>
  </si>
  <si>
    <t>719 S. Los Angeles St. Suite 419</t>
  </si>
  <si>
    <t>Rey Pascua</t>
  </si>
  <si>
    <t>LUCY BLAIR LLC (T/A CIAO LUCIA)</t>
  </si>
  <si>
    <t>Lynne Carter</t>
  </si>
  <si>
    <t>Tel: +1 949-922-9225</t>
  </si>
  <si>
    <t>Marchesa RM</t>
  </si>
  <si>
    <t>Marius Revere</t>
  </si>
  <si>
    <t>minnow</t>
  </si>
  <si>
    <t>219 MARINE AVE, STE A</t>
  </si>
  <si>
    <t>M I S A</t>
  </si>
  <si>
    <t>1530 E 25th St.</t>
  </si>
  <si>
    <t>AttenImelda</t>
  </si>
  <si>
    <t>MODERN TROUSSEAU</t>
  </si>
  <si>
    <t>125 Bradley Road</t>
  </si>
  <si>
    <t>MONIQUE LHUILLIER</t>
  </si>
  <si>
    <t>4533 Pacific Blvd.</t>
  </si>
  <si>
    <t>Tel: 213.747.8811</t>
  </si>
  <si>
    <t>MONSE c/o Max Lu</t>
  </si>
  <si>
    <t>611 Broadway Suite 308</t>
  </si>
  <si>
    <t>New York, NY 10012</t>
  </si>
  <si>
    <t>MONSE LLC</t>
  </si>
  <si>
    <t>Tel: 646-809-0100</t>
  </si>
  <si>
    <t>Navee Charoen Ltd., Part.</t>
  </si>
  <si>
    <t>Tel: (66)2 222 7099</t>
  </si>
  <si>
    <t>PACIFIC TRIMMING ENTERPRISE</t>
  </si>
  <si>
    <t>218 West 38th Street</t>
  </si>
  <si>
    <t>Tel:  212-279-9310</t>
  </si>
  <si>
    <t>PARC AND PEARL</t>
  </si>
  <si>
    <t>1506 W. 12TH ST.</t>
  </si>
  <si>
    <t>Qian</t>
  </si>
  <si>
    <t>Jacqueline Mego</t>
  </si>
  <si>
    <t>PRIVATE LABEL TEHUACAN, S. DE R.L. DE C.V.</t>
  </si>
  <si>
    <t>KM. 107 CARRETERA PUEBLA-TEHUACAN</t>
  </si>
  <si>
    <t>MEXICO</t>
  </si>
  <si>
    <t>Marisela Lerin</t>
  </si>
  <si>
    <t>Puppets and Puppets</t>
  </si>
  <si>
    <t>115 West 30th St. suite 203</t>
  </si>
  <si>
    <t>Carly Mark</t>
  </si>
  <si>
    <t>RAJ Manufacturing, LLC.</t>
  </si>
  <si>
    <t>REEM ACRA RTW</t>
  </si>
  <si>
    <t>David Farshadfar</t>
  </si>
  <si>
    <t>Rodarte</t>
  </si>
  <si>
    <t>715 South Oakland Ave</t>
  </si>
  <si>
    <t>Royal Spirit Limited</t>
  </si>
  <si>
    <t>11th Floor, 822, Lai Chi Kok Road,</t>
  </si>
  <si>
    <t>AGNES/AMY</t>
  </si>
  <si>
    <t>Salt and Pepper Gifts</t>
  </si>
  <si>
    <t>970 Knox St. Unit A</t>
  </si>
  <si>
    <t>AttenTara</t>
  </si>
  <si>
    <t>Sara Campbell LTD</t>
  </si>
  <si>
    <t>67 Kemble St / 4th Floor</t>
  </si>
  <si>
    <t>Geraldine</t>
  </si>
  <si>
    <t>Suteks Tekstil Sanayi ve Ticaret AS</t>
  </si>
  <si>
    <t>Kemerburgaz Cad. No:16</t>
  </si>
  <si>
    <t>TURKEY</t>
  </si>
  <si>
    <t>GONCA ATILCAN</t>
  </si>
  <si>
    <t>SVAC Collective, LLC</t>
  </si>
  <si>
    <t>LLC998 Casiano Rd</t>
  </si>
  <si>
    <t>Accounts Payable</t>
  </si>
  <si>
    <t>The Evans Group</t>
  </si>
  <si>
    <t>1926 E. 7th Street</t>
  </si>
  <si>
    <t>Theory</t>
  </si>
  <si>
    <t>2 Gansevoort st 2FL</t>
  </si>
  <si>
    <t>New York NY 10014</t>
  </si>
  <si>
    <t>Dave</t>
  </si>
  <si>
    <t>Tomomi Okubo</t>
  </si>
  <si>
    <t>53 Bridge street Unit 201</t>
  </si>
  <si>
    <t>Tory Burch</t>
  </si>
  <si>
    <t>11 West 19th St. 8FL</t>
  </si>
  <si>
    <t>Saman Chaudhry</t>
  </si>
  <si>
    <t>Trade Harvest Industrial Ltd.</t>
  </si>
  <si>
    <t>Workship No.7, 10/F, Permier Centre</t>
  </si>
  <si>
    <t>Tel: 852-2743-1083</t>
  </si>
  <si>
    <t>TRIBECA DESIGN STUDIO</t>
  </si>
  <si>
    <t>142 DUANE STREET NEW YORK,</t>
  </si>
  <si>
    <t>ULLA JOHNSON</t>
  </si>
  <si>
    <t>270 Lafayette Street, 1101</t>
  </si>
  <si>
    <t>Patricia Voto</t>
  </si>
  <si>
    <t>Urban Zen</t>
  </si>
  <si>
    <t>705 Greenwich St</t>
  </si>
  <si>
    <t>Larisa Marginean</t>
  </si>
  <si>
    <t>VERA WANG BRIDAL</t>
  </si>
  <si>
    <t>15 EAST 26TH STREET</t>
  </si>
  <si>
    <t>NEW YORK, NY 10010</t>
  </si>
  <si>
    <t>Vinnitsa Hong Kong Ltd.</t>
  </si>
  <si>
    <t>Unit B &amp; C, 9/F., Fuk Cheong Factory Building,</t>
  </si>
  <si>
    <t>Helly</t>
  </si>
  <si>
    <t xml:space="preserve">ALEXIS MABILLE </t>
  </si>
  <si>
    <t>4 BIS ALLEE VERTE</t>
  </si>
  <si>
    <t>Paris</t>
  </si>
  <si>
    <t>STEPHANIE</t>
  </si>
  <si>
    <t>ANHUI MINMETALS DEVELOPMENT I/E CO. LTD</t>
  </si>
  <si>
    <t>Shen gang park NO 1689 XIYOU road</t>
  </si>
  <si>
    <t>XING LI</t>
  </si>
  <si>
    <t>Atelier Marey</t>
  </si>
  <si>
    <t>42 Rue De Clery</t>
  </si>
  <si>
    <t>Linah</t>
  </si>
  <si>
    <t>BA&amp;SH</t>
  </si>
  <si>
    <t>67 AVENUE RAYMOND POINCARE,</t>
  </si>
  <si>
    <t>MANON</t>
  </si>
  <si>
    <t>BENDA BILI S.A.S / SEZANE</t>
  </si>
  <si>
    <t>12 RUE D'UZES 2EME ETAGE</t>
  </si>
  <si>
    <t>Clemence</t>
  </si>
  <si>
    <t>BONPOINT SAS</t>
  </si>
  <si>
    <t>62 AVENUE D’IENA</t>
  </si>
  <si>
    <t>Nadia</t>
  </si>
  <si>
    <t>BRILLIANT Invest Co.</t>
  </si>
  <si>
    <t>40, Tzar Boris III Obedinitel Blvd</t>
  </si>
  <si>
    <t>4004 Plovdiv</t>
  </si>
  <si>
    <t>Albena</t>
  </si>
  <si>
    <t>Casablanca</t>
  </si>
  <si>
    <t>E8 3RL</t>
  </si>
  <si>
    <t>Valbona / Yasmine</t>
  </si>
  <si>
    <t>Claudie Pierlot</t>
  </si>
  <si>
    <t>2 rue de Marengo</t>
  </si>
  <si>
    <t>Clotilde Le Marchand</t>
  </si>
  <si>
    <t>Courreges</t>
  </si>
  <si>
    <t xml:space="preserve">40 rue Fran?ois 1er, </t>
  </si>
  <si>
    <t>Olivia NOUET</t>
  </si>
  <si>
    <t>Cymbeline</t>
  </si>
  <si>
    <t>2 rue Gambetta</t>
  </si>
  <si>
    <t>Avon</t>
  </si>
  <si>
    <t>Lucrece &amp; Annie</t>
  </si>
  <si>
    <t>DE FURSAC</t>
  </si>
  <si>
    <t>112 rue de Richelieu</t>
  </si>
  <si>
    <t>Sarah</t>
  </si>
  <si>
    <t>DUNE BY MARIE LAPORTE SARL</t>
  </si>
  <si>
    <t>48 rue de L?vis</t>
  </si>
  <si>
    <t>Marie Voignier</t>
  </si>
  <si>
    <t>ETAM 1.2.3.</t>
  </si>
  <si>
    <t>57-59 RUE HENRI BARBUSSE</t>
  </si>
  <si>
    <t xml:space="preserve">MS. Isabelle &amp; Nathalie </t>
  </si>
  <si>
    <t>Fenix Fashion Ltd</t>
  </si>
  <si>
    <t>UG/F., Cobalt Building, 926 Cheung</t>
  </si>
  <si>
    <t>JOHANNA</t>
  </si>
  <si>
    <t>HANGZHOU HEQI IMPORT AND EXPORT TRADE CO.,LTD</t>
  </si>
  <si>
    <t>2-130,NO.158,HONGXING ROAD,ECONOMIC AND</t>
  </si>
  <si>
    <t>Faye chen</t>
  </si>
  <si>
    <t>Hongtex Hong Kong Ltd.</t>
  </si>
  <si>
    <t>RM2005 20/F NEW TREASURE CENTRE</t>
  </si>
  <si>
    <t>Joanne/Ginny</t>
  </si>
  <si>
    <t>IDEA 2000 LIMITED</t>
  </si>
  <si>
    <t xml:space="preserve">7/F, Yonglian Buliding, </t>
  </si>
  <si>
    <t>IKKS WOMEN-BATIMENT 5</t>
  </si>
  <si>
    <t>SERVICE COMPTABILITE FOURNISS EURS</t>
  </si>
  <si>
    <t>94,RUE CHOLETAISE 49455 SEVREMOINE</t>
  </si>
  <si>
    <t>JOYANCE CORPORATION LIMITED</t>
  </si>
  <si>
    <t>14F 188 BINKANG ROAD, BINJIANG</t>
  </si>
  <si>
    <t>HANGZHOU, ZHEJIANG</t>
  </si>
  <si>
    <t>Nancy</t>
  </si>
  <si>
    <t>LOGTEX/IKKS WOMEN</t>
  </si>
  <si>
    <t>FOURNITURES DE COLLECTION</t>
  </si>
  <si>
    <t>MAISON 123</t>
  </si>
  <si>
    <t>57-59 avenue Henri Barbusse</t>
  </si>
  <si>
    <t>92 614 Clichy Cedex</t>
  </si>
  <si>
    <t>Murielle Deny</t>
  </si>
  <si>
    <t>MAISON PERE</t>
  </si>
  <si>
    <t>36 RUE VIGNON</t>
  </si>
  <si>
    <t>Ms. Adele Grenot</t>
  </si>
  <si>
    <t>Maison Rabih Kayrouz</t>
  </si>
  <si>
    <t xml:space="preserve">38 Boulevard Raspail </t>
  </si>
  <si>
    <t>Mirjana Morozin</t>
  </si>
  <si>
    <t>Maje</t>
  </si>
  <si>
    <t xml:space="preserve">2 rue de Marengo </t>
  </si>
  <si>
    <t>Marion Blanchard</t>
  </si>
  <si>
    <t>MAREY SHANGHAI Office</t>
  </si>
  <si>
    <t xml:space="preserve">21st Floor, Harbour Ring Huangpu Center, </t>
  </si>
  <si>
    <t>DEBBIE YAN</t>
  </si>
  <si>
    <t>MARIE LAPORTE</t>
  </si>
  <si>
    <t>MELOYUN CO LTD</t>
  </si>
  <si>
    <t xml:space="preserve">101/63-65 Moo 3, Suetrong group, </t>
  </si>
  <si>
    <t>Li</t>
  </si>
  <si>
    <t>OFFICINE GENERALE</t>
  </si>
  <si>
    <t xml:space="preserve">11 RUE JULES CHAPLAIN </t>
  </si>
  <si>
    <t>PARIS</t>
  </si>
  <si>
    <t>Dan</t>
  </si>
  <si>
    <t>Paco Rabanne</t>
  </si>
  <si>
    <t>17, rue Fran?ois 1er</t>
  </si>
  <si>
    <t>PARMAMODA SRL</t>
  </si>
  <si>
    <t xml:space="preserve">VIA G. BOTTERI, 12 </t>
  </si>
  <si>
    <t>PARMA</t>
  </si>
  <si>
    <t>Emanuela</t>
  </si>
  <si>
    <t>Piret Kartus</t>
  </si>
  <si>
    <t>Parnu mnt 8</t>
  </si>
  <si>
    <t>Potencier</t>
  </si>
  <si>
    <t>106, rue L?on Gambetta</t>
  </si>
  <si>
    <t>Villers-Outreaux</t>
  </si>
  <si>
    <t xml:space="preserve">Eric Leroy </t>
  </si>
  <si>
    <t>PROLOG ( MRK PROD E20 )</t>
  </si>
  <si>
    <t>84 rue Choletaise</t>
  </si>
  <si>
    <t>Sylvie</t>
  </si>
  <si>
    <t>RDM / CELESTINA AGOSTINO</t>
  </si>
  <si>
    <t>15 RUE DE L'ABBE GREGOIRE</t>
  </si>
  <si>
    <t>CELESTINA AGOSTINO</t>
  </si>
  <si>
    <t>Richard Naigard</t>
  </si>
  <si>
    <t>232,rue St Denis</t>
  </si>
  <si>
    <t>SCRO - DESIGN SRL</t>
  </si>
  <si>
    <t>REPUBLICII6</t>
  </si>
  <si>
    <t>MARASESTI</t>
  </si>
  <si>
    <t>TFH</t>
  </si>
  <si>
    <t>RYM/FATMA</t>
  </si>
  <si>
    <t>The Kooples</t>
  </si>
  <si>
    <t>11 Rue de Prony,</t>
  </si>
  <si>
    <t>Laurie Poisvert</t>
  </si>
  <si>
    <t>Valerie Khalfon</t>
  </si>
  <si>
    <t xml:space="preserve">9 rue Saint Fiacre </t>
  </si>
  <si>
    <t>Valerie Israel</t>
  </si>
  <si>
    <t>Veronique Leroy</t>
  </si>
  <si>
    <t>50 rue du Faubourg ST Antoine</t>
  </si>
  <si>
    <t>Jean Fran?ois</t>
  </si>
  <si>
    <t>Y/PROJECT</t>
  </si>
  <si>
    <t xml:space="preserve">40 RUE DE PARADIS, </t>
  </si>
  <si>
    <t>Ran Roh</t>
  </si>
  <si>
    <t>Zapa</t>
  </si>
  <si>
    <t>8bis Rue Dieu</t>
  </si>
  <si>
    <t xml:space="preserve">Paris 10?me </t>
  </si>
  <si>
    <t>France Rocher</t>
  </si>
  <si>
    <t>ZIP CODE</t>
    <phoneticPr fontId="3"/>
  </si>
  <si>
    <t>ADDRESS 1</t>
    <phoneticPr fontId="3"/>
  </si>
  <si>
    <t>ADDRESS 2</t>
    <phoneticPr fontId="3"/>
  </si>
  <si>
    <t>COUNTRY</t>
    <phoneticPr fontId="3"/>
  </si>
  <si>
    <t>TEL</t>
    <phoneticPr fontId="3"/>
  </si>
  <si>
    <t>DANIELLE FRANKEL</t>
    <phoneticPr fontId="3"/>
  </si>
  <si>
    <t>USA</t>
    <phoneticPr fontId="3"/>
  </si>
  <si>
    <t xml:space="preserve">4030 DEL REY AVE </t>
    <phoneticPr fontId="3"/>
  </si>
  <si>
    <t>ATTENTION</t>
    <phoneticPr fontId="3"/>
  </si>
  <si>
    <t>NEW YORK, NY</t>
    <phoneticPr fontId="3"/>
  </si>
  <si>
    <t>34 Tai Yau Street,San Po Kong, Kowloon, Hong Kong</t>
    <phoneticPr fontId="3"/>
  </si>
  <si>
    <t>2G, Hok Yuen St., Hung Hom, Kowloon, Hong Kong</t>
    <phoneticPr fontId="3"/>
  </si>
  <si>
    <t>Los Angeles, CA</t>
    <phoneticPr fontId="3"/>
  </si>
  <si>
    <t>New York, NY</t>
  </si>
  <si>
    <t>New York, NY</t>
    <phoneticPr fontId="3"/>
  </si>
  <si>
    <t>Dallas, TX</t>
    <phoneticPr fontId="3"/>
  </si>
  <si>
    <t>Vernon, CA</t>
    <phoneticPr fontId="3"/>
  </si>
  <si>
    <t>Newport Beach, CA</t>
    <phoneticPr fontId="3"/>
  </si>
  <si>
    <t>chicago IL</t>
    <phoneticPr fontId="3"/>
  </si>
  <si>
    <t>Greensboro, NC</t>
    <phoneticPr fontId="3"/>
  </si>
  <si>
    <t>Changzhou, Jiangsu</t>
    <phoneticPr fontId="3"/>
  </si>
  <si>
    <t>NO.99JIN HU road, Jintan District</t>
    <phoneticPr fontId="3"/>
  </si>
  <si>
    <t xml:space="preserve">Yuhang Economic Development Zone, HangZhou </t>
    <phoneticPr fontId="3"/>
  </si>
  <si>
    <t xml:space="preserve">Jalan Maharajalela, 36000 Teluk Intan, Perak Darul Ridzuan, </t>
    <phoneticPr fontId="3"/>
  </si>
  <si>
    <t>MALAYSIA</t>
    <phoneticPr fontId="3"/>
  </si>
  <si>
    <t>Xirena Division, 834 S Broadway # 600</t>
    <phoneticPr fontId="3"/>
  </si>
  <si>
    <t>08057</t>
    <phoneticPr fontId="3"/>
  </si>
  <si>
    <t>Moorestown, NJ</t>
    <phoneticPr fontId="3"/>
  </si>
  <si>
    <t xml:space="preserve">Long Hau Commune, Can Giuoc Dist, Long An Province, </t>
    <phoneticPr fontId="3"/>
  </si>
  <si>
    <t>VIETNAM</t>
    <phoneticPr fontId="3"/>
  </si>
  <si>
    <t>62-70 Texaco Road, Tsuen Wan, Hong Kong</t>
    <phoneticPr fontId="3"/>
  </si>
  <si>
    <t>Hacienda Heights, CA</t>
    <phoneticPr fontId="3"/>
  </si>
  <si>
    <t>Venice, CA</t>
    <phoneticPr fontId="3"/>
  </si>
  <si>
    <t>Li Chuan, Dong Guan</t>
    <phoneticPr fontId="3"/>
  </si>
  <si>
    <t>2F 83 Li Chuan Road, Dong Cheng</t>
    <phoneticPr fontId="3"/>
  </si>
  <si>
    <t>Brooklyn, NY</t>
    <phoneticPr fontId="3"/>
  </si>
  <si>
    <t>Monroe, NY</t>
    <phoneticPr fontId="3"/>
  </si>
  <si>
    <t>270 Lafayette St, Suite 610</t>
    <phoneticPr fontId="3"/>
  </si>
  <si>
    <t>099253</t>
    <phoneticPr fontId="3"/>
  </si>
  <si>
    <t>SINGAPORE</t>
    <phoneticPr fontId="3"/>
  </si>
  <si>
    <t>07071</t>
    <phoneticPr fontId="3"/>
  </si>
  <si>
    <t xml:space="preserve">165 Polito Ave, </t>
    <phoneticPr fontId="3"/>
  </si>
  <si>
    <t>Lyndhurst, NJ</t>
    <phoneticPr fontId="3"/>
  </si>
  <si>
    <t>Great Neck, NY</t>
    <phoneticPr fontId="3"/>
  </si>
  <si>
    <t>Minhang District, Shanghai</t>
    <phoneticPr fontId="3"/>
  </si>
  <si>
    <t>Calabasas, CA</t>
    <phoneticPr fontId="3"/>
  </si>
  <si>
    <t>2515 Yates Ave,</t>
    <phoneticPr fontId="3"/>
  </si>
  <si>
    <t>Commerce, CA</t>
    <phoneticPr fontId="3"/>
  </si>
  <si>
    <t>2930 DENBY AVENUE, STUDIO B,</t>
    <phoneticPr fontId="3"/>
  </si>
  <si>
    <t>117 W 9th St., Mezzanine #111</t>
    <phoneticPr fontId="3"/>
  </si>
  <si>
    <t>FLOOR 4, 80 8th Avenue,</t>
    <phoneticPr fontId="3"/>
  </si>
  <si>
    <t>Marina Del Rey, CA</t>
    <phoneticPr fontId="3"/>
  </si>
  <si>
    <t>13969 Marquesas Way Apt 202b,</t>
    <phoneticPr fontId="3"/>
  </si>
  <si>
    <t>New Port Beach , CA</t>
    <phoneticPr fontId="3"/>
  </si>
  <si>
    <t>06525</t>
    <phoneticPr fontId="3"/>
  </si>
  <si>
    <t>Woodbridge, CT</t>
    <phoneticPr fontId="3"/>
  </si>
  <si>
    <t>Max Lu</t>
    <phoneticPr fontId="3"/>
  </si>
  <si>
    <t>611 Broadway, 308</t>
    <phoneticPr fontId="3"/>
  </si>
  <si>
    <t>THAILAND</t>
  </si>
  <si>
    <t>THAILAND</t>
    <phoneticPr fontId="3"/>
  </si>
  <si>
    <t>104/8 Krung Kasem Rd., Dheves,</t>
    <phoneticPr fontId="3"/>
  </si>
  <si>
    <t>Bangkok</t>
    <phoneticPr fontId="3"/>
  </si>
  <si>
    <t>Peru Fashions S.A.C.</t>
    <phoneticPr fontId="3"/>
  </si>
  <si>
    <t xml:space="preserve">Mz. E Lote 9, URB. Las Vegas </t>
    <phoneticPr fontId="3"/>
  </si>
  <si>
    <t>Puente Piedra,</t>
    <phoneticPr fontId="3"/>
  </si>
  <si>
    <t>No. 4 S.C. TEPANCO DE LOPEZ, PUEBLA</t>
    <phoneticPr fontId="3"/>
  </si>
  <si>
    <t>PERU</t>
    <phoneticPr fontId="3"/>
  </si>
  <si>
    <t xml:space="preserve">2692 Dow Ave, </t>
    <phoneticPr fontId="3"/>
  </si>
  <si>
    <t>Tustin, CA</t>
    <phoneticPr fontId="3"/>
  </si>
  <si>
    <t>Pasadena, CA</t>
    <phoneticPr fontId="3"/>
  </si>
  <si>
    <t>02119</t>
    <phoneticPr fontId="3"/>
  </si>
  <si>
    <t>Torrance, CA</t>
    <phoneticPr fontId="3"/>
  </si>
  <si>
    <t>Boston, MA</t>
    <phoneticPr fontId="3"/>
  </si>
  <si>
    <t>Ying Ren Shi, Bao'an District, ShenZhen,</t>
    <phoneticPr fontId="3"/>
  </si>
  <si>
    <t>6FL, Bldg C, Wentao Tech Zone,</t>
    <phoneticPr fontId="3"/>
  </si>
  <si>
    <t>ShenZhen Maohua Fashion Co., Ltd.</t>
    <phoneticPr fontId="3"/>
  </si>
  <si>
    <t>Kagithane, Istanbul,</t>
    <phoneticPr fontId="3"/>
  </si>
  <si>
    <t>No.20 Cheung Shun Street, Lai Chi Kok, Hong Kong</t>
    <phoneticPr fontId="3"/>
  </si>
  <si>
    <t>1 Walnut Street, Tai Kok Tsui, Kowloon, Hong Kong</t>
    <phoneticPr fontId="3"/>
  </si>
  <si>
    <t>FRANCE</t>
  </si>
  <si>
    <t>FRANCE</t>
    <phoneticPr fontId="3"/>
  </si>
  <si>
    <t>GAOXING district, Hefei Anhui,</t>
    <phoneticPr fontId="3"/>
  </si>
  <si>
    <t>BULGARIA</t>
    <phoneticPr fontId="3"/>
  </si>
  <si>
    <t>Clichy</t>
    <phoneticPr fontId="3"/>
  </si>
  <si>
    <t>TECHNOLOGICAL DEVELOPMENT ZONE,XIAOSHAN DISTRICT, HANGZHOU, ZHEJIANG,</t>
    <phoneticPr fontId="3"/>
  </si>
  <si>
    <t>10NG FONG STREET, SAN PO KONG,  KOWLOON, HONG KONG</t>
    <phoneticPr fontId="3"/>
  </si>
  <si>
    <t xml:space="preserve">No.188 He Ping Street, Xiuzhou District, Jiaxing, Zhejiang, </t>
    <phoneticPr fontId="3"/>
  </si>
  <si>
    <t>4 Passage de la Boule Blanche, Paris</t>
    <phoneticPr fontId="3"/>
  </si>
  <si>
    <t>ROMANIA</t>
    <phoneticPr fontId="3"/>
  </si>
  <si>
    <t>Saint Macaire en Mauges, Sevremoine,</t>
    <phoneticPr fontId="3"/>
  </si>
  <si>
    <t xml:space="preserve">Apartment 7a, Tallinn, </t>
    <phoneticPr fontId="3"/>
  </si>
  <si>
    <t xml:space="preserve">ESTONIA </t>
    <phoneticPr fontId="3"/>
  </si>
  <si>
    <t>ITALY</t>
    <phoneticPr fontId="3"/>
  </si>
  <si>
    <t xml:space="preserve">TAMBON SAIMA, AUMPHUR MUANG, NONTHABURI, </t>
    <phoneticPr fontId="3"/>
  </si>
  <si>
    <t>No. 98 Liu He Road, Shanghai</t>
    <phoneticPr fontId="3"/>
  </si>
  <si>
    <t>Z.I DE LA GARE RUE DU DR FAYAU, MONTAIGU,</t>
    <phoneticPr fontId="3"/>
  </si>
  <si>
    <t>Phoenix Brewery, 13 Bramley Road</t>
    <phoneticPr fontId="3"/>
  </si>
  <si>
    <t>London</t>
    <phoneticPr fontId="3"/>
  </si>
  <si>
    <t>NETIL HOUSE, SUITE 204, 1 WESTGATE STREET,</t>
    <phoneticPr fontId="3"/>
  </si>
  <si>
    <t>W10 6SZ</t>
    <phoneticPr fontId="3"/>
  </si>
  <si>
    <t>Marta</t>
    <phoneticPr fontId="3"/>
  </si>
  <si>
    <t xml:space="preserve">TUNISIA </t>
    <phoneticPr fontId="3"/>
  </si>
  <si>
    <t>RUE DU TISSAGE 29, ZI KSAR SAID,</t>
    <phoneticPr fontId="3"/>
  </si>
  <si>
    <t>MANOUBA</t>
    <phoneticPr fontId="3"/>
  </si>
  <si>
    <t>Temperley London</t>
    <phoneticPr fontId="3"/>
  </si>
  <si>
    <t>3066a</t>
  </si>
  <si>
    <t>P.H.Garment Manufacturing Company Limited</t>
  </si>
  <si>
    <t>UNIT 1412, 14/F., TOWER 2, EVER GAIN PLAZA,</t>
  </si>
  <si>
    <t>3432a</t>
  </si>
  <si>
    <t>RCD</t>
  </si>
  <si>
    <t>3436a</t>
  </si>
  <si>
    <t>101/63-65 Moo 3, Suetrong group,</t>
  </si>
  <si>
    <t>3239a</t>
  </si>
  <si>
    <t>LA ADA DE ACUNA, S DE RL DE CV</t>
  </si>
  <si>
    <t>CARRETERA PRESA DE LA AMISTAD KM 4.5</t>
  </si>
  <si>
    <t>CD. ACUNA, COAHUILA</t>
  </si>
  <si>
    <t>3241a</t>
  </si>
  <si>
    <t>Wacoal Dominicana Corp.</t>
  </si>
  <si>
    <t>Zona Franca Industrial</t>
  </si>
  <si>
    <t>6001a</t>
  </si>
  <si>
    <t>EAST CONCEPT FASHION LTD</t>
  </si>
  <si>
    <t>UNIT 1-5, 4/F, WELL TECH CENTER</t>
  </si>
  <si>
    <t>6002a</t>
  </si>
  <si>
    <t>CHINA FENG FASHION (SHENZHEN)LTD</t>
  </si>
  <si>
    <t>6005a</t>
  </si>
  <si>
    <t>MMAA</t>
  </si>
  <si>
    <t>BOLGATANGA BONGO ROAD</t>
  </si>
  <si>
    <t>6015a</t>
  </si>
  <si>
    <t>Aanchal Apparels Pvt Ltd.</t>
  </si>
  <si>
    <t>4-a 3rd floor, Industry Manor</t>
  </si>
  <si>
    <t>6015b</t>
  </si>
  <si>
    <t>Friendship Manufacturing Co., Ltd.</t>
  </si>
  <si>
    <t>17/6A Phan Huy ich Street, Ward 14</t>
  </si>
  <si>
    <t>6046a</t>
  </si>
  <si>
    <t>Textile Gloria Ltd</t>
  </si>
  <si>
    <t>8 Hashomer street</t>
  </si>
  <si>
    <t>6050a</t>
  </si>
  <si>
    <t>Bsquare holdings LTD</t>
  </si>
  <si>
    <t>39 North moore street, store entrance</t>
  </si>
  <si>
    <t>6085a</t>
  </si>
  <si>
    <t>Joe's Jeans</t>
  </si>
  <si>
    <t>1580 Jesse St.</t>
  </si>
  <si>
    <t>6102a</t>
  </si>
  <si>
    <t>Gold Flower Ltd.</t>
  </si>
  <si>
    <t>8/FL, 66-72, Lei Muk Road,</t>
  </si>
  <si>
    <t>Kwai Chung, N.T. Hong Kong</t>
  </si>
  <si>
    <t>6185a</t>
  </si>
  <si>
    <t>WEI YI FACTORY</t>
  </si>
  <si>
    <t>No. 8, Gouwei Road, Yongan Road</t>
  </si>
  <si>
    <t>Chaozhou, Guangdong</t>
  </si>
  <si>
    <t>6215a</t>
  </si>
  <si>
    <t>Frankies</t>
  </si>
  <si>
    <t>3349 La Cienega Place</t>
  </si>
  <si>
    <t>6256a</t>
  </si>
  <si>
    <t>F I H Co. Limited</t>
  </si>
  <si>
    <t xml:space="preserve">A5 17F Goodwill Ind. Bldg. </t>
  </si>
  <si>
    <t>6280a</t>
  </si>
  <si>
    <t>CAMPO LONGO INDUSTRIA E COMERCIO VESTUARIO LDA.,</t>
  </si>
  <si>
    <t>TRAVESSA DA ALEGRIA 77,</t>
  </si>
  <si>
    <t>6290a</t>
  </si>
  <si>
    <t>Greenhill Fashion Knitters</t>
  </si>
  <si>
    <t>6290b</t>
  </si>
  <si>
    <t>Hellessy C/O Magic Team &amp; Company Ltd.</t>
  </si>
  <si>
    <t>Room D, 4th Fl., Wing Cheung Industrial Bldg.</t>
  </si>
  <si>
    <t>6290c</t>
  </si>
  <si>
    <t>Hellessy c/o Shantou Huanlong Fashion Limited</t>
  </si>
  <si>
    <t>3-4/Floor, No. 8, West 1 Street, Longxin Indstrial Zone</t>
  </si>
  <si>
    <t>6291a</t>
  </si>
  <si>
    <t>Helmut Lang</t>
  </si>
  <si>
    <t>2 Gansevoort St. 4FL</t>
  </si>
  <si>
    <t>6292a</t>
  </si>
  <si>
    <t>Global Sourcenet Ltd</t>
  </si>
  <si>
    <t>Minh Khai, Nhu Quynh, Van Lam,</t>
  </si>
  <si>
    <t>6360a</t>
  </si>
  <si>
    <t>JANE WANG</t>
  </si>
  <si>
    <t>248-25 Northan Blvd, 1J-363</t>
  </si>
  <si>
    <t>Douglaston, NY 11362</t>
  </si>
  <si>
    <t>6365a</t>
  </si>
  <si>
    <t>CHAOZHOU YADA EMBROIDERY GARMENT INDUSTRIAL CO.,LTD.</t>
  </si>
  <si>
    <t>North 3rd Road, North Industrial Zone, ChaoZhou Avenue</t>
  </si>
  <si>
    <t>6401a</t>
  </si>
  <si>
    <t>KATIE MAY WAREHOUSE</t>
  </si>
  <si>
    <t>6425a</t>
  </si>
  <si>
    <t>Polytime</t>
  </si>
  <si>
    <t>704 S Spring St #301</t>
  </si>
  <si>
    <t>6445a</t>
  </si>
  <si>
    <t>Wenzhou Qihe import &amp; export Co., Ltd</t>
  </si>
  <si>
    <t xml:space="preserve">RM 2404, No.25 building, Gongchen bund, </t>
  </si>
  <si>
    <t>6470a</t>
  </si>
  <si>
    <t>CIAO LUCIA</t>
  </si>
  <si>
    <t>6481a</t>
  </si>
  <si>
    <t>SIA Apparel</t>
  </si>
  <si>
    <t>6481b</t>
  </si>
  <si>
    <t>SREEPRIYA EXPORTS PVT LTD</t>
  </si>
  <si>
    <t>31 TOPSIA ROAD SOUTH</t>
  </si>
  <si>
    <t>India</t>
  </si>
  <si>
    <t>6481c</t>
  </si>
  <si>
    <t>Ming Leurn Co., Ltd.</t>
  </si>
  <si>
    <t>ShinWen Industry Zone,Daojiao Town</t>
  </si>
  <si>
    <t>Dongguan City</t>
  </si>
  <si>
    <t>6489a</t>
  </si>
  <si>
    <t>Golden Stitching C/O Minnow Swim</t>
  </si>
  <si>
    <t>3348 W Harvard St</t>
  </si>
  <si>
    <t>6503a</t>
  </si>
  <si>
    <t>Shengzhou Fred Fashion Co., Ltd</t>
  </si>
  <si>
    <t>No.109 Jia Jia Road, Shengzhou</t>
  </si>
  <si>
    <t>6561a</t>
  </si>
  <si>
    <t>RAJ MFG.LLC (RM WHSE)</t>
  </si>
  <si>
    <t>6610a</t>
  </si>
  <si>
    <t>East Concept Fashion LTD.</t>
  </si>
  <si>
    <t>Unit 1-5, 4/F, Well Tech Centre</t>
  </si>
  <si>
    <t>6631a</t>
  </si>
  <si>
    <t>CQY</t>
  </si>
  <si>
    <t>410 N Paulina Ave.</t>
  </si>
  <si>
    <t>6652a</t>
  </si>
  <si>
    <t>CHINAMINE TRADING LIMITED</t>
  </si>
  <si>
    <t>Room 2805, 28/F</t>
  </si>
  <si>
    <t>6666a</t>
  </si>
  <si>
    <t>CAPITAL CUTTING</t>
  </si>
  <si>
    <t>318 WEST 39TH STREET 3RD FLOOR</t>
  </si>
  <si>
    <t>6705a</t>
  </si>
  <si>
    <t>CREATIONS BY SHANAGAR</t>
  </si>
  <si>
    <t>2-B, Grotto Villa</t>
  </si>
  <si>
    <t>6727a</t>
  </si>
  <si>
    <t>Vera Wang Bridal House, LLC</t>
  </si>
  <si>
    <t>11260 FORTUNE CIRCLE suite J4</t>
  </si>
  <si>
    <r>
      <t>5-7 FLOOR,BLGD B3</t>
    </r>
    <r>
      <rPr>
        <sz val="11"/>
        <rFont val="ＭＳ Ｐ明朝"/>
        <family val="1"/>
        <charset val="128"/>
      </rPr>
      <t>，</t>
    </r>
    <r>
      <rPr>
        <sz val="11"/>
        <rFont val="Times New Roman"/>
        <family val="1"/>
      </rPr>
      <t>SUNNY IND.PARK,</t>
    </r>
  </si>
  <si>
    <t>NOS. 88 CONTAINER PORT ROAD, KWAI CHUNG, N.T. Hong Kong</t>
    <phoneticPr fontId="3"/>
  </si>
  <si>
    <t>Z.I. DE BRIANGAUD</t>
    <phoneticPr fontId="3"/>
  </si>
  <si>
    <t>Rue JEAN-MONNET, CS 40275, REDON CEDEX</t>
    <phoneticPr fontId="3"/>
  </si>
  <si>
    <t>TAMBON SAIMA, AUMPHUR MUANG, NONTHABURI,</t>
    <phoneticPr fontId="3"/>
  </si>
  <si>
    <t>MEXICO</t>
    <phoneticPr fontId="3"/>
  </si>
  <si>
    <t xml:space="preserve">22 Autopista Las Americas, Santo Dominigo, </t>
    <phoneticPr fontId="3"/>
  </si>
  <si>
    <t>DOMINICA REPUBLIC</t>
    <phoneticPr fontId="3"/>
  </si>
  <si>
    <t>9 PAT TAT STREET,KOWLOON, HONG KONG</t>
    <phoneticPr fontId="3"/>
  </si>
  <si>
    <t xml:space="preserve">NO.2-3,HEZHOU SOUTHERN IND .ZONE,SHENZHEN, </t>
    <phoneticPr fontId="3"/>
  </si>
  <si>
    <t>GHANA</t>
    <phoneticPr fontId="3"/>
  </si>
  <si>
    <t>AKUNTAASI STREET HSE NO 15, BOLGATANGA,</t>
    <phoneticPr fontId="3"/>
  </si>
  <si>
    <t>INDIA</t>
    <phoneticPr fontId="3"/>
  </si>
  <si>
    <t>Appasaheb Marathe Marg, Prabhadevi, Mumbai</t>
    <phoneticPr fontId="3"/>
  </si>
  <si>
    <t>Go Vap District, HCMC,</t>
    <phoneticPr fontId="3"/>
  </si>
  <si>
    <t>Tel Aviv,</t>
    <phoneticPr fontId="3"/>
  </si>
  <si>
    <t>ISRAEL</t>
    <phoneticPr fontId="3"/>
  </si>
  <si>
    <t>U.K.</t>
    <phoneticPr fontId="3"/>
  </si>
  <si>
    <t>36-44 Pak Tin Par St., Tsuen Wan, Hong Kong</t>
    <phoneticPr fontId="3"/>
  </si>
  <si>
    <t xml:space="preserve">MILHEIROS, </t>
    <phoneticPr fontId="3"/>
  </si>
  <si>
    <t xml:space="preserve">PORTUGAL </t>
  </si>
  <si>
    <t xml:space="preserve">Flat 1, 15/F, Room A, Wing Shing Industrial Building, </t>
    <phoneticPr fontId="3"/>
  </si>
  <si>
    <t>26 Ng Fong Street, San Po Kong Kowloon, Hong Kong</t>
    <phoneticPr fontId="3"/>
  </si>
  <si>
    <t>109 How Ming St. Kwun Tong, Kowloon, Hong Kong</t>
    <phoneticPr fontId="3"/>
  </si>
  <si>
    <t>Longhu District, Shantou</t>
    <phoneticPr fontId="3"/>
  </si>
  <si>
    <t>Hung Yen,</t>
    <phoneticPr fontId="3"/>
  </si>
  <si>
    <t>CHAOZHOU CITY,GUANGDONG,</t>
    <phoneticPr fontId="3"/>
  </si>
  <si>
    <t>Chongxian street, Linping District, Hangzhou,</t>
    <phoneticPr fontId="3"/>
  </si>
  <si>
    <t xml:space="preserve">3rd Floor, 306 West 37th Street, </t>
    <phoneticPr fontId="3"/>
  </si>
  <si>
    <t xml:space="preserve">2301 EAST 7TH STREET, SUITE A315 </t>
    <phoneticPr fontId="3"/>
  </si>
  <si>
    <t>PICNIC GARDEN KOLKATA,WEST BENGAL,</t>
    <phoneticPr fontId="3"/>
  </si>
  <si>
    <t>Santa Ana, CA</t>
    <phoneticPr fontId="3"/>
  </si>
  <si>
    <t>Zhejiang</t>
    <phoneticPr fontId="3"/>
  </si>
  <si>
    <t xml:space="preserve">RAW MATERIAL WHSE, 2692 DOW AVENUE, </t>
    <phoneticPr fontId="3"/>
  </si>
  <si>
    <t>9 Pat Tat Street, San Po Kong, Kowloon, Hong Kong</t>
    <phoneticPr fontId="3"/>
  </si>
  <si>
    <t>No. 1 Hung To Road, Kwun Tong, Kowloon, Hong Kong</t>
    <phoneticPr fontId="3"/>
  </si>
  <si>
    <t>2nd hasnabad lane, MUMBAI, 27 Maharashtra</t>
    <phoneticPr fontId="3"/>
  </si>
  <si>
    <t>WELLINGTON, FL</t>
    <phoneticPr fontId="3"/>
  </si>
  <si>
    <t>Redondo Beach, CA</t>
    <phoneticPr fontId="3"/>
  </si>
  <si>
    <t>システムコード</t>
    <phoneticPr fontId="3"/>
  </si>
  <si>
    <t>名称</t>
    <rPh sb="0" eb="2">
      <t>メイショウ</t>
    </rPh>
    <phoneticPr fontId="3"/>
  </si>
  <si>
    <t>INVOICE No.</t>
    <phoneticPr fontId="3"/>
  </si>
  <si>
    <t>CONSIGNEE</t>
    <phoneticPr fontId="3"/>
  </si>
  <si>
    <t>SOLD TO</t>
    <phoneticPr fontId="3"/>
  </si>
  <si>
    <r>
      <rPr>
        <sz val="11"/>
        <rFont val="Yu Gothic"/>
        <family val="3"/>
        <charset val="128"/>
      </rPr>
      <t xml:space="preserve">(SELECT) - </t>
    </r>
    <r>
      <rPr>
        <sz val="11"/>
        <rFont val="ｔ"/>
        <family val="3"/>
        <charset val="128"/>
      </rPr>
      <t>顧客名</t>
    </r>
    <rPh sb="11" eb="14">
      <t>コキャクメイ</t>
    </rPh>
    <phoneticPr fontId="3"/>
  </si>
  <si>
    <t>G/Weight:</t>
    <phoneticPr fontId="3"/>
  </si>
  <si>
    <t>Note:</t>
    <phoneticPr fontId="3"/>
  </si>
  <si>
    <t>Tel: 852 2761 0390</t>
  </si>
  <si>
    <t>Tel: 646 588 8824</t>
  </si>
  <si>
    <t>Tel: 323 963 4351</t>
  </si>
  <si>
    <t>Tel: 305 609 3841</t>
  </si>
  <si>
    <t>Tel: (212) 971-0170</t>
  </si>
  <si>
    <t>Tel: 626 272 5240</t>
  </si>
  <si>
    <t>Tel: 852 2365 7052</t>
  </si>
  <si>
    <t>Tel: 213.228.1930</t>
  </si>
  <si>
    <t>Tel: 949.966.0108</t>
  </si>
  <si>
    <t>Tel: 773 365 1751</t>
  </si>
  <si>
    <t>Tel: 212.579.2095</t>
  </si>
  <si>
    <t>Tel: 323.733.7700</t>
  </si>
  <si>
    <t>Tel: 86 519 83870739</t>
  </si>
  <si>
    <t>Tel: 86 57186259028</t>
  </si>
  <si>
    <t>Tel: 29505305</t>
  </si>
  <si>
    <t>Tel: 323 481 1928</t>
  </si>
  <si>
    <t>Tel: 212 629 2215</t>
  </si>
  <si>
    <t>Tel: 503 724 4959</t>
  </si>
  <si>
    <t>Tel: 213 624 5200</t>
  </si>
  <si>
    <t>Tel: 917-868-1911</t>
  </si>
  <si>
    <t>Tel: 323-685-2029</t>
  </si>
  <si>
    <t>Tel: 323-888-8838</t>
  </si>
  <si>
    <t>Tel: (213) 627-7200</t>
  </si>
  <si>
    <t>Tel: 415 250 8391</t>
  </si>
  <si>
    <t>Tel: 323.225.9525</t>
  </si>
  <si>
    <t>Tel: 212-463-8135</t>
  </si>
  <si>
    <t>Tel: 206-552-4715?</t>
  </si>
  <si>
    <t>Tel:+1 646 809 0100 x.106</t>
  </si>
  <si>
    <t>Tel : 213 380 8071</t>
  </si>
  <si>
    <t>Tel: 511 613 9999</t>
  </si>
  <si>
    <t>Tel: 917 783 6577</t>
  </si>
  <si>
    <t>Tel: 852 2786 7667/529</t>
  </si>
  <si>
    <t>Tel: 323.493.9357</t>
  </si>
  <si>
    <t>Tel: 617.423.3134</t>
  </si>
  <si>
    <t>Tel: 755 2664 1991</t>
  </si>
  <si>
    <t>Tel: +90 (212) 294 09 09 - 271</t>
  </si>
  <si>
    <t>Tel: +44 20 7229 7957</t>
  </si>
  <si>
    <t>Tel: 213-309-4842</t>
  </si>
  <si>
    <t>Tel: 212 300 0899</t>
  </si>
  <si>
    <t>Tel: 646 765 5400</t>
  </si>
  <si>
    <t>Tel:212 683 2323</t>
  </si>
  <si>
    <t>Tel: 917-921-0697</t>
  </si>
  <si>
    <t>Tel: (852) 2392 7323</t>
  </si>
  <si>
    <t xml:space="preserve">Tel: 0519-82698844 </t>
  </si>
  <si>
    <t>Tel: 845-783-2069</t>
  </si>
  <si>
    <t>Tel: 646 882 2963</t>
  </si>
  <si>
    <t>Tel: 86 21 6728 8264</t>
  </si>
  <si>
    <t>Tel: 212.645.0823</t>
  </si>
  <si>
    <t>Tel: 212 206 3999</t>
  </si>
  <si>
    <t>Tel: 022-40278822</t>
  </si>
  <si>
    <t>Tel: 213-670-0214</t>
  </si>
  <si>
    <t>Tel: 09-5251-2719</t>
  </si>
  <si>
    <t>Tel: 0086-13955160073</t>
  </si>
  <si>
    <t>Tel: 33 1422 11203</t>
  </si>
  <si>
    <t>Tel: 33-1-4508-1415</t>
  </si>
  <si>
    <t>Tel: 01-77-38-81-95</t>
  </si>
  <si>
    <t>Tel: 33(0)1-40-62-76-20</t>
  </si>
  <si>
    <t>Tel: 0035 932 218 326</t>
  </si>
  <si>
    <t>Tel: 212 944 5757</t>
  </si>
  <si>
    <t>Tel: 917-592-2967</t>
  </si>
  <si>
    <t>Tel: 44 07784 682678</t>
  </si>
  <si>
    <t>Tel: (86) 755 29980940-818</t>
  </si>
  <si>
    <t>Tel: 385-856-6836</t>
  </si>
  <si>
    <t>Tel: 33 (0) 1 58 16 25 00</t>
  </si>
  <si>
    <t>Tel: 33 6 86 61 35 36</t>
  </si>
  <si>
    <t>Tel: 33 1 64 78 56 50</t>
  </si>
  <si>
    <t>Tel: 331 40 07 49 76</t>
  </si>
  <si>
    <t>Tel: Tel:  (+84) 36201420</t>
  </si>
  <si>
    <t>Tel: 06 21 56 12 65</t>
  </si>
  <si>
    <t>Tel: 852 29977828</t>
  </si>
  <si>
    <t>Tel: Tel: 626-922-7122</t>
  </si>
  <si>
    <t>Tel: 33-1-5590-7070</t>
  </si>
  <si>
    <t>Tel: Tel: 310-809-4025</t>
  </si>
  <si>
    <t>Tel: 84 221 3986 500</t>
  </si>
  <si>
    <t>Tel: 852 23107655</t>
  </si>
  <si>
    <t>Tel: Tel: 26127117558</t>
  </si>
  <si>
    <t>Tel: 86.754.836.9416</t>
  </si>
  <si>
    <t>Tel: +84 28 62873760</t>
  </si>
  <si>
    <t>Tel: (+84) 36201420</t>
  </si>
  <si>
    <t>Tel: 714-838-3110</t>
  </si>
  <si>
    <t>Tel: Tel: 646 318 8800</t>
  </si>
  <si>
    <t>Tel: Tel: 0769-22609802</t>
  </si>
  <si>
    <t>Tel: 818.522.4287</t>
  </si>
  <si>
    <t>Tel: 86 13735869749</t>
  </si>
  <si>
    <t>Tel: 917.689.8983</t>
  </si>
  <si>
    <t>Tel: 852 23545077</t>
  </si>
  <si>
    <t>Tel: 02-41-75-97-80</t>
  </si>
  <si>
    <t>Tel: 0086-571-87117581</t>
  </si>
  <si>
    <t>Tel: 01 55 90 71 20</t>
  </si>
  <si>
    <t>Tel: 33-9-7250-4076</t>
  </si>
  <si>
    <t>Tel: 33-145482828</t>
  </si>
  <si>
    <t>Tel: 33 (0) 1 42 96 77 24</t>
  </si>
  <si>
    <t>Tel: 86-21-61367255</t>
  </si>
  <si>
    <t>Tel: (+66)29261820</t>
  </si>
  <si>
    <t>Tel: 213 380 8071</t>
  </si>
  <si>
    <t>Tel: 233546700007, 0242855460</t>
  </si>
  <si>
    <t>Tel: 33-185096442</t>
  </si>
  <si>
    <t>Tel: 852-24226622 Ext.3331</t>
  </si>
  <si>
    <t>Tel: (0)1 83 97 72 51</t>
  </si>
  <si>
    <t>Tel: 0521 994068</t>
  </si>
  <si>
    <t>Tel: 37 256501126</t>
  </si>
  <si>
    <t>Tel: (714) 328-0282</t>
  </si>
  <si>
    <t>Tel: 33 (0)327 822 100</t>
  </si>
  <si>
    <t>Tel: 238 383 71 71</t>
  </si>
  <si>
    <t>Tel: 02.41.55.62.29</t>
  </si>
  <si>
    <t>Tel: 02 99 71 57 83</t>
  </si>
  <si>
    <t>Tel: 33(0)1-45 48 81 24</t>
  </si>
  <si>
    <t>Tel: 06 598868538</t>
  </si>
  <si>
    <t>Tel: 212-279-9310</t>
  </si>
  <si>
    <t xml:space="preserve">Tel: 216 71 651 100 </t>
  </si>
  <si>
    <t>Tel: 33 144779977</t>
  </si>
  <si>
    <t>Tel: 01 40 26 00 01</t>
  </si>
  <si>
    <t>Tel: 1 44 87 90 90</t>
  </si>
  <si>
    <t>Tel: 33-186640269</t>
  </si>
  <si>
    <t>Jonathan Simkhai</t>
  </si>
  <si>
    <t>653 N La Cienega Blvd</t>
    <phoneticPr fontId="3"/>
  </si>
  <si>
    <t>West Hollywood, CA</t>
    <phoneticPr fontId="3"/>
  </si>
  <si>
    <t>Tel: 646-590-0528</t>
    <phoneticPr fontId="3"/>
  </si>
  <si>
    <t>Hantex Garments Limited C/O PROTEX INDUSTRIAL (HK) LIMITED</t>
    <phoneticPr fontId="3"/>
  </si>
  <si>
    <t xml:space="preserve">FLAT A, 5/F, ON TAT INDUSTRIAL BUILDING, </t>
    <phoneticPr fontId="3"/>
  </si>
  <si>
    <t>3-5 PAT TAT STREET, SAN PO KONG, KOWLOON, HONG KONG</t>
    <phoneticPr fontId="3"/>
  </si>
  <si>
    <t>Tel: (+852) 35211421</t>
    <phoneticPr fontId="3"/>
  </si>
  <si>
    <t>Garry</t>
    <phoneticPr fontId="3"/>
  </si>
  <si>
    <t>File Name</t>
    <phoneticPr fontId="3"/>
  </si>
  <si>
    <t>Freight Charge</t>
    <phoneticPr fontId="3"/>
  </si>
  <si>
    <t>Invoice</t>
    <phoneticPr fontId="3"/>
  </si>
  <si>
    <t xml:space="preserve">      LA</t>
    <phoneticPr fontId="3"/>
  </si>
  <si>
    <t xml:space="preserve">      NY</t>
    <phoneticPr fontId="3"/>
  </si>
  <si>
    <t xml:space="preserve">     TOKYO</t>
    <phoneticPr fontId="3"/>
  </si>
  <si>
    <t>SUN FASHION CORP.</t>
    <phoneticPr fontId="50"/>
  </si>
  <si>
    <t>Made In</t>
    <phoneticPr fontId="3"/>
  </si>
  <si>
    <t>←標準は今日の日付</t>
    <rPh sb="1" eb="3">
      <t>ヒョウジュン</t>
    </rPh>
    <rPh sb="4" eb="6">
      <t>キョウ</t>
    </rPh>
    <rPh sb="7" eb="9">
      <t>ヒヅケ</t>
    </rPh>
    <phoneticPr fontId="3"/>
  </si>
  <si>
    <t>←クーリエ番号などはここに</t>
    <rPh sb="5" eb="7">
      <t>バンゴウ</t>
    </rPh>
    <phoneticPr fontId="3"/>
  </si>
  <si>
    <t>検索結果</t>
    <rPh sb="0" eb="2">
      <t>ケンサク</t>
    </rPh>
    <rPh sb="2" eb="4">
      <t>ケッカ</t>
    </rPh>
    <phoneticPr fontId="3"/>
  </si>
  <si>
    <t>SUN FASHION AMERICA, INC.</t>
  </si>
  <si>
    <t>SUN FASHION AMERICA, INC.</t>
    <phoneticPr fontId="3"/>
  </si>
  <si>
    <t>265 West 37th Street 7th Floor</t>
    <phoneticPr fontId="3"/>
  </si>
  <si>
    <t>Tel: 1-845-633-2131</t>
    <phoneticPr fontId="3"/>
  </si>
  <si>
    <t>Kareen</t>
    <phoneticPr fontId="3"/>
  </si>
  <si>
    <t>固定</t>
    <rPh sb="0" eb="2">
      <t>コテイ</t>
    </rPh>
    <phoneticPr fontId="3"/>
  </si>
  <si>
    <t>MUFG BANK, LTD. OSAKA-NISHI BRANCH</t>
    <phoneticPr fontId="3"/>
  </si>
  <si>
    <t>1-7-17, AWAZA, NISHI-KU, OSAKA, JAPAN</t>
    <phoneticPr fontId="3"/>
  </si>
  <si>
    <t>SUN FASHION CORP.</t>
    <phoneticPr fontId="3"/>
  </si>
  <si>
    <t>BOTKJPJT</t>
    <phoneticPr fontId="3"/>
  </si>
  <si>
    <t>545-9019494</t>
    <phoneticPr fontId="3"/>
  </si>
  <si>
    <t>N/A</t>
    <phoneticPr fontId="3"/>
  </si>
  <si>
    <t>By T/T</t>
    <phoneticPr fontId="3"/>
  </si>
  <si>
    <t>EXW Japan</t>
    <phoneticPr fontId="3"/>
  </si>
  <si>
    <t>部署</t>
    <rPh sb="0" eb="2">
      <t>ブショ</t>
    </rPh>
    <phoneticPr fontId="3"/>
  </si>
  <si>
    <t>Fax: 06-6452-1641</t>
    <phoneticPr fontId="3"/>
  </si>
  <si>
    <t>担当者</t>
    <rPh sb="0" eb="3">
      <t>タントウシャ</t>
    </rPh>
    <phoneticPr fontId="3"/>
  </si>
  <si>
    <t>注文番号</t>
    <rPh sb="0" eb="4">
      <t>チュウモンバンゴウ</t>
    </rPh>
    <phoneticPr fontId="3"/>
  </si>
  <si>
    <t>AM</t>
    <phoneticPr fontId="3"/>
  </si>
  <si>
    <t>USER PO</t>
    <phoneticPr fontId="3"/>
  </si>
  <si>
    <t>491-0131</t>
  </si>
  <si>
    <t>0586-78-4640</t>
  </si>
  <si>
    <t>0586-51-0125</t>
  </si>
  <si>
    <t>541-0053</t>
  </si>
  <si>
    <t>06-6262-4431</t>
  </si>
  <si>
    <t>06-6262-4434</t>
  </si>
  <si>
    <t>542-0062</t>
  </si>
  <si>
    <t>06-6761-5772</t>
  </si>
  <si>
    <t>06-6761-5734</t>
  </si>
  <si>
    <t>252-0155</t>
  </si>
  <si>
    <t xml:space="preserve"> </t>
  </si>
  <si>
    <t>042-785-0136</t>
  </si>
  <si>
    <t>042-785-1279</t>
  </si>
  <si>
    <t>522-0027</t>
  </si>
  <si>
    <t>0749-27-6663</t>
  </si>
  <si>
    <t>0749-23-0711</t>
  </si>
  <si>
    <t>601-8162</t>
  </si>
  <si>
    <t>075-661-9227</t>
  </si>
  <si>
    <t>075-681-8304</t>
  </si>
  <si>
    <t>711-0904</t>
  </si>
  <si>
    <t>086-477-5111</t>
  </si>
  <si>
    <t>086-477-7707</t>
  </si>
  <si>
    <t>086-477-7531</t>
  </si>
  <si>
    <t>086-477-4156</t>
  </si>
  <si>
    <t>379-2312</t>
  </si>
  <si>
    <t>0277-77-1050</t>
  </si>
  <si>
    <t>0277-77-1055</t>
  </si>
  <si>
    <t>MURRAY</t>
  </si>
  <si>
    <t>619-0221</t>
  </si>
  <si>
    <t>0774-72-7834</t>
  </si>
  <si>
    <t>0774-73-3267</t>
  </si>
  <si>
    <t>915-0251</t>
  </si>
  <si>
    <t>0778-42-1875</t>
  </si>
  <si>
    <t>0778-42-1515</t>
  </si>
  <si>
    <t>915-0234</t>
  </si>
  <si>
    <t>0778-43-0810</t>
  </si>
  <si>
    <t>0778-43-0807</t>
  </si>
  <si>
    <t>919-2224</t>
  </si>
  <si>
    <t>0770-72-3100</t>
  </si>
  <si>
    <t>0770-72-3310</t>
  </si>
  <si>
    <t>541-0054</t>
  </si>
  <si>
    <t>06-6253-7311</t>
  </si>
  <si>
    <t>06-6253-7312</t>
  </si>
  <si>
    <t>915-0203</t>
  </si>
  <si>
    <t>0778-43-1233</t>
  </si>
  <si>
    <t>0778-43-1244</t>
  </si>
  <si>
    <t>603-8436</t>
  </si>
  <si>
    <t>075-493-5555</t>
  </si>
  <si>
    <t>075-493-0831</t>
  </si>
  <si>
    <t>920-0274</t>
  </si>
  <si>
    <t>076-286-3330</t>
  </si>
  <si>
    <t>076-286-2816</t>
  </si>
  <si>
    <t>564-0001</t>
  </si>
  <si>
    <t>06-6388-2115</t>
  </si>
  <si>
    <t>06-6384-2193</t>
  </si>
  <si>
    <t>532-0011</t>
  </si>
  <si>
    <t>06-6304-1147</t>
  </si>
  <si>
    <t>06-6304-1179</t>
  </si>
  <si>
    <t>929-1215</t>
  </si>
  <si>
    <t>076-281-1256</t>
  </si>
  <si>
    <t>076-281-2343</t>
  </si>
  <si>
    <t>591-8014</t>
  </si>
  <si>
    <t>072-259-8011</t>
  </si>
  <si>
    <t>072-257-2089</t>
  </si>
  <si>
    <t>910-0845</t>
  </si>
  <si>
    <t>0776-54-1119</t>
  </si>
  <si>
    <t>0776-54-1755</t>
  </si>
  <si>
    <t>507-0038</t>
  </si>
  <si>
    <t>0572-22-3345</t>
  </si>
  <si>
    <t>0572-23-8174</t>
  </si>
  <si>
    <t>543-0002</t>
  </si>
  <si>
    <t>06-6776-8920</t>
  </si>
  <si>
    <t>06-6772-1556</t>
  </si>
  <si>
    <t>076-285-2010</t>
  </si>
  <si>
    <t>076-285-2071</t>
  </si>
  <si>
    <t>929-1171</t>
  </si>
  <si>
    <t>076-285-2070</t>
  </si>
  <si>
    <t>915-0252</t>
  </si>
  <si>
    <t>0778-43-0323</t>
  </si>
  <si>
    <t>0778-43-0418</t>
  </si>
  <si>
    <t>612-8437</t>
  </si>
  <si>
    <t>075-643-5101</t>
  </si>
  <si>
    <t>075-642-3810</t>
  </si>
  <si>
    <t>03-5830-3913</t>
  </si>
  <si>
    <t>03-5830-3914</t>
  </si>
  <si>
    <t>524-0013</t>
  </si>
  <si>
    <t>077-514-2600</t>
  </si>
  <si>
    <t>077-514-2610</t>
  </si>
  <si>
    <t>529-1414</t>
  </si>
  <si>
    <t>0748-48-2289</t>
  </si>
  <si>
    <t>0748-48-5801</t>
  </si>
  <si>
    <t>076-281-0444</t>
  </si>
  <si>
    <t>076-282-5572</t>
  </si>
  <si>
    <t>601-8213</t>
  </si>
  <si>
    <t>075-921-1644</t>
  </si>
  <si>
    <t>075-935-2460</t>
  </si>
  <si>
    <t>602-0958</t>
  </si>
  <si>
    <t>075-451-0558</t>
  </si>
  <si>
    <t>075-414-0309</t>
  </si>
  <si>
    <t>417-0821</t>
  </si>
  <si>
    <t>0545-38-2311</t>
  </si>
  <si>
    <t>0545-38-0100</t>
  </si>
  <si>
    <t>665-0042</t>
  </si>
  <si>
    <t>0797-71-2121</t>
  </si>
  <si>
    <t>0797-71-2125</t>
  </si>
  <si>
    <t>06-6266-0623</t>
  </si>
  <si>
    <t>06-6266-0690</t>
  </si>
  <si>
    <t>916-0124</t>
  </si>
  <si>
    <t>0778-34-0373</t>
  </si>
  <si>
    <t>0778-34-2549</t>
  </si>
  <si>
    <t>915-0052</t>
  </si>
  <si>
    <t>0778-22-7142</t>
  </si>
  <si>
    <t>0778-23-5363</t>
  </si>
  <si>
    <t>918-8024</t>
  </si>
  <si>
    <t>0776-36-1333</t>
  </si>
  <si>
    <t>0776-36-1330</t>
  </si>
  <si>
    <t>929-1173</t>
  </si>
  <si>
    <t>076-285-3311</t>
  </si>
  <si>
    <t>076-285-3310</t>
  </si>
  <si>
    <t>925-0001</t>
  </si>
  <si>
    <t>0767-27-1011</t>
  </si>
  <si>
    <t>0767-27-1179</t>
  </si>
  <si>
    <t>919-0614</t>
  </si>
  <si>
    <t>0776-73-7111</t>
  </si>
  <si>
    <t>0776-73-7128</t>
  </si>
  <si>
    <t>581-0027</t>
  </si>
  <si>
    <t>072-922-0407</t>
  </si>
  <si>
    <t>072-992-7281</t>
  </si>
  <si>
    <t>541-0046</t>
  </si>
  <si>
    <t>06-6231-1521</t>
  </si>
  <si>
    <t>06-6231-3692</t>
  </si>
  <si>
    <t>916-0016</t>
  </si>
  <si>
    <t>0778-52-3800</t>
  </si>
  <si>
    <t>0778-52-7962</t>
  </si>
  <si>
    <t>553-0003</t>
  </si>
  <si>
    <t>06-6451-2735</t>
  </si>
  <si>
    <t>06-6458-1292</t>
  </si>
  <si>
    <t>915-0844</t>
  </si>
  <si>
    <t>0778-23-6348</t>
  </si>
  <si>
    <t>0778-23-6322</t>
  </si>
  <si>
    <t>602-8058</t>
  </si>
  <si>
    <t>075-441-8171</t>
  </si>
  <si>
    <t>075-441-0359</t>
  </si>
  <si>
    <t>326-0141</t>
  </si>
  <si>
    <t>0284-63-1405</t>
  </si>
  <si>
    <t>0284-62-6880</t>
  </si>
  <si>
    <t>567-0895</t>
  </si>
  <si>
    <t>0726-32-5489</t>
  </si>
  <si>
    <t>0726-32-5460</t>
  </si>
  <si>
    <t>06-4964-6810</t>
  </si>
  <si>
    <t>06-4964-1198</t>
  </si>
  <si>
    <t>616-8045</t>
  </si>
  <si>
    <t>075-464-0555</t>
  </si>
  <si>
    <t>075-464-0051</t>
  </si>
  <si>
    <t>616-8015</t>
  </si>
  <si>
    <t>075-462-5053</t>
  </si>
  <si>
    <t>075-461-6608</t>
  </si>
  <si>
    <t>915-0024</t>
  </si>
  <si>
    <t>0778-27-1576</t>
  </si>
  <si>
    <t>563-0023</t>
  </si>
  <si>
    <t>072-761-2223</t>
  </si>
  <si>
    <t>072-761-2218</t>
  </si>
  <si>
    <t>616-8182</t>
  </si>
  <si>
    <t>075-882-4103</t>
  </si>
  <si>
    <t>075-861-5018</t>
  </si>
  <si>
    <t>526-0103</t>
  </si>
  <si>
    <t>0749-72-2481</t>
  </si>
  <si>
    <t>0749-72-3220</t>
  </si>
  <si>
    <t>929-1127</t>
  </si>
  <si>
    <t>076-283-3535</t>
  </si>
  <si>
    <t>076-283-5117</t>
  </si>
  <si>
    <t>923-0824</t>
  </si>
  <si>
    <t>0761-47-2020</t>
  </si>
  <si>
    <t>0761-47-3479</t>
  </si>
  <si>
    <t>621-0814</t>
  </si>
  <si>
    <t>0728-70-8866</t>
  </si>
  <si>
    <t>0728-72-3331</t>
  </si>
  <si>
    <t>611-0043</t>
  </si>
  <si>
    <t>0774-24-8629</t>
  </si>
  <si>
    <t>0774-24-862.9</t>
  </si>
  <si>
    <t>711-0903</t>
  </si>
  <si>
    <t>086-477-7700</t>
  </si>
  <si>
    <t>086-477-7789</t>
  </si>
  <si>
    <t>602-8443</t>
  </si>
  <si>
    <t>075-441-0366</t>
  </si>
  <si>
    <t>075-6448-8010</t>
  </si>
  <si>
    <t>541-0057</t>
  </si>
  <si>
    <t>06-6267</t>
  </si>
  <si>
    <t>500-8384</t>
  </si>
  <si>
    <t>0588-255-3755</t>
  </si>
  <si>
    <t>058-255-3756</t>
  </si>
  <si>
    <t>135-0007</t>
  </si>
  <si>
    <t>03-3635-3386</t>
  </si>
  <si>
    <t>03-3635-3385</t>
  </si>
  <si>
    <t>916-0073</t>
  </si>
  <si>
    <t>0778-62-1230</t>
  </si>
  <si>
    <t>0778-62-1281</t>
  </si>
  <si>
    <t>918-8018</t>
  </si>
  <si>
    <t>0776-36-7743</t>
  </si>
  <si>
    <t>0776-34-4151</t>
  </si>
  <si>
    <t>430-0943</t>
  </si>
  <si>
    <t>053-452-1177</t>
  </si>
  <si>
    <t>053-453-5598</t>
  </si>
  <si>
    <t>910-0854</t>
  </si>
  <si>
    <t>0776-24-3111</t>
  </si>
  <si>
    <t>0776-22-1422</t>
  </si>
  <si>
    <t>581-0055</t>
  </si>
  <si>
    <t>072-990-3577</t>
  </si>
  <si>
    <t>072-990-3588</t>
  </si>
  <si>
    <t>925-0005</t>
  </si>
  <si>
    <t>0767-22-4764</t>
  </si>
  <si>
    <t>0767-22-5939</t>
  </si>
  <si>
    <t>721-0000</t>
  </si>
  <si>
    <t>084-962-2137</t>
  </si>
  <si>
    <t>086-962-3345</t>
  </si>
  <si>
    <t>0284-62-2129</t>
  </si>
  <si>
    <t>0284-62-6469</t>
  </si>
  <si>
    <t>076-281-0632</t>
  </si>
  <si>
    <t>076-282-5856</t>
  </si>
  <si>
    <t>076-283-2131</t>
  </si>
  <si>
    <t>076-283-2130</t>
  </si>
  <si>
    <t>103-0013</t>
  </si>
  <si>
    <t>03-5652-0071</t>
  </si>
  <si>
    <t>03-3639-0711</t>
  </si>
  <si>
    <t>929-1121</t>
  </si>
  <si>
    <t>076-283-5111</t>
  </si>
  <si>
    <t>076-283-5112</t>
  </si>
  <si>
    <t>617-0814</t>
  </si>
  <si>
    <t>075-952-5415</t>
  </si>
  <si>
    <t>075-952-9591</t>
  </si>
  <si>
    <t>602-8465</t>
  </si>
  <si>
    <t>075-432-2131</t>
  </si>
  <si>
    <t>075-432-2138</t>
  </si>
  <si>
    <t>929-1172</t>
  </si>
  <si>
    <t>076-285-0285</t>
  </si>
  <si>
    <t>076-285-1648</t>
  </si>
  <si>
    <t>923-0983</t>
  </si>
  <si>
    <t>0761-43-0050</t>
  </si>
  <si>
    <t>0761-43-0061</t>
  </si>
  <si>
    <t>603-8376</t>
  </si>
  <si>
    <t>075-463-5370</t>
  </si>
  <si>
    <t>075-464-5353</t>
  </si>
  <si>
    <t>910-0235</t>
  </si>
  <si>
    <t>0776-66-0788</t>
  </si>
  <si>
    <t>0776-67-1589</t>
  </si>
  <si>
    <t>541-0059</t>
  </si>
  <si>
    <t>06-6252-6971</t>
  </si>
  <si>
    <t>06-6252-6972</t>
  </si>
  <si>
    <t>661-0033</t>
  </si>
  <si>
    <t>06-6438-7021</t>
  </si>
  <si>
    <t>06-6438-4641</t>
  </si>
  <si>
    <t>925-0123</t>
  </si>
  <si>
    <t>0767-36-1124</t>
  </si>
  <si>
    <t>0767-36-1358</t>
  </si>
  <si>
    <t>111-0051</t>
  </si>
  <si>
    <t>03-3862-3394</t>
  </si>
  <si>
    <t>03-3864-1419</t>
  </si>
  <si>
    <t>537-0021</t>
  </si>
  <si>
    <t>06-6974-0033</t>
  </si>
  <si>
    <t>06-6971-7789</t>
  </si>
  <si>
    <t>910-8586</t>
  </si>
  <si>
    <t>919-0603</t>
  </si>
  <si>
    <t>0776-73-0475</t>
  </si>
  <si>
    <t>0776-73-4137</t>
  </si>
  <si>
    <t>537-0025</t>
  </si>
  <si>
    <t>06-6981-4127</t>
  </si>
  <si>
    <t>06-6974-7842</t>
  </si>
  <si>
    <t>915-0253</t>
  </si>
  <si>
    <t>0778-43-1333</t>
  </si>
  <si>
    <t>0778-42-0841</t>
  </si>
  <si>
    <t>923-0865</t>
  </si>
  <si>
    <t>0761-23-0441</t>
  </si>
  <si>
    <t>0761-21-2376</t>
  </si>
  <si>
    <t>929-0327</t>
  </si>
  <si>
    <t>076-289-6996</t>
  </si>
  <si>
    <t>076-289-6971</t>
  </si>
  <si>
    <t>600-8171</t>
  </si>
  <si>
    <t>075-351-5079</t>
  </si>
  <si>
    <t>075-361-7038</t>
  </si>
  <si>
    <t>079-556-2389</t>
  </si>
  <si>
    <t>376-0002</t>
  </si>
  <si>
    <t>0277-44-5026</t>
  </si>
  <si>
    <t>0277-46-2019</t>
  </si>
  <si>
    <t>0284-63-1406</t>
  </si>
  <si>
    <t>0284-62-6886</t>
  </si>
  <si>
    <t>711-0931</t>
  </si>
  <si>
    <t>086-472-3106</t>
  </si>
  <si>
    <t>086-474-5008</t>
  </si>
  <si>
    <t>916-1115</t>
  </si>
  <si>
    <t>0778-65-1151</t>
  </si>
  <si>
    <t>0778-65-1189</t>
  </si>
  <si>
    <t>610-1146</t>
  </si>
  <si>
    <t>075-874-6715</t>
  </si>
  <si>
    <t>075-874-6745</t>
  </si>
  <si>
    <r>
      <rPr>
        <sz val="11"/>
        <rFont val="MS UI Gothic"/>
        <family val="3"/>
        <charset val="128"/>
      </rPr>
      <t>アイメックス販売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</si>
  <si>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大阪市中央区南船場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6-15</t>
    </r>
    <r>
      <rPr>
        <sz val="11"/>
        <rFont val="MS UI Gothic"/>
        <family val="3"/>
        <charset val="128"/>
      </rPr>
      <t>　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･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階</t>
    </r>
  </si>
  <si>
    <r>
      <rPr>
        <sz val="11"/>
        <rFont val="MS UI Gothic"/>
        <family val="3"/>
        <charset val="128"/>
      </rPr>
      <t>有限会社青山繊維加工</t>
    </r>
  </si>
  <si>
    <r>
      <rPr>
        <sz val="11"/>
        <rFont val="MS UI Gothic"/>
        <family val="3"/>
        <charset val="128"/>
      </rPr>
      <t>愛知県一宮市笹野</t>
    </r>
    <r>
      <rPr>
        <sz val="11"/>
        <rFont val="Times New Roman"/>
        <family val="1"/>
      </rPr>
      <t>24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</si>
  <si>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アゲハラベルベット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</si>
  <si>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1-5-6</t>
    </r>
  </si>
  <si>
    <r>
      <rPr>
        <sz val="11"/>
        <rFont val="MS UI Gothic"/>
        <family val="3"/>
        <charset val="128"/>
      </rPr>
      <t>浅田株式会社</t>
    </r>
  </si>
  <si>
    <r>
      <rPr>
        <sz val="11"/>
        <rFont val="MS UI Gothic"/>
        <family val="3"/>
        <charset val="128"/>
      </rPr>
      <t>大阪府大阪市中央区上本町西</t>
    </r>
    <r>
      <rPr>
        <sz val="11"/>
        <rFont val="Times New Roman"/>
        <family val="1"/>
      </rPr>
      <t>5-2-29</t>
    </r>
  </si>
  <si>
    <r>
      <rPr>
        <sz val="11"/>
        <rFont val="MS UI Gothic"/>
        <family val="3"/>
        <charset val="128"/>
      </rPr>
      <t>株式会社イノウエ</t>
    </r>
  </si>
  <si>
    <r>
      <rPr>
        <sz val="11"/>
        <rFont val="MS UI Gothic"/>
        <family val="3"/>
        <charset val="128"/>
      </rPr>
      <t>神奈川県相模原市緑区鳥屋</t>
    </r>
    <r>
      <rPr>
        <sz val="11"/>
        <rFont val="Times New Roman"/>
        <family val="1"/>
      </rPr>
      <t>750</t>
    </r>
    <r>
      <rPr>
        <sz val="11"/>
        <rFont val="MS UI Gothic"/>
        <family val="3"/>
        <charset val="128"/>
      </rPr>
      <t>番</t>
    </r>
    <r>
      <rPr>
        <sz val="11"/>
        <rFont val="Times New Roman"/>
        <family val="1"/>
      </rPr>
      <t xml:space="preserve"> </t>
    </r>
  </si>
  <si>
    <r>
      <rPr>
        <sz val="11"/>
        <rFont val="MS UI Gothic"/>
        <family val="3"/>
        <charset val="128"/>
      </rPr>
      <t>株式会社イグチ</t>
    </r>
  </si>
  <si>
    <r>
      <rPr>
        <sz val="11"/>
        <rFont val="MS UI Gothic"/>
        <family val="3"/>
        <charset val="128"/>
      </rPr>
      <t>滋賀県彦根市東沼波町</t>
    </r>
    <r>
      <rPr>
        <sz val="11"/>
        <rFont val="Times New Roman"/>
        <family val="1"/>
      </rPr>
      <t>195-1</t>
    </r>
  </si>
  <si>
    <r>
      <rPr>
        <sz val="11"/>
        <rFont val="MS UI Gothic"/>
        <family val="3"/>
        <charset val="128"/>
      </rPr>
      <t>石川染工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</si>
  <si>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京都府京都市南区上鳥羽塔ノ森柴東町</t>
    </r>
    <r>
      <rPr>
        <sz val="11"/>
        <rFont val="Times New Roman"/>
        <family val="1"/>
      </rPr>
      <t xml:space="preserve"> 29-2</t>
    </r>
  </si>
  <si>
    <r>
      <rPr>
        <sz val="11"/>
        <rFont val="MS UI Gothic"/>
        <family val="3"/>
        <charset val="128"/>
      </rPr>
      <t>有限会社池田織物</t>
    </r>
  </si>
  <si>
    <r>
      <rPr>
        <sz val="11"/>
        <rFont val="MS UI Gothic"/>
        <family val="3"/>
        <charset val="128"/>
      </rPr>
      <t>岡山県倉敷市児島唐琴</t>
    </r>
    <r>
      <rPr>
        <sz val="11"/>
        <rFont val="Times New Roman"/>
        <family val="1"/>
      </rPr>
      <t>4-10-26</t>
    </r>
  </si>
  <si>
    <r>
      <rPr>
        <sz val="11"/>
        <rFont val="MS UI Gothic"/>
        <family val="3"/>
        <charset val="128"/>
      </rPr>
      <t>株式会社池田製紐所</t>
    </r>
  </si>
  <si>
    <r>
      <rPr>
        <sz val="11"/>
        <rFont val="MS UI Gothic"/>
        <family val="3"/>
        <charset val="128"/>
      </rPr>
      <t>岡山県倉敷市児島唐琴</t>
    </r>
    <r>
      <rPr>
        <sz val="11"/>
        <rFont val="Times New Roman"/>
        <family val="1"/>
      </rPr>
      <t>2-4-24</t>
    </r>
  </si>
  <si>
    <r>
      <rPr>
        <sz val="11"/>
        <rFont val="MS UI Gothic"/>
        <family val="3"/>
        <charset val="128"/>
      </rPr>
      <t>株式会社市川鉄工</t>
    </r>
  </si>
  <si>
    <r>
      <rPr>
        <sz val="11"/>
        <rFont val="MS UI Gothic"/>
        <family val="3"/>
        <charset val="128"/>
      </rPr>
      <t>群馬県みどり市笠懸町久宮</t>
    </r>
    <r>
      <rPr>
        <sz val="11"/>
        <rFont val="Times New Roman"/>
        <family val="1"/>
      </rPr>
      <t>364-1</t>
    </r>
  </si>
  <si>
    <r>
      <rPr>
        <sz val="11"/>
        <rFont val="MS UI Gothic"/>
        <family val="3"/>
        <charset val="128"/>
      </rPr>
      <t>京都府木津川市吐師郷和田</t>
    </r>
    <r>
      <rPr>
        <sz val="11"/>
        <rFont val="Times New Roman"/>
        <family val="1"/>
      </rPr>
      <t>10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</si>
  <si>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今立織物有限会社</t>
    </r>
  </si>
  <si>
    <r>
      <rPr>
        <sz val="11"/>
        <rFont val="MS UI Gothic"/>
        <family val="3"/>
        <charset val="128"/>
      </rPr>
      <t>福井県越前市東庄境町</t>
    </r>
    <r>
      <rPr>
        <sz val="11"/>
        <rFont val="Times New Roman"/>
        <family val="1"/>
      </rPr>
      <t>3-8</t>
    </r>
  </si>
  <si>
    <r>
      <rPr>
        <sz val="11"/>
        <rFont val="MS UI Gothic"/>
        <family val="3"/>
        <charset val="128"/>
      </rPr>
      <t>井上リボン工業株式会社</t>
    </r>
  </si>
  <si>
    <r>
      <rPr>
        <sz val="11"/>
        <rFont val="MS UI Gothic"/>
        <family val="3"/>
        <charset val="128"/>
      </rPr>
      <t>上田バイアス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</si>
  <si>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株式会社槍田繊維</t>
    </r>
  </si>
  <si>
    <r>
      <rPr>
        <sz val="11"/>
        <rFont val="MS UI Gothic"/>
        <family val="3"/>
        <charset val="128"/>
      </rPr>
      <t>福井県大飯郡高浜町薗部</t>
    </r>
    <r>
      <rPr>
        <sz val="11"/>
        <rFont val="Times New Roman"/>
        <family val="1"/>
      </rPr>
      <t>57-9</t>
    </r>
  </si>
  <si>
    <r>
      <rPr>
        <sz val="11"/>
        <rFont val="MS UI Gothic"/>
        <family val="3"/>
        <charset val="128"/>
      </rPr>
      <t>宇仁繊維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</si>
  <si>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大阪市中央区南本町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6-12</t>
    </r>
  </si>
  <si>
    <r>
      <rPr>
        <sz val="11"/>
        <rFont val="MS UI Gothic"/>
        <family val="3"/>
        <charset val="128"/>
      </rPr>
      <t>マリオンタワー</t>
    </r>
    <r>
      <rPr>
        <sz val="11"/>
        <rFont val="Times New Roman"/>
        <family val="1"/>
      </rPr>
      <t>13F</t>
    </r>
  </si>
  <si>
    <r>
      <rPr>
        <sz val="11"/>
        <rFont val="MS UI Gothic"/>
        <family val="3"/>
        <charset val="128"/>
      </rPr>
      <t>宇野細巾株式会社</t>
    </r>
  </si>
  <si>
    <r>
      <rPr>
        <sz val="11"/>
        <rFont val="MS UI Gothic"/>
        <family val="3"/>
        <charset val="128"/>
      </rPr>
      <t>福井県越前市清根町</t>
    </r>
    <r>
      <rPr>
        <sz val="11"/>
        <rFont val="Times New Roman"/>
        <family val="1"/>
      </rPr>
      <t>25-6-1</t>
    </r>
  </si>
  <si>
    <r>
      <rPr>
        <sz val="11"/>
        <rFont val="MS UI Gothic"/>
        <family val="3"/>
        <charset val="128"/>
      </rPr>
      <t>株式会社浦瀬産業</t>
    </r>
  </si>
  <si>
    <r>
      <rPr>
        <sz val="11"/>
        <rFont val="MS UI Gothic"/>
        <family val="3"/>
        <charset val="128"/>
      </rPr>
      <t>京都府京都市北区紫竹西栗栖町</t>
    </r>
    <r>
      <rPr>
        <sz val="11"/>
        <rFont val="Times New Roman"/>
        <family val="1"/>
      </rPr>
      <t xml:space="preserve">5 </t>
    </r>
  </si>
  <si>
    <r>
      <rPr>
        <sz val="11"/>
        <rFont val="MS UI Gothic"/>
        <family val="3"/>
        <charset val="128"/>
      </rPr>
      <t>オージーテック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有限会社</t>
    </r>
  </si>
  <si>
    <r>
      <rPr>
        <sz val="11"/>
        <rFont val="MS UI Gothic"/>
        <family val="3"/>
        <charset val="128"/>
      </rPr>
      <t>エム繊維株式会社</t>
    </r>
  </si>
  <si>
    <r>
      <rPr>
        <sz val="11"/>
        <rFont val="MS UI Gothic"/>
        <family val="3"/>
        <charset val="128"/>
      </rPr>
      <t>石川県河北郡内灘町向粟崎</t>
    </r>
    <r>
      <rPr>
        <sz val="11"/>
        <rFont val="Times New Roman"/>
        <family val="1"/>
      </rPr>
      <t>5-243</t>
    </r>
  </si>
  <si>
    <r>
      <rPr>
        <sz val="11"/>
        <rFont val="MS UI Gothic"/>
        <family val="3"/>
        <charset val="128"/>
      </rPr>
      <t>太田製作所</t>
    </r>
  </si>
  <si>
    <r>
      <rPr>
        <sz val="11"/>
        <rFont val="MS UI Gothic"/>
        <family val="3"/>
        <charset val="128"/>
      </rPr>
      <t>大阪府吹田市岸部北</t>
    </r>
    <r>
      <rPr>
        <sz val="11"/>
        <rFont val="Times New Roman"/>
        <family val="1"/>
      </rPr>
      <t>3-6-22</t>
    </r>
  </si>
  <si>
    <r>
      <rPr>
        <sz val="11"/>
        <rFont val="MS UI Gothic"/>
        <family val="3"/>
        <charset val="128"/>
      </rPr>
      <t>落合レース株式会社</t>
    </r>
  </si>
  <si>
    <r>
      <rPr>
        <sz val="11"/>
        <rFont val="MS UI Gothic"/>
        <family val="3"/>
        <charset val="128"/>
      </rPr>
      <t>大阪府大阪市淀川区西中島</t>
    </r>
    <r>
      <rPr>
        <sz val="11"/>
        <rFont val="Times New Roman"/>
        <family val="1"/>
      </rPr>
      <t>2-6-21</t>
    </r>
  </si>
  <si>
    <r>
      <rPr>
        <sz val="11"/>
        <rFont val="MS UI Gothic"/>
        <family val="3"/>
        <charset val="128"/>
      </rPr>
      <t>有限会社沖野ファッション</t>
    </r>
  </si>
  <si>
    <r>
      <rPr>
        <sz val="11"/>
        <rFont val="MS UI Gothic"/>
        <family val="3"/>
        <charset val="128"/>
      </rPr>
      <t>石川県かほく市高松ナ</t>
    </r>
    <r>
      <rPr>
        <sz val="11"/>
        <rFont val="Times New Roman"/>
        <family val="1"/>
      </rPr>
      <t>116-1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</si>
  <si>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織元すみや</t>
    </r>
  </si>
  <si>
    <r>
      <rPr>
        <sz val="11"/>
        <rFont val="MS UI Gothic"/>
        <family val="3"/>
        <charset val="128"/>
      </rPr>
      <t>　　</t>
    </r>
  </si>
  <si>
    <r>
      <rPr>
        <sz val="11"/>
        <rFont val="MS UI Gothic"/>
        <family val="3"/>
        <charset val="128"/>
      </rPr>
      <t>カツミ産業株式会社</t>
    </r>
  </si>
  <si>
    <r>
      <rPr>
        <sz val="11"/>
        <rFont val="MS UI Gothic"/>
        <family val="3"/>
        <charset val="128"/>
      </rPr>
      <t>大阪府堺市北区八下北</t>
    </r>
    <r>
      <rPr>
        <sz val="11"/>
        <rFont val="Times New Roman"/>
        <family val="1"/>
      </rPr>
      <t>2-51</t>
    </r>
  </si>
  <si>
    <r>
      <rPr>
        <sz val="11"/>
        <rFont val="MS UI Gothic"/>
        <family val="3"/>
        <charset val="128"/>
      </rPr>
      <t>川崎リボン工業株式会社</t>
    </r>
  </si>
  <si>
    <r>
      <rPr>
        <sz val="11"/>
        <rFont val="MS UI Gothic"/>
        <family val="3"/>
        <charset val="128"/>
      </rPr>
      <t>福井県福井市志比口</t>
    </r>
    <r>
      <rPr>
        <sz val="11"/>
        <rFont val="Times New Roman"/>
        <family val="1"/>
      </rPr>
      <t>2-1-15</t>
    </r>
  </si>
  <si>
    <r>
      <rPr>
        <sz val="11"/>
        <rFont val="MS UI Gothic"/>
        <family val="3"/>
        <charset val="128"/>
      </rPr>
      <t>川村製紐工業株式会社</t>
    </r>
  </si>
  <si>
    <r>
      <rPr>
        <sz val="11"/>
        <rFont val="MS UI Gothic"/>
        <family val="3"/>
        <charset val="128"/>
      </rPr>
      <t>岐阜県多治見市白山町</t>
    </r>
    <r>
      <rPr>
        <sz val="11"/>
        <rFont val="Times New Roman"/>
        <family val="1"/>
      </rPr>
      <t>1-1</t>
    </r>
  </si>
  <si>
    <r>
      <rPr>
        <sz val="11"/>
        <rFont val="MS UI Gothic"/>
        <family val="3"/>
        <charset val="128"/>
      </rPr>
      <t>関西アサヒ株式会社</t>
    </r>
  </si>
  <si>
    <r>
      <rPr>
        <sz val="11"/>
        <rFont val="MS UI Gothic"/>
        <family val="3"/>
        <charset val="128"/>
      </rPr>
      <t>大阪府大阪市天王寺区上汐</t>
    </r>
    <r>
      <rPr>
        <sz val="11"/>
        <rFont val="Times New Roman"/>
        <family val="1"/>
      </rPr>
      <t>5-1-1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</si>
  <si>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カンダ</t>
    </r>
  </si>
  <si>
    <r>
      <rPr>
        <sz val="11"/>
        <rFont val="MS UI Gothic"/>
        <family val="3"/>
        <charset val="128"/>
      </rPr>
      <t>　</t>
    </r>
  </si>
  <si>
    <r>
      <rPr>
        <sz val="11"/>
        <rFont val="MS UI Gothic"/>
        <family val="3"/>
        <charset val="128"/>
      </rPr>
      <t>キンキテープ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</si>
  <si>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気谷</t>
    </r>
    <r>
      <rPr>
        <sz val="11"/>
        <rFont val="Times New Roman"/>
        <family val="1"/>
      </rPr>
      <t xml:space="preserve"> (3464)</t>
    </r>
  </si>
  <si>
    <r>
      <rPr>
        <sz val="11"/>
        <rFont val="MS UI Gothic"/>
        <family val="3"/>
        <charset val="128"/>
      </rPr>
      <t>石川県かほく市木津ハ</t>
    </r>
    <r>
      <rPr>
        <sz val="11"/>
        <rFont val="Times New Roman"/>
        <family val="1"/>
      </rPr>
      <t>41-2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</si>
  <si>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気谷</t>
    </r>
    <r>
      <rPr>
        <sz val="11"/>
        <rFont val="Times New Roman"/>
        <family val="1"/>
      </rPr>
      <t xml:space="preserve"> (3150</t>
    </r>
    <r>
      <rPr>
        <sz val="11"/>
        <rFont val="MS UI Gothic"/>
        <family val="3"/>
        <charset val="128"/>
      </rPr>
      <t>、</t>
    </r>
    <r>
      <rPr>
        <sz val="11"/>
        <rFont val="Times New Roman"/>
        <family val="1"/>
      </rPr>
      <t>3163)</t>
    </r>
  </si>
  <si>
    <r>
      <rPr>
        <sz val="11"/>
        <rFont val="MS UI Gothic"/>
        <family val="3"/>
        <charset val="128"/>
      </rPr>
      <t>木津織物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</si>
  <si>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福井県越前市西庄境町</t>
    </r>
    <r>
      <rPr>
        <sz val="11"/>
        <rFont val="Times New Roman"/>
        <family val="1"/>
      </rPr>
      <t>1-1</t>
    </r>
  </si>
  <si>
    <r>
      <rPr>
        <sz val="11"/>
        <rFont val="MS UI Gothic"/>
        <family val="3"/>
        <charset val="128"/>
      </rPr>
      <t>キョウトテックス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</si>
  <si>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京都府京都市伏見区深草小久保町</t>
    </r>
    <r>
      <rPr>
        <sz val="11"/>
        <rFont val="Times New Roman"/>
        <family val="1"/>
      </rPr>
      <t>367</t>
    </r>
  </si>
  <si>
    <r>
      <rPr>
        <sz val="11"/>
        <rFont val="MS UI Gothic"/>
        <family val="3"/>
        <charset val="128"/>
      </rPr>
      <t>協和レース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</si>
  <si>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クボリキレース</t>
    </r>
  </si>
  <si>
    <r>
      <rPr>
        <sz val="11"/>
        <rFont val="MS UI Gothic"/>
        <family val="3"/>
        <charset val="128"/>
      </rPr>
      <t>滋賀県守山市下之郷</t>
    </r>
    <r>
      <rPr>
        <sz val="11"/>
        <rFont val="Times New Roman"/>
        <family val="1"/>
      </rPr>
      <t>3-8-6</t>
    </r>
  </si>
  <si>
    <r>
      <rPr>
        <sz val="11"/>
        <rFont val="MS UI Gothic"/>
        <family val="3"/>
        <charset val="128"/>
      </rPr>
      <t>ホームアシスタントクローバ</t>
    </r>
  </si>
  <si>
    <r>
      <rPr>
        <sz val="11"/>
        <rFont val="MS UI Gothic"/>
        <family val="3"/>
        <charset val="128"/>
      </rPr>
      <t>滋賀県東近江市五個荘中町</t>
    </r>
    <r>
      <rPr>
        <sz val="11"/>
        <rFont val="Times New Roman"/>
        <family val="1"/>
      </rPr>
      <t>67</t>
    </r>
  </si>
  <si>
    <r>
      <rPr>
        <sz val="11"/>
        <rFont val="MS UI Gothic"/>
        <family val="3"/>
        <charset val="128"/>
      </rPr>
      <t>黒川ウェーブ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</si>
  <si>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石川県かほく市高松テ</t>
    </r>
    <r>
      <rPr>
        <sz val="11"/>
        <rFont val="Times New Roman"/>
        <family val="1"/>
      </rPr>
      <t>8-1</t>
    </r>
  </si>
  <si>
    <r>
      <rPr>
        <sz val="11"/>
        <rFont val="MS UI Gothic"/>
        <family val="3"/>
        <charset val="128"/>
      </rPr>
      <t>宏和産業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</si>
  <si>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国際文化ﾈｰﾑ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</si>
  <si>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東京都品川区東五反田</t>
    </r>
    <r>
      <rPr>
        <sz val="11"/>
        <rFont val="Times New Roman"/>
        <family val="1"/>
      </rPr>
      <t>5-27-10</t>
    </r>
  </si>
  <si>
    <r>
      <rPr>
        <sz val="11"/>
        <rFont val="MS UI Gothic"/>
        <family val="3"/>
        <charset val="128"/>
      </rPr>
      <t>野村ビル</t>
    </r>
    <r>
      <rPr>
        <sz val="11"/>
        <rFont val="Times New Roman"/>
        <family val="1"/>
      </rPr>
      <t>2F</t>
    </r>
  </si>
  <si>
    <r>
      <rPr>
        <sz val="11"/>
        <rFont val="MS UI Gothic"/>
        <family val="3"/>
        <charset val="128"/>
      </rPr>
      <t>小杉染色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</si>
  <si>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京都市南区久世中久世町</t>
    </r>
    <r>
      <rPr>
        <sz val="11"/>
        <rFont val="Times New Roman"/>
        <family val="1"/>
      </rPr>
      <t xml:space="preserve"> 5-69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</si>
  <si>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小西リボン</t>
    </r>
  </si>
  <si>
    <r>
      <rPr>
        <sz val="11"/>
        <rFont val="MS UI Gothic"/>
        <family val="3"/>
        <charset val="128"/>
      </rPr>
      <t>京都府京都市上京区仲之町（元誓</t>
    </r>
  </si>
  <si>
    <r>
      <rPr>
        <sz val="11"/>
        <rFont val="MS UI Gothic"/>
        <family val="3"/>
        <charset val="128"/>
      </rPr>
      <t>願寺通堀川東入）</t>
    </r>
    <r>
      <rPr>
        <sz val="11"/>
        <rFont val="Times New Roman"/>
        <family val="1"/>
      </rPr>
      <t>463</t>
    </r>
  </si>
  <si>
    <r>
      <rPr>
        <sz val="11"/>
        <rFont val="MS UI Gothic"/>
        <family val="3"/>
        <charset val="128"/>
      </rPr>
      <t>小堀リボン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</si>
  <si>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こるどん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</si>
  <si>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静岡県富士市神谷</t>
    </r>
    <r>
      <rPr>
        <sz val="11"/>
        <rFont val="Times New Roman"/>
        <family val="1"/>
      </rPr>
      <t>819</t>
    </r>
  </si>
  <si>
    <r>
      <rPr>
        <sz val="11"/>
        <rFont val="MS UI Gothic"/>
        <family val="3"/>
        <charset val="128"/>
      </rPr>
      <t>栄レース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</si>
  <si>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兵庫県宝塚市美幸町</t>
    </r>
    <r>
      <rPr>
        <sz val="11"/>
        <rFont val="Times New Roman"/>
        <family val="1"/>
      </rPr>
      <t>10-51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</si>
  <si>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1-6</t>
    </r>
  </si>
  <si>
    <r>
      <rPr>
        <sz val="11"/>
        <rFont val="MS UI Gothic"/>
        <family val="3"/>
        <charset val="128"/>
      </rPr>
      <t>堺筋本町センタービル</t>
    </r>
    <r>
      <rPr>
        <sz val="11"/>
        <rFont val="Times New Roman"/>
        <family val="1"/>
      </rPr>
      <t>4F</t>
    </r>
  </si>
  <si>
    <r>
      <rPr>
        <sz val="11"/>
        <rFont val="MS UI Gothic"/>
        <family val="3"/>
        <charset val="128"/>
      </rPr>
      <t>佐々木細幅織物株式会社</t>
    </r>
  </si>
  <si>
    <r>
      <rPr>
        <sz val="11"/>
        <rFont val="MS UI Gothic"/>
        <family val="3"/>
        <charset val="128"/>
      </rPr>
      <t>福井県丹生郡越前町宝泉寺</t>
    </r>
    <r>
      <rPr>
        <sz val="11"/>
        <rFont val="Times New Roman"/>
        <family val="1"/>
      </rPr>
      <t>22-8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</si>
  <si>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山英</t>
    </r>
  </si>
  <si>
    <r>
      <rPr>
        <sz val="11"/>
        <rFont val="MS UI Gothic"/>
        <family val="3"/>
        <charset val="128"/>
      </rPr>
      <t>福井県越前市矢放町</t>
    </r>
    <r>
      <rPr>
        <sz val="11"/>
        <rFont val="Times New Roman"/>
        <family val="1"/>
      </rPr>
      <t>10-15-1</t>
    </r>
  </si>
  <si>
    <r>
      <rPr>
        <sz val="11"/>
        <rFont val="MS UI Gothic"/>
        <family val="3"/>
        <charset val="128"/>
      </rPr>
      <t>三和繊維株式会社</t>
    </r>
  </si>
  <si>
    <r>
      <rPr>
        <sz val="11"/>
        <rFont val="MS UI Gothic"/>
        <family val="3"/>
        <charset val="128"/>
      </rPr>
      <t>福井県福井市舞屋町</t>
    </r>
    <r>
      <rPr>
        <sz val="11"/>
        <rFont val="Times New Roman"/>
        <family val="1"/>
      </rPr>
      <t>15-11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</si>
  <si>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シオモト製紐</t>
    </r>
  </si>
  <si>
    <r>
      <rPr>
        <sz val="11"/>
        <rFont val="MS UI Gothic"/>
        <family val="3"/>
        <charset val="128"/>
      </rPr>
      <t>石川県かほく市遠塚ロ</t>
    </r>
    <r>
      <rPr>
        <sz val="11"/>
        <rFont val="Times New Roman"/>
        <family val="1"/>
      </rPr>
      <t>36-17</t>
    </r>
  </si>
  <si>
    <r>
      <rPr>
        <sz val="11"/>
        <rFont val="MS UI Gothic"/>
        <family val="3"/>
        <charset val="128"/>
      </rPr>
      <t>柴垣織物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</si>
  <si>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羽咋市柴垣町砂山１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</si>
  <si>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>SHINDO</t>
    </r>
  </si>
  <si>
    <r>
      <rPr>
        <sz val="11"/>
        <rFont val="MS UI Gothic"/>
        <family val="3"/>
        <charset val="128"/>
      </rPr>
      <t>福井県あわら市伊井</t>
    </r>
    <r>
      <rPr>
        <sz val="11"/>
        <rFont val="Times New Roman"/>
        <family val="1"/>
      </rPr>
      <t>11-1-1</t>
    </r>
  </si>
  <si>
    <r>
      <rPr>
        <sz val="11"/>
        <rFont val="MS UI Gothic"/>
        <family val="3"/>
        <charset val="128"/>
      </rPr>
      <t>株式会社スギタ</t>
    </r>
  </si>
  <si>
    <r>
      <rPr>
        <sz val="11"/>
        <rFont val="MS UI Gothic"/>
        <family val="3"/>
        <charset val="128"/>
      </rPr>
      <t>大阪府八尾市八尾木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230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</si>
  <si>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双日ファッション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</si>
  <si>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大阪市中央区平野町</t>
    </r>
    <r>
      <rPr>
        <sz val="11"/>
        <rFont val="Times New Roman"/>
        <family val="1"/>
      </rPr>
      <t xml:space="preserve"> 2-1-2</t>
    </r>
  </si>
  <si>
    <r>
      <rPr>
        <sz val="11"/>
        <rFont val="MS UI Gothic"/>
        <family val="3"/>
        <charset val="128"/>
      </rPr>
      <t>高島リボン株式会社</t>
    </r>
  </si>
  <si>
    <r>
      <rPr>
        <sz val="11"/>
        <rFont val="MS UI Gothic"/>
        <family val="3"/>
        <charset val="128"/>
      </rPr>
      <t>福井県鯖江市神中町</t>
    </r>
    <r>
      <rPr>
        <sz val="11"/>
        <rFont val="Times New Roman"/>
        <family val="1"/>
      </rPr>
      <t>2-6-36</t>
    </r>
  </si>
  <si>
    <r>
      <rPr>
        <sz val="11"/>
        <rFont val="MS UI Gothic"/>
        <family val="3"/>
        <charset val="128"/>
      </rPr>
      <t>高島ﾘﾎﾞﾝ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</si>
  <si>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武正株式会社</t>
    </r>
  </si>
  <si>
    <r>
      <rPr>
        <sz val="11"/>
        <rFont val="MS UI Gothic"/>
        <family val="3"/>
        <charset val="128"/>
      </rPr>
      <t>大阪府大阪市福島区福島</t>
    </r>
    <r>
      <rPr>
        <sz val="11"/>
        <rFont val="Times New Roman"/>
        <family val="1"/>
      </rPr>
      <t>1-3-1</t>
    </r>
  </si>
  <si>
    <r>
      <rPr>
        <sz val="11"/>
        <rFont val="MS UI Gothic"/>
        <family val="3"/>
        <charset val="128"/>
      </rPr>
      <t>ダイソセンイ株式会社</t>
    </r>
  </si>
  <si>
    <r>
      <rPr>
        <sz val="11"/>
        <rFont val="MS UI Gothic"/>
        <family val="3"/>
        <charset val="128"/>
      </rPr>
      <t>福井県越前市妙法寺町</t>
    </r>
    <r>
      <rPr>
        <sz val="11"/>
        <rFont val="Times New Roman"/>
        <family val="1"/>
      </rPr>
      <t>21-1-1</t>
    </r>
  </si>
  <si>
    <r>
      <rPr>
        <sz val="11"/>
        <rFont val="MS UI Gothic"/>
        <family val="3"/>
        <charset val="128"/>
      </rPr>
      <t>大一株式会社</t>
    </r>
  </si>
  <si>
    <r>
      <rPr>
        <sz val="11"/>
        <rFont val="MS UI Gothic"/>
        <family val="3"/>
        <charset val="128"/>
      </rPr>
      <t>京都府京都市上京区上長者町通東</t>
    </r>
  </si>
  <si>
    <r>
      <rPr>
        <sz val="11"/>
        <rFont val="MS UI Gothic"/>
        <family val="3"/>
        <charset val="128"/>
      </rPr>
      <t>株式会社大定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</si>
  <si>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859-1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</si>
  <si>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つむぎプラン</t>
    </r>
  </si>
  <si>
    <r>
      <rPr>
        <sz val="11"/>
        <rFont val="MS UI Gothic"/>
        <family val="3"/>
        <charset val="128"/>
      </rPr>
      <t>敦賀繊維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</si>
  <si>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中越ﾚｰｽ工業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</si>
  <si>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ティーワイ通商</t>
    </r>
  </si>
  <si>
    <r>
      <rPr>
        <sz val="11"/>
        <rFont val="MS UI Gothic"/>
        <family val="3"/>
        <charset val="128"/>
      </rPr>
      <t>大阪府茨木市玉櫛</t>
    </r>
    <r>
      <rPr>
        <sz val="11"/>
        <rFont val="Times New Roman"/>
        <family val="1"/>
      </rPr>
      <t>2-17-21</t>
    </r>
  </si>
  <si>
    <r>
      <rPr>
        <sz val="11"/>
        <rFont val="MS UI Gothic"/>
        <family val="3"/>
        <charset val="128"/>
      </rPr>
      <t>同興商事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</si>
  <si>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トーホー株式会社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</si>
  <si>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2-1-6</t>
    </r>
  </si>
  <si>
    <r>
      <rPr>
        <sz val="11"/>
        <rFont val="MS UI Gothic"/>
        <family val="3"/>
        <charset val="128"/>
      </rPr>
      <t>堺筋本町センタービル</t>
    </r>
    <r>
      <rPr>
        <sz val="11"/>
        <rFont val="Times New Roman"/>
        <family val="1"/>
      </rPr>
      <t>11F</t>
    </r>
  </si>
  <si>
    <r>
      <rPr>
        <sz val="11"/>
        <rFont val="MS UI Gothic"/>
        <family val="3"/>
        <charset val="128"/>
      </rPr>
      <t>株式会社堂本</t>
    </r>
  </si>
  <si>
    <r>
      <rPr>
        <sz val="11"/>
        <rFont val="MS UI Gothic"/>
        <family val="3"/>
        <charset val="128"/>
      </rPr>
      <t>京都府京都市右京区花園内畑町</t>
    </r>
    <r>
      <rPr>
        <sz val="11"/>
        <rFont val="Times New Roman"/>
        <family val="1"/>
      </rPr>
      <t>10</t>
    </r>
  </si>
  <si>
    <r>
      <rPr>
        <sz val="11"/>
        <rFont val="MS UI Gothic"/>
        <family val="3"/>
        <charset val="128"/>
      </rPr>
      <t>堂本製紐工業株式会社</t>
    </r>
  </si>
  <si>
    <r>
      <rPr>
        <sz val="11"/>
        <rFont val="MS UI Gothic"/>
        <family val="3"/>
        <charset val="128"/>
      </rPr>
      <t>京都府京都市右京区谷口園町</t>
    </r>
    <r>
      <rPr>
        <sz val="11"/>
        <rFont val="Times New Roman"/>
        <family val="1"/>
      </rPr>
      <t>24</t>
    </r>
  </si>
  <si>
    <r>
      <rPr>
        <sz val="11"/>
        <rFont val="MS UI Gothic"/>
        <family val="3"/>
        <charset val="128"/>
      </rPr>
      <t>株式会社土本トリミング</t>
    </r>
  </si>
  <si>
    <r>
      <rPr>
        <sz val="11"/>
        <rFont val="MS UI Gothic"/>
        <family val="3"/>
        <charset val="128"/>
      </rPr>
      <t>福井県越前市上大坪町</t>
    </r>
    <r>
      <rPr>
        <sz val="11"/>
        <rFont val="Times New Roman"/>
        <family val="1"/>
      </rPr>
      <t>18-43-1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</si>
  <si>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トリムコ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</si>
  <si>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トリムレース</t>
    </r>
  </si>
  <si>
    <r>
      <rPr>
        <sz val="11"/>
        <rFont val="MS UI Gothic"/>
        <family val="3"/>
        <charset val="128"/>
      </rPr>
      <t>池田市井口堂</t>
    </r>
    <r>
      <rPr>
        <sz val="11"/>
        <rFont val="Times New Roman"/>
        <family val="1"/>
      </rPr>
      <t xml:space="preserve"> 3-10-29</t>
    </r>
  </si>
  <si>
    <r>
      <rPr>
        <sz val="11"/>
        <rFont val="MS UI Gothic"/>
        <family val="3"/>
        <charset val="128"/>
      </rPr>
      <t>株式会社内藤レース</t>
    </r>
  </si>
  <si>
    <r>
      <rPr>
        <sz val="11"/>
        <rFont val="MS UI Gothic"/>
        <family val="3"/>
        <charset val="128"/>
      </rPr>
      <t>京都府京都市右京区太秦北路町</t>
    </r>
    <r>
      <rPr>
        <sz val="11"/>
        <rFont val="Times New Roman"/>
        <family val="1"/>
      </rPr>
      <t>11</t>
    </r>
  </si>
  <si>
    <r>
      <rPr>
        <sz val="11"/>
        <rFont val="MS UI Gothic"/>
        <family val="3"/>
        <charset val="128"/>
      </rPr>
      <t>中川リボン株式会社</t>
    </r>
  </si>
  <si>
    <r>
      <rPr>
        <sz val="11"/>
        <rFont val="MS UI Gothic"/>
        <family val="3"/>
        <charset val="128"/>
      </rPr>
      <t>滋賀県長浜市曽根町</t>
    </r>
    <r>
      <rPr>
        <sz val="11"/>
        <rFont val="Times New Roman"/>
        <family val="1"/>
      </rPr>
      <t>1102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</si>
  <si>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中辻製紐</t>
    </r>
  </si>
  <si>
    <r>
      <rPr>
        <sz val="11"/>
        <rFont val="MS UI Gothic"/>
        <family val="3"/>
        <charset val="128"/>
      </rPr>
      <t>株式会社中村編織工業</t>
    </r>
  </si>
  <si>
    <r>
      <rPr>
        <sz val="11"/>
        <rFont val="MS UI Gothic"/>
        <family val="3"/>
        <charset val="128"/>
      </rPr>
      <t>石川県かほく市大崎リ</t>
    </r>
    <r>
      <rPr>
        <sz val="11"/>
        <rFont val="Times New Roman"/>
        <family val="1"/>
      </rPr>
      <t>3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</si>
  <si>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中村商事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</si>
  <si>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中川産業株式会社</t>
    </r>
  </si>
  <si>
    <r>
      <rPr>
        <sz val="11"/>
        <rFont val="MS UI Gothic"/>
        <family val="3"/>
        <charset val="128"/>
      </rPr>
      <t>石川県小松市軽海町ラ</t>
    </r>
    <r>
      <rPr>
        <sz val="11"/>
        <rFont val="Times New Roman"/>
        <family val="1"/>
      </rPr>
      <t>19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</si>
  <si>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ナリカワ</t>
    </r>
  </si>
  <si>
    <r>
      <rPr>
        <sz val="11"/>
        <rFont val="MS UI Gothic"/>
        <family val="3"/>
        <charset val="128"/>
      </rPr>
      <t>株式会社西口製紐</t>
    </r>
  </si>
  <si>
    <r>
      <rPr>
        <sz val="11"/>
        <rFont val="MS UI Gothic"/>
        <family val="3"/>
        <charset val="128"/>
      </rPr>
      <t>京都府亀岡市三宅町</t>
    </r>
    <r>
      <rPr>
        <sz val="11"/>
        <rFont val="Times New Roman"/>
        <family val="1"/>
      </rPr>
      <t>28</t>
    </r>
  </si>
  <si>
    <r>
      <rPr>
        <sz val="11"/>
        <rFont val="MS UI Gothic"/>
        <family val="3"/>
        <charset val="128"/>
      </rPr>
      <t>西ジマ染工房</t>
    </r>
  </si>
  <si>
    <r>
      <rPr>
        <sz val="11"/>
        <rFont val="MS UI Gothic"/>
        <family val="3"/>
        <charset val="128"/>
      </rPr>
      <t>京都府宇治市伊勢田町</t>
    </r>
    <r>
      <rPr>
        <sz val="11"/>
        <rFont val="Times New Roman"/>
        <family val="1"/>
      </rPr>
      <t>37-38</t>
    </r>
  </si>
  <si>
    <r>
      <rPr>
        <sz val="11"/>
        <rFont val="MS UI Gothic"/>
        <family val="3"/>
        <charset val="128"/>
      </rPr>
      <t>西中製紐株式会社</t>
    </r>
  </si>
  <si>
    <r>
      <rPr>
        <sz val="11"/>
        <rFont val="MS UI Gothic"/>
        <family val="3"/>
        <charset val="128"/>
      </rPr>
      <t>岡山県倉敷市児島田の口</t>
    </r>
    <r>
      <rPr>
        <sz val="11"/>
        <rFont val="Times New Roman"/>
        <family val="1"/>
      </rPr>
      <t>4-9-36</t>
    </r>
  </si>
  <si>
    <r>
      <rPr>
        <sz val="11"/>
        <rFont val="MS UI Gothic"/>
        <family val="3"/>
        <charset val="128"/>
      </rPr>
      <t>ﾘﾘｰﾚｰｽ･ｲﾝﾀｰﾅｼｮﾅﾙ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</si>
  <si>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京都府京都市上京区元妙蓮寺町</t>
    </r>
  </si>
  <si>
    <r>
      <rPr>
        <sz val="11"/>
        <rFont val="MS UI Gothic"/>
        <family val="3"/>
        <charset val="128"/>
      </rPr>
      <t>ニッシントーア・岩尾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</si>
  <si>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日清紡テキスタイル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</si>
  <si>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大阪府大阪市中央区北久宝寺町</t>
    </r>
    <r>
      <rPr>
        <sz val="11"/>
        <rFont val="Times New Roman"/>
        <family val="1"/>
      </rPr>
      <t>2-4-2</t>
    </r>
  </si>
  <si>
    <r>
      <rPr>
        <sz val="11"/>
        <rFont val="MS UI Gothic"/>
        <family val="3"/>
        <charset val="128"/>
      </rPr>
      <t>西田マーク</t>
    </r>
  </si>
  <si>
    <r>
      <rPr>
        <sz val="11"/>
        <rFont val="MS UI Gothic"/>
        <family val="3"/>
        <charset val="128"/>
      </rPr>
      <t>岐阜県岐阜市薮田南</t>
    </r>
    <r>
      <rPr>
        <sz val="11"/>
        <rFont val="Times New Roman"/>
        <family val="1"/>
      </rPr>
      <t>7-6</t>
    </r>
  </si>
  <si>
    <r>
      <rPr>
        <sz val="11"/>
        <rFont val="MS UI Gothic"/>
        <family val="3"/>
        <charset val="128"/>
      </rPr>
      <t>株式会社ハシモト</t>
    </r>
  </si>
  <si>
    <r>
      <rPr>
        <sz val="11"/>
        <rFont val="MS UI Gothic"/>
        <family val="3"/>
        <charset val="128"/>
      </rPr>
      <t>東京都江東区新大橋</t>
    </r>
    <r>
      <rPr>
        <sz val="11"/>
        <rFont val="Times New Roman"/>
        <family val="1"/>
      </rPr>
      <t>2-19-9</t>
    </r>
  </si>
  <si>
    <r>
      <rPr>
        <sz val="11"/>
        <rFont val="MS UI Gothic"/>
        <family val="3"/>
        <charset val="128"/>
      </rPr>
      <t>橋本純織物工場</t>
    </r>
  </si>
  <si>
    <r>
      <rPr>
        <sz val="11"/>
        <rFont val="MS UI Gothic"/>
        <family val="3"/>
        <charset val="128"/>
      </rPr>
      <t>福井県鯖江市下野田町</t>
    </r>
    <r>
      <rPr>
        <sz val="11"/>
        <rFont val="Times New Roman"/>
        <family val="1"/>
      </rPr>
      <t>37-16-2</t>
    </r>
  </si>
  <si>
    <r>
      <rPr>
        <sz val="11"/>
        <rFont val="MS UI Gothic"/>
        <family val="3"/>
        <charset val="128"/>
      </rPr>
      <t>畑岡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</si>
  <si>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>HACHIYA</t>
    </r>
  </si>
  <si>
    <r>
      <rPr>
        <sz val="11"/>
        <rFont val="MS UI Gothic"/>
        <family val="3"/>
        <charset val="128"/>
      </rPr>
      <t>福井県福井市大島</t>
    </r>
    <r>
      <rPr>
        <sz val="11"/>
        <rFont val="Times New Roman"/>
        <family val="1"/>
      </rPr>
      <t>3-4</t>
    </r>
  </si>
  <si>
    <r>
      <rPr>
        <sz val="11"/>
        <rFont val="MS UI Gothic"/>
        <family val="3"/>
        <charset val="128"/>
      </rPr>
      <t>八田経編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</si>
  <si>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浜松テープ株式会社</t>
    </r>
  </si>
  <si>
    <r>
      <rPr>
        <sz val="11"/>
        <rFont val="MS UI Gothic"/>
        <family val="3"/>
        <charset val="128"/>
      </rPr>
      <t>静岡県浜松市中区北田町</t>
    </r>
    <r>
      <rPr>
        <sz val="11"/>
        <rFont val="Times New Roman"/>
        <family val="1"/>
      </rPr>
      <t>139-25</t>
    </r>
  </si>
  <si>
    <r>
      <rPr>
        <sz val="11"/>
        <rFont val="MS UI Gothic"/>
        <family val="3"/>
        <charset val="128"/>
      </rPr>
      <t>ひかり商事㈱</t>
    </r>
  </si>
  <si>
    <r>
      <rPr>
        <sz val="11"/>
        <rFont val="MS UI Gothic"/>
        <family val="3"/>
        <charset val="128"/>
      </rPr>
      <t>福井市御幸</t>
    </r>
    <r>
      <rPr>
        <sz val="11"/>
        <rFont val="Times New Roman"/>
        <family val="1"/>
      </rPr>
      <t xml:space="preserve"> 4-21-10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</si>
  <si>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ヒバリ</t>
    </r>
  </si>
  <si>
    <r>
      <rPr>
        <sz val="11"/>
        <rFont val="MS UI Gothic"/>
        <family val="3"/>
        <charset val="128"/>
      </rPr>
      <t>八尾市跡部南の町</t>
    </r>
    <r>
      <rPr>
        <sz val="11"/>
        <rFont val="Times New Roman"/>
        <family val="1"/>
      </rPr>
      <t xml:space="preserve"> 1-2-13</t>
    </r>
  </si>
  <si>
    <r>
      <rPr>
        <sz val="11"/>
        <rFont val="MS UI Gothic"/>
        <family val="3"/>
        <charset val="128"/>
      </rPr>
      <t>株式会社紐屋</t>
    </r>
  </si>
  <si>
    <r>
      <rPr>
        <sz val="11"/>
        <rFont val="MS UI Gothic"/>
        <family val="3"/>
        <charset val="128"/>
      </rPr>
      <t>石川県羽咋市滝町イ</t>
    </r>
    <r>
      <rPr>
        <sz val="11"/>
        <rFont val="Times New Roman"/>
        <family val="1"/>
      </rPr>
      <t>94-1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</si>
  <si>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ファニー</t>
    </r>
  </si>
  <si>
    <r>
      <rPr>
        <sz val="11"/>
        <rFont val="MS UI Gothic"/>
        <family val="3"/>
        <charset val="128"/>
      </rPr>
      <t>藤井細巾織物有限会社</t>
    </r>
  </si>
  <si>
    <r>
      <rPr>
        <sz val="11"/>
        <rFont val="MS UI Gothic"/>
        <family val="3"/>
        <charset val="128"/>
      </rPr>
      <t>広島県福山市神辺町大字川南</t>
    </r>
    <r>
      <rPr>
        <sz val="11"/>
        <rFont val="Times New Roman"/>
        <family val="1"/>
      </rPr>
      <t>2975</t>
    </r>
  </si>
  <si>
    <r>
      <rPr>
        <sz val="11"/>
        <rFont val="MS UI Gothic"/>
        <family val="3"/>
        <charset val="128"/>
      </rPr>
      <t>双葉ﾚｰｽ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</si>
  <si>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二渡レース株式会社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</si>
  <si>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1462-5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</si>
  <si>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二口製紐</t>
    </r>
  </si>
  <si>
    <r>
      <rPr>
        <sz val="11"/>
        <rFont val="MS UI Gothic"/>
        <family val="3"/>
        <charset val="128"/>
      </rPr>
      <t>石川県かほく市高松サ</t>
    </r>
    <r>
      <rPr>
        <sz val="11"/>
        <rFont val="Times New Roman"/>
        <family val="1"/>
      </rPr>
      <t>49-66</t>
    </r>
  </si>
  <si>
    <r>
      <rPr>
        <sz val="11"/>
        <rFont val="MS UI Gothic"/>
        <family val="3"/>
        <charset val="128"/>
      </rPr>
      <t>鮒田産業株式会社</t>
    </r>
  </si>
  <si>
    <r>
      <rPr>
        <sz val="11"/>
        <rFont val="MS UI Gothic"/>
        <family val="3"/>
        <charset val="128"/>
      </rPr>
      <t>石川県かほく市大崎ロ</t>
    </r>
    <r>
      <rPr>
        <sz val="11"/>
        <rFont val="Times New Roman"/>
        <family val="1"/>
      </rPr>
      <t>75-1</t>
    </r>
  </si>
  <si>
    <r>
      <rPr>
        <sz val="11"/>
        <rFont val="MS UI Gothic"/>
        <family val="3"/>
        <charset val="128"/>
      </rPr>
      <t>フロリア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</si>
  <si>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東京都中央区日本橋人形町</t>
    </r>
    <r>
      <rPr>
        <sz val="11"/>
        <rFont val="Times New Roman"/>
        <family val="1"/>
      </rPr>
      <t>1-2-6</t>
    </r>
  </si>
  <si>
    <r>
      <rPr>
        <sz val="11"/>
        <rFont val="MS UI Gothic"/>
        <family val="3"/>
        <charset val="128"/>
      </rPr>
      <t>サイボービル</t>
    </r>
    <r>
      <rPr>
        <sz val="11"/>
        <rFont val="Times New Roman"/>
        <family val="1"/>
      </rPr>
      <t>7F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</si>
  <si>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ポケット</t>
    </r>
  </si>
  <si>
    <r>
      <rPr>
        <sz val="11"/>
        <rFont val="MS UI Gothic"/>
        <family val="3"/>
        <charset val="128"/>
      </rPr>
      <t>北陸ウェブ株式会社</t>
    </r>
  </si>
  <si>
    <r>
      <rPr>
        <sz val="11"/>
        <rFont val="MS UI Gothic"/>
        <family val="3"/>
        <charset val="128"/>
      </rPr>
      <t>石川県かほく市宇気ソ</t>
    </r>
    <r>
      <rPr>
        <sz val="11"/>
        <rFont val="Times New Roman"/>
        <family val="1"/>
      </rPr>
      <t>-6-2</t>
    </r>
  </si>
  <si>
    <r>
      <rPr>
        <sz val="11"/>
        <rFont val="MS UI Gothic"/>
        <family val="3"/>
        <charset val="128"/>
      </rPr>
      <t>有限会社丸将</t>
    </r>
  </si>
  <si>
    <r>
      <rPr>
        <sz val="11"/>
        <rFont val="MS UI Gothic"/>
        <family val="3"/>
        <charset val="128"/>
      </rPr>
      <t>京都府長岡京市今里</t>
    </r>
    <r>
      <rPr>
        <sz val="11"/>
        <rFont val="Times New Roman"/>
        <family val="1"/>
      </rPr>
      <t>22-28</t>
    </r>
  </si>
  <si>
    <r>
      <rPr>
        <sz val="11"/>
        <rFont val="MS UI Gothic"/>
        <family val="3"/>
        <charset val="128"/>
      </rPr>
      <t>株式会社丸進</t>
    </r>
  </si>
  <si>
    <r>
      <rPr>
        <sz val="11"/>
        <rFont val="MS UI Gothic"/>
        <family val="3"/>
        <charset val="128"/>
      </rPr>
      <t>京都府京都市上京区松屋町</t>
    </r>
  </si>
  <si>
    <r>
      <rPr>
        <sz val="11"/>
        <rFont val="MS UI Gothic"/>
        <family val="3"/>
        <charset val="128"/>
      </rPr>
      <t>株式会社万喜</t>
    </r>
  </si>
  <si>
    <r>
      <rPr>
        <sz val="11"/>
        <rFont val="MS UI Gothic"/>
        <family val="3"/>
        <charset val="128"/>
      </rPr>
      <t>石川県かほく市松浜イ</t>
    </r>
    <r>
      <rPr>
        <sz val="11"/>
        <rFont val="Times New Roman"/>
        <family val="1"/>
      </rPr>
      <t xml:space="preserve"> 31-1</t>
    </r>
  </si>
  <si>
    <r>
      <rPr>
        <sz val="11"/>
        <rFont val="MS UI Gothic"/>
        <family val="3"/>
        <charset val="128"/>
      </rPr>
      <t>南出リボン工業</t>
    </r>
  </si>
  <si>
    <r>
      <rPr>
        <sz val="11"/>
        <rFont val="MS UI Gothic"/>
        <family val="3"/>
        <charset val="128"/>
      </rPr>
      <t>石川県小松市日末町と</t>
    </r>
    <r>
      <rPr>
        <sz val="11"/>
        <rFont val="Times New Roman"/>
        <family val="1"/>
      </rPr>
      <t>6-2</t>
    </r>
  </si>
  <si>
    <r>
      <rPr>
        <sz val="11"/>
        <rFont val="MS UI Gothic"/>
        <family val="3"/>
        <charset val="128"/>
      </rPr>
      <t>有限会社ミニ・ワールド　マミや</t>
    </r>
  </si>
  <si>
    <r>
      <rPr>
        <sz val="11"/>
        <rFont val="MS UI Gothic"/>
        <family val="3"/>
        <charset val="128"/>
      </rPr>
      <t>京都府京都市北区衣笠北天神森町</t>
    </r>
  </si>
  <si>
    <r>
      <rPr>
        <sz val="11"/>
        <rFont val="MS UI Gothic"/>
        <family val="3"/>
        <charset val="128"/>
      </rPr>
      <t>宮谷産業有限会社</t>
    </r>
  </si>
  <si>
    <r>
      <rPr>
        <sz val="11"/>
        <rFont val="MS UI Gothic"/>
        <family val="3"/>
        <charset val="128"/>
      </rPr>
      <t>福井県坂井市丸岡町巽町</t>
    </r>
    <r>
      <rPr>
        <sz val="11"/>
        <rFont val="Times New Roman"/>
        <family val="1"/>
      </rPr>
      <t>3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101</t>
    </r>
  </si>
  <si>
    <r>
      <rPr>
        <sz val="11"/>
        <rFont val="MS UI Gothic"/>
        <family val="3"/>
        <charset val="128"/>
      </rPr>
      <t>株式会社ＭＩＹＵＫＩ</t>
    </r>
  </si>
  <si>
    <r>
      <rPr>
        <sz val="11"/>
        <rFont val="MS UI Gothic"/>
        <family val="3"/>
        <charset val="128"/>
      </rPr>
      <t>大阪府大阪市中央区博労町</t>
    </r>
    <r>
      <rPr>
        <sz val="11"/>
        <rFont val="Times New Roman"/>
        <family val="1"/>
      </rPr>
      <t>4-5-9</t>
    </r>
  </si>
  <si>
    <r>
      <rPr>
        <sz val="11"/>
        <rFont val="MS UI Gothic"/>
        <family val="3"/>
        <charset val="128"/>
      </rPr>
      <t>モリクロス株式会社</t>
    </r>
  </si>
  <si>
    <r>
      <rPr>
        <sz val="11"/>
        <rFont val="MS UI Gothic"/>
        <family val="3"/>
        <charset val="128"/>
      </rPr>
      <t>兵庫県尼崎市南武庫之荘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 xml:space="preserve">17 </t>
    </r>
  </si>
  <si>
    <r>
      <rPr>
        <sz val="11"/>
        <rFont val="MS UI Gothic"/>
        <family val="3"/>
        <charset val="128"/>
      </rPr>
      <t>株式会社モリ製紐</t>
    </r>
  </si>
  <si>
    <r>
      <rPr>
        <sz val="11"/>
        <rFont val="MS UI Gothic"/>
        <family val="3"/>
        <charset val="128"/>
      </rPr>
      <t>石川県羽咋郡志賀町矢駄タ</t>
    </r>
    <r>
      <rPr>
        <sz val="11"/>
        <rFont val="Times New Roman"/>
        <family val="1"/>
      </rPr>
      <t>-60</t>
    </r>
  </si>
  <si>
    <r>
      <rPr>
        <sz val="11"/>
        <rFont val="MS UI Gothic"/>
        <family val="3"/>
        <charset val="128"/>
      </rPr>
      <t>株式会社木馬</t>
    </r>
  </si>
  <si>
    <r>
      <rPr>
        <sz val="11"/>
        <rFont val="MS UI Gothic"/>
        <family val="3"/>
        <charset val="128"/>
      </rPr>
      <t>東京都台東区蔵前</t>
    </r>
    <r>
      <rPr>
        <sz val="11"/>
        <rFont val="Times New Roman"/>
        <family val="1"/>
      </rPr>
      <t>4-16-8</t>
    </r>
  </si>
  <si>
    <r>
      <rPr>
        <sz val="11"/>
        <rFont val="MS UI Gothic"/>
        <family val="3"/>
        <charset val="128"/>
      </rPr>
      <t>森製紐株式会社</t>
    </r>
  </si>
  <si>
    <r>
      <rPr>
        <sz val="11"/>
        <rFont val="MS UI Gothic"/>
        <family val="3"/>
        <charset val="128"/>
      </rPr>
      <t>大阪府大阪市東成区東中本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</si>
  <si>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八木熊</t>
    </r>
  </si>
  <si>
    <r>
      <rPr>
        <sz val="11"/>
        <rFont val="MS UI Gothic"/>
        <family val="3"/>
        <charset val="128"/>
      </rPr>
      <t>福井県福井市照手</t>
    </r>
    <r>
      <rPr>
        <sz val="11"/>
        <rFont val="Times New Roman"/>
        <family val="1"/>
      </rPr>
      <t>2-6-16</t>
    </r>
  </si>
  <si>
    <r>
      <rPr>
        <sz val="11"/>
        <rFont val="MS UI Gothic"/>
        <family val="3"/>
        <charset val="128"/>
      </rPr>
      <t>矢地繊維工業株式会社</t>
    </r>
  </si>
  <si>
    <r>
      <rPr>
        <sz val="11"/>
        <rFont val="MS UI Gothic"/>
        <family val="3"/>
        <charset val="128"/>
      </rPr>
      <t>福井県あわら市矢地</t>
    </r>
    <r>
      <rPr>
        <sz val="11"/>
        <rFont val="Times New Roman"/>
        <family val="1"/>
      </rPr>
      <t>1-3-1</t>
    </r>
  </si>
  <si>
    <r>
      <rPr>
        <sz val="11"/>
        <rFont val="MS UI Gothic"/>
        <family val="3"/>
        <charset val="128"/>
      </rPr>
      <t>山上縫糸株式会社</t>
    </r>
  </si>
  <si>
    <r>
      <rPr>
        <sz val="11"/>
        <rFont val="MS UI Gothic"/>
        <family val="3"/>
        <charset val="128"/>
      </rPr>
      <t>大阪府大阪市東成区中道</t>
    </r>
    <r>
      <rPr>
        <sz val="11"/>
        <rFont val="Times New Roman"/>
        <family val="1"/>
      </rPr>
      <t>4-16-21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</si>
  <si>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山政テキスタイル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</si>
  <si>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山崎ビロード</t>
    </r>
  </si>
  <si>
    <r>
      <rPr>
        <sz val="11"/>
        <rFont val="MS UI Gothic"/>
        <family val="3"/>
        <charset val="128"/>
      </rPr>
      <t>福井県越前市中津山町</t>
    </r>
    <r>
      <rPr>
        <sz val="11"/>
        <rFont val="Times New Roman"/>
        <family val="1"/>
      </rPr>
      <t>9-29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</si>
  <si>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山田貿易</t>
    </r>
  </si>
  <si>
    <r>
      <rPr>
        <sz val="11"/>
        <rFont val="MS UI Gothic"/>
        <family val="3"/>
        <charset val="128"/>
      </rPr>
      <t>株式会社山博</t>
    </r>
  </si>
  <si>
    <r>
      <rPr>
        <sz val="11"/>
        <rFont val="MS UI Gothic"/>
        <family val="3"/>
        <charset val="128"/>
      </rPr>
      <t>石川県小松市福乃宮町</t>
    </r>
    <r>
      <rPr>
        <sz val="11"/>
        <rFont val="Times New Roman"/>
        <family val="1"/>
      </rPr>
      <t>1-87</t>
    </r>
  </si>
  <si>
    <r>
      <rPr>
        <sz val="11"/>
        <rFont val="MS UI Gothic"/>
        <family val="3"/>
        <charset val="128"/>
      </rPr>
      <t>山屋産業株式会社</t>
    </r>
  </si>
  <si>
    <r>
      <rPr>
        <sz val="11"/>
        <rFont val="MS UI Gothic"/>
        <family val="3"/>
        <charset val="128"/>
      </rPr>
      <t>石川県河北郡津幡町庄ホ</t>
    </r>
    <r>
      <rPr>
        <sz val="11"/>
        <rFont val="Times New Roman"/>
        <family val="1"/>
      </rPr>
      <t xml:space="preserve"> 63</t>
    </r>
    <r>
      <rPr>
        <sz val="11"/>
        <rFont val="MS UI Gothic"/>
        <family val="3"/>
        <charset val="128"/>
      </rPr>
      <t>番の</t>
    </r>
    <r>
      <rPr>
        <sz val="11"/>
        <rFont val="Times New Roman"/>
        <family val="1"/>
      </rPr>
      <t>1</t>
    </r>
  </si>
  <si>
    <r>
      <rPr>
        <sz val="11"/>
        <rFont val="MS UI Gothic"/>
        <family val="3"/>
        <charset val="128"/>
      </rPr>
      <t>山元リボン株式会社</t>
    </r>
  </si>
  <si>
    <r>
      <rPr>
        <sz val="11"/>
        <rFont val="MS UI Gothic"/>
        <family val="3"/>
        <charset val="128"/>
      </rPr>
      <t>京都府京都市下京区上平野町</t>
    </r>
  </si>
  <si>
    <r>
      <rPr>
        <sz val="11"/>
        <rFont val="MS UI Gothic"/>
        <family val="3"/>
        <charset val="128"/>
      </rPr>
      <t>ユニーク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プランナー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</si>
  <si>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横倉繊維</t>
    </r>
  </si>
  <si>
    <r>
      <rPr>
        <sz val="11"/>
        <rFont val="MS UI Gothic"/>
        <family val="3"/>
        <charset val="128"/>
      </rPr>
      <t>群馬県桐生市境野町</t>
    </r>
    <r>
      <rPr>
        <sz val="11"/>
        <rFont val="Times New Roman"/>
        <family val="1"/>
      </rPr>
      <t>1-1147</t>
    </r>
  </si>
  <si>
    <r>
      <rPr>
        <sz val="11"/>
        <rFont val="MS UI Gothic"/>
        <family val="3"/>
        <charset val="128"/>
      </rPr>
      <t>有限会社吉田トーション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</si>
  <si>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876-3</t>
    </r>
  </si>
  <si>
    <r>
      <rPr>
        <sz val="11"/>
        <rFont val="MS UI Gothic"/>
        <family val="3"/>
        <charset val="128"/>
      </rPr>
      <t>株式会社ラインワールド</t>
    </r>
  </si>
  <si>
    <r>
      <rPr>
        <sz val="11"/>
        <rFont val="MS UI Gothic"/>
        <family val="3"/>
        <charset val="128"/>
      </rPr>
      <t>岡山県倉敷市児島赤崎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7</t>
    </r>
    <r>
      <rPr>
        <sz val="11"/>
        <rFont val="MS UI Gothic"/>
        <family val="3"/>
        <charset val="128"/>
      </rPr>
      <t>番</t>
    </r>
    <r>
      <rPr>
        <sz val="11"/>
        <rFont val="Times New Roman"/>
        <family val="1"/>
      </rPr>
      <t>57</t>
    </r>
  </si>
  <si>
    <r>
      <rPr>
        <sz val="11"/>
        <rFont val="MS UI Gothic"/>
        <family val="3"/>
        <charset val="128"/>
      </rPr>
      <t>渡辺リボン株式会社</t>
    </r>
  </si>
  <si>
    <r>
      <rPr>
        <sz val="11"/>
        <rFont val="MS UI Gothic"/>
        <family val="3"/>
        <charset val="128"/>
      </rPr>
      <t>福井県鯖江市落井町</t>
    </r>
    <r>
      <rPr>
        <sz val="11"/>
        <rFont val="Times New Roman"/>
        <family val="1"/>
      </rPr>
      <t>49-5</t>
    </r>
  </si>
  <si>
    <r>
      <rPr>
        <sz val="11"/>
        <rFont val="MS UI Gothic"/>
        <family val="3"/>
        <charset val="128"/>
      </rPr>
      <t>輪の花</t>
    </r>
  </si>
  <si>
    <r>
      <rPr>
        <sz val="11"/>
        <rFont val="MS UI Gothic"/>
        <family val="3"/>
        <charset val="128"/>
      </rPr>
      <t>京都市西京区大原野西境谷町</t>
    </r>
    <r>
      <rPr>
        <sz val="11"/>
        <rFont val="Times New Roman"/>
        <family val="1"/>
      </rPr>
      <t>2-10-2</t>
    </r>
  </si>
  <si>
    <r>
      <rPr>
        <sz val="11"/>
        <rFont val="MS UI Gothic"/>
        <family val="3"/>
        <charset val="128"/>
      </rPr>
      <t>諸口（輸入）</t>
    </r>
  </si>
  <si>
    <r>
      <rPr>
        <sz val="11"/>
        <rFont val="MS UI Gothic"/>
        <family val="3"/>
        <charset val="128"/>
      </rPr>
      <t>諸口（国内）</t>
    </r>
  </si>
  <si>
    <r>
      <rPr>
        <sz val="11"/>
        <rFont val="MS UI Gothic"/>
        <family val="3"/>
        <charset val="128"/>
      </rPr>
      <t>諸口（国内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非課税）</t>
    </r>
  </si>
  <si>
    <r>
      <rPr>
        <sz val="11"/>
        <rFont val="MS UI Gothic"/>
        <family val="3"/>
        <charset val="128"/>
      </rPr>
      <t>振替口座</t>
    </r>
  </si>
  <si>
    <r>
      <t xml:space="preserve">(SELECT) - </t>
    </r>
    <r>
      <rPr>
        <sz val="11"/>
        <rFont val="Yu Gothic"/>
        <family val="1"/>
        <charset val="128"/>
      </rPr>
      <t>仕入先名</t>
    </r>
    <rPh sb="11" eb="15">
      <t>シイレサキメイ</t>
    </rPh>
    <phoneticPr fontId="3"/>
  </si>
  <si>
    <t>Tel:</t>
    <phoneticPr fontId="3"/>
  </si>
  <si>
    <t>Fax:</t>
    <phoneticPr fontId="3"/>
  </si>
  <si>
    <r>
      <rPr>
        <sz val="11"/>
        <rFont val="ＭＳ Ｐ明朝"/>
        <family val="1"/>
        <charset val="128"/>
      </rPr>
      <t>システムコード</t>
    </r>
  </si>
  <si>
    <r>
      <rPr>
        <sz val="11"/>
        <rFont val="ＭＳ Ｐ明朝"/>
        <family val="1"/>
        <charset val="128"/>
      </rPr>
      <t>郵便番号</t>
    </r>
    <rPh sb="0" eb="4">
      <t>ユウビンバンゴウ</t>
    </rPh>
    <phoneticPr fontId="3"/>
  </si>
  <si>
    <r>
      <rPr>
        <sz val="11"/>
        <rFont val="ＭＳ Ｐ明朝"/>
        <family val="1"/>
        <charset val="128"/>
      </rPr>
      <t>住所</t>
    </r>
    <r>
      <rPr>
        <sz val="11"/>
        <rFont val="Times New Roman"/>
        <family val="1"/>
      </rPr>
      <t>1</t>
    </r>
    <rPh sb="0" eb="2">
      <t>ジュウショ</t>
    </rPh>
    <phoneticPr fontId="3"/>
  </si>
  <si>
    <r>
      <rPr>
        <sz val="11"/>
        <rFont val="ＭＳ Ｐ明朝"/>
        <family val="1"/>
        <charset val="128"/>
      </rPr>
      <t>住所</t>
    </r>
    <r>
      <rPr>
        <sz val="11"/>
        <rFont val="Times New Roman"/>
        <family val="1"/>
      </rPr>
      <t>2</t>
    </r>
    <rPh sb="0" eb="2">
      <t>ジュウショ</t>
    </rPh>
    <phoneticPr fontId="3"/>
  </si>
  <si>
    <t>合計金額</t>
    <rPh sb="0" eb="4">
      <t>ゴウケイキンガク</t>
    </rPh>
    <phoneticPr fontId="3"/>
  </si>
  <si>
    <t>ファイル名</t>
    <rPh sb="4" eb="5">
      <t>メイ</t>
    </rPh>
    <phoneticPr fontId="3"/>
  </si>
  <si>
    <t>仕入先</t>
    <rPh sb="0" eb="3">
      <t>シイレサキ</t>
    </rPh>
    <phoneticPr fontId="3"/>
  </si>
  <si>
    <t>検索結果</t>
    <rPh sb="0" eb="4">
      <t>ケンサクケッカ</t>
    </rPh>
    <phoneticPr fontId="3"/>
  </si>
  <si>
    <t>データ開始行</t>
    <rPh sb="3" eb="5">
      <t>カイシ</t>
    </rPh>
    <rPh sb="5" eb="6">
      <t>ギョウ</t>
    </rPh>
    <phoneticPr fontId="3"/>
  </si>
  <si>
    <t>データ終了行</t>
    <rPh sb="3" eb="5">
      <t>シュウリョウ</t>
    </rPh>
    <rPh sb="5" eb="6">
      <t>ギョウ</t>
    </rPh>
    <phoneticPr fontId="3"/>
  </si>
  <si>
    <t>貼付け終了行</t>
    <rPh sb="0" eb="2">
      <t>ハリツ</t>
    </rPh>
    <rPh sb="3" eb="6">
      <t>シュウリョウギョウ</t>
    </rPh>
    <phoneticPr fontId="3"/>
  </si>
  <si>
    <t>注記項目名</t>
    <rPh sb="0" eb="2">
      <t>チュウキ</t>
    </rPh>
    <rPh sb="2" eb="5">
      <t>コウモクメイ</t>
    </rPh>
    <phoneticPr fontId="3"/>
  </si>
  <si>
    <t>注記内容</t>
    <rPh sb="0" eb="2">
      <t>チュウキ</t>
    </rPh>
    <rPh sb="2" eb="4">
      <t>ナイヨウ</t>
    </rPh>
    <phoneticPr fontId="3"/>
  </si>
  <si>
    <t>同一ロット指定</t>
    <rPh sb="0" eb="2">
      <t>ドウイツ</t>
    </rPh>
    <rPh sb="5" eb="7">
      <t>シテイ</t>
    </rPh>
    <phoneticPr fontId="3"/>
  </si>
  <si>
    <t>上記商品、同一ロットでお手配お願い致します。</t>
    <rPh sb="0" eb="2">
      <t>ジョウキ</t>
    </rPh>
    <rPh sb="2" eb="4">
      <t>ショウヒン</t>
    </rPh>
    <rPh sb="5" eb="7">
      <t>ドウイツ</t>
    </rPh>
    <rPh sb="12" eb="14">
      <t>テハイ</t>
    </rPh>
    <rPh sb="15" eb="16">
      <t>ネガ</t>
    </rPh>
    <rPh sb="17" eb="18">
      <t>イタ</t>
    </rPh>
    <phoneticPr fontId="3"/>
  </si>
  <si>
    <t>出荷/到着日指定</t>
    <rPh sb="0" eb="2">
      <t>シュッカ</t>
    </rPh>
    <rPh sb="3" eb="6">
      <t>トウチャクビ</t>
    </rPh>
    <rPh sb="6" eb="8">
      <t>シテイ</t>
    </rPh>
    <phoneticPr fontId="3"/>
  </si>
  <si>
    <t>出荷日：</t>
    <rPh sb="0" eb="3">
      <t>シュッカビ</t>
    </rPh>
    <phoneticPr fontId="3"/>
  </si>
  <si>
    <t>到着日：</t>
    <rPh sb="0" eb="3">
      <t>トウチャクビ</t>
    </rPh>
    <phoneticPr fontId="3"/>
  </si>
  <si>
    <t>到着時間：</t>
    <rPh sb="0" eb="4">
      <t>トウチャクジカン</t>
    </rPh>
    <phoneticPr fontId="3"/>
  </si>
  <si>
    <t>最短納期指定</t>
    <rPh sb="0" eb="4">
      <t>サイタンノウキ</t>
    </rPh>
    <rPh sb="4" eb="6">
      <t>シテイ</t>
    </rPh>
    <phoneticPr fontId="3"/>
  </si>
  <si>
    <t>納期：</t>
    <rPh sb="0" eb="2">
      <t>ノウキ</t>
    </rPh>
    <phoneticPr fontId="3"/>
  </si>
  <si>
    <t>発送方法指定</t>
    <rPh sb="0" eb="6">
      <t>ハッソウホウホウシテイ</t>
    </rPh>
    <phoneticPr fontId="3"/>
  </si>
  <si>
    <t>配送業者：</t>
    <rPh sb="0" eb="4">
      <t>ハイソウギョウシャ</t>
    </rPh>
    <phoneticPr fontId="3"/>
  </si>
  <si>
    <t>ヤマト便</t>
    <rPh sb="3" eb="4">
      <t>ビン</t>
    </rPh>
    <phoneticPr fontId="3"/>
  </si>
  <si>
    <t>納期回答指定</t>
    <rPh sb="0" eb="4">
      <t>ノウキカイトウ</t>
    </rPh>
    <rPh sb="4" eb="6">
      <t>シテイ</t>
    </rPh>
    <phoneticPr fontId="3"/>
  </si>
  <si>
    <t>在庫有無、納期のご回答をお願い致します。</t>
    <rPh sb="0" eb="4">
      <t>ザイコウム</t>
    </rPh>
    <rPh sb="5" eb="7">
      <t>ノウキ</t>
    </rPh>
    <rPh sb="9" eb="11">
      <t>カイトウ</t>
    </rPh>
    <rPh sb="13" eb="14">
      <t>ネガ</t>
    </rPh>
    <rPh sb="15" eb="16">
      <t>イタ</t>
    </rPh>
    <phoneticPr fontId="3"/>
  </si>
  <si>
    <t>キープ分指定</t>
    <rPh sb="3" eb="4">
      <t>ブン</t>
    </rPh>
    <rPh sb="4" eb="6">
      <t>シテイ</t>
    </rPh>
    <phoneticPr fontId="3"/>
  </si>
  <si>
    <t>上記商品、キープ分より出荷お願い致します。</t>
    <rPh sb="0" eb="4">
      <t>ジョウキショウヒン</t>
    </rPh>
    <rPh sb="8" eb="9">
      <t>ブン</t>
    </rPh>
    <rPh sb="11" eb="13">
      <t>シュッカ</t>
    </rPh>
    <rPh sb="14" eb="15">
      <t>ネガ</t>
    </rPh>
    <rPh sb="16" eb="17">
      <t>イタ</t>
    </rPh>
    <phoneticPr fontId="3"/>
  </si>
  <si>
    <t>欠品連絡</t>
    <rPh sb="0" eb="4">
      <t>ケッピンレンラク</t>
    </rPh>
    <phoneticPr fontId="3"/>
  </si>
  <si>
    <t>欠品がある場合は出荷前に納期等のご連絡を御願い致します｡</t>
    <phoneticPr fontId="3"/>
  </si>
  <si>
    <t>キャンセル可能性</t>
    <rPh sb="5" eb="8">
      <t>カノウセイ</t>
    </rPh>
    <phoneticPr fontId="3"/>
  </si>
  <si>
    <t>欠品の場合は全商品キャンセルになる可能性あり､ご連絡後の出荷指示に従って下さい｡</t>
    <phoneticPr fontId="3"/>
  </si>
  <si>
    <t>その他</t>
    <rPh sb="2" eb="3">
      <t>ホカ</t>
    </rPh>
    <phoneticPr fontId="3"/>
  </si>
  <si>
    <t>自由記述：</t>
    <rPh sb="0" eb="4">
      <t>ジユウキジュツ</t>
    </rPh>
    <phoneticPr fontId="3"/>
  </si>
  <si>
    <t>あいうえお</t>
    <phoneticPr fontId="3"/>
  </si>
  <si>
    <t>発注書 (SELECTION)</t>
    <rPh sb="0" eb="3">
      <t>ハッチュウショ</t>
    </rPh>
    <phoneticPr fontId="3"/>
  </si>
  <si>
    <t>注文日</t>
    <rPh sb="0" eb="3">
      <t>チュウモンビ</t>
    </rPh>
    <phoneticPr fontId="3"/>
  </si>
  <si>
    <t xml:space="preserve">御会社名: </t>
    <rPh sb="0" eb="4">
      <t>オカイシャメイ</t>
    </rPh>
    <phoneticPr fontId="3"/>
  </si>
  <si>
    <t>株式会社サンファッション</t>
    <rPh sb="0" eb="4">
      <t>カブシキガイシャ</t>
    </rPh>
    <phoneticPr fontId="3"/>
  </si>
  <si>
    <t xml:space="preserve">御住所: </t>
    <rPh sb="0" eb="3">
      <t>ゴジュウショ</t>
    </rPh>
    <phoneticPr fontId="3"/>
  </si>
  <si>
    <t>〒553-0003　大阪府大阪市福島区福島8丁目21番10号</t>
    <rPh sb="10" eb="13">
      <t>オオサカフ</t>
    </rPh>
    <rPh sb="13" eb="16">
      <t>オオサカシ</t>
    </rPh>
    <rPh sb="16" eb="19">
      <t>フクシマク</t>
    </rPh>
    <rPh sb="19" eb="21">
      <t>フクシマ</t>
    </rPh>
    <rPh sb="22" eb="24">
      <t>チョウメ</t>
    </rPh>
    <rPh sb="26" eb="27">
      <t>バン</t>
    </rPh>
    <rPh sb="29" eb="30">
      <t>ゴウ</t>
    </rPh>
    <phoneticPr fontId="3"/>
  </si>
  <si>
    <t>Tel: 06-6455-2850 (代)</t>
    <rPh sb="19" eb="20">
      <t>ダイ</t>
    </rPh>
    <phoneticPr fontId="3"/>
  </si>
  <si>
    <t xml:space="preserve">部署: </t>
    <rPh sb="0" eb="2">
      <t>ブショ</t>
    </rPh>
    <phoneticPr fontId="3"/>
  </si>
  <si>
    <t>貿易部</t>
    <rPh sb="0" eb="3">
      <t>ボウエキブ</t>
    </rPh>
    <phoneticPr fontId="3"/>
  </si>
  <si>
    <t xml:space="preserve">ご担当様: </t>
    <rPh sb="1" eb="4">
      <t>タントウサマ</t>
    </rPh>
    <phoneticPr fontId="3"/>
  </si>
  <si>
    <t>メモ</t>
    <phoneticPr fontId="3"/>
  </si>
  <si>
    <t xml:space="preserve">Tel: </t>
    <phoneticPr fontId="3"/>
  </si>
  <si>
    <t>貼付け開始行</t>
    <rPh sb="0" eb="2">
      <t>ハリツ</t>
    </rPh>
    <rPh sb="3" eb="5">
      <t>カイシ</t>
    </rPh>
    <rPh sb="5" eb="6">
      <t>ギョウ</t>
    </rPh>
    <phoneticPr fontId="3"/>
  </si>
  <si>
    <t>明細開始行</t>
    <rPh sb="0" eb="2">
      <t>メイサイ</t>
    </rPh>
    <rPh sb="2" eb="5">
      <t>カイシギョウ</t>
    </rPh>
    <phoneticPr fontId="3"/>
  </si>
  <si>
    <t>明細終了行</t>
    <rPh sb="0" eb="2">
      <t>メイサイ</t>
    </rPh>
    <rPh sb="2" eb="5">
      <t>シュウリョウギョウ</t>
    </rPh>
    <phoneticPr fontId="3"/>
  </si>
  <si>
    <t>貼付け開始行</t>
    <rPh sb="0" eb="2">
      <t>ハリツ</t>
    </rPh>
    <rPh sb="3" eb="6">
      <t>カイシギョウ</t>
    </rPh>
    <phoneticPr fontId="3"/>
  </si>
  <si>
    <t>注記開始行</t>
    <rPh sb="0" eb="2">
      <t>チュウキ</t>
    </rPh>
    <rPh sb="2" eb="5">
      <t>カイシギョウ</t>
    </rPh>
    <phoneticPr fontId="3"/>
  </si>
  <si>
    <t>注記終了行</t>
    <rPh sb="0" eb="2">
      <t>チュウキ</t>
    </rPh>
    <rPh sb="2" eb="5">
      <t>シュウリョウギョウ</t>
    </rPh>
    <phoneticPr fontId="3"/>
  </si>
  <si>
    <t>メモ開始行</t>
    <rPh sb="2" eb="5">
      <t>カイシギョウ</t>
    </rPh>
    <phoneticPr fontId="3"/>
  </si>
  <si>
    <t>メモ終了行</t>
    <rPh sb="2" eb="5">
      <t>シュウリョウギョウ</t>
    </rPh>
    <phoneticPr fontId="3"/>
  </si>
  <si>
    <t>当社注文番号</t>
    <rPh sb="0" eb="2">
      <t>トウシャ</t>
    </rPh>
    <rPh sb="2" eb="6">
      <t>チュウモンバンゴウ</t>
    </rPh>
    <phoneticPr fontId="3"/>
  </si>
  <si>
    <t>SF米国と連動</t>
    <rPh sb="2" eb="4">
      <t>ベイコク</t>
    </rPh>
    <rPh sb="5" eb="7">
      <t>レンドウ</t>
    </rPh>
    <phoneticPr fontId="3"/>
  </si>
  <si>
    <t>No.</t>
  </si>
  <si>
    <r>
      <rPr>
        <b/>
        <sz val="11"/>
        <rFont val="MS UI Gothic"/>
        <family val="3"/>
        <charset val="128"/>
      </rPr>
      <t>品番</t>
    </r>
    <rPh sb="0" eb="2">
      <t>ヒンバン</t>
    </rPh>
    <phoneticPr fontId="3"/>
  </si>
  <si>
    <t>サイズ</t>
  </si>
  <si>
    <r>
      <rPr>
        <b/>
        <sz val="11"/>
        <rFont val="MS UI Gothic"/>
        <family val="3"/>
        <charset val="128"/>
      </rPr>
      <t>色番</t>
    </r>
    <rPh sb="0" eb="1">
      <t>イロ</t>
    </rPh>
    <rPh sb="1" eb="2">
      <t>バン</t>
    </rPh>
    <phoneticPr fontId="3"/>
  </si>
  <si>
    <r>
      <rPr>
        <b/>
        <sz val="11"/>
        <rFont val="MS UI Gothic"/>
        <family val="3"/>
        <charset val="128"/>
      </rPr>
      <t>仕立</t>
    </r>
    <rPh sb="0" eb="2">
      <t>シタテ</t>
    </rPh>
    <phoneticPr fontId="3"/>
  </si>
  <si>
    <r>
      <rPr>
        <b/>
        <sz val="11"/>
        <rFont val="MS UI Gothic"/>
        <family val="3"/>
        <charset val="128"/>
      </rPr>
      <t>反数</t>
    </r>
    <rPh sb="0" eb="1">
      <t>ハン</t>
    </rPh>
    <rPh sb="1" eb="2">
      <t>スウ</t>
    </rPh>
    <phoneticPr fontId="3"/>
  </si>
  <si>
    <r>
      <rPr>
        <b/>
        <sz val="11"/>
        <rFont val="MS UI Gothic"/>
        <family val="3"/>
        <charset val="128"/>
      </rPr>
      <t>数量</t>
    </r>
    <rPh sb="0" eb="2">
      <t>スウリョウ</t>
    </rPh>
    <phoneticPr fontId="3"/>
  </si>
  <si>
    <r>
      <rPr>
        <b/>
        <sz val="11"/>
        <rFont val="MS UI Gothic"/>
        <family val="3"/>
        <charset val="128"/>
      </rPr>
      <t>単価</t>
    </r>
    <rPh sb="0" eb="2">
      <t>タンカ</t>
    </rPh>
    <phoneticPr fontId="3"/>
  </si>
  <si>
    <r>
      <rPr>
        <b/>
        <sz val="11"/>
        <rFont val="MS UI Gothic"/>
        <family val="3"/>
        <charset val="128"/>
      </rPr>
      <t>金額</t>
    </r>
    <rPh sb="0" eb="2">
      <t>キンガク</t>
    </rPh>
    <phoneticPr fontId="3"/>
  </si>
  <si>
    <r>
      <rPr>
        <b/>
        <sz val="11"/>
        <rFont val="MS UI Gothic"/>
        <family val="3"/>
        <charset val="128"/>
      </rPr>
      <t>備考</t>
    </r>
    <r>
      <rPr>
        <b/>
        <sz val="11"/>
        <rFont val="Times New Roman"/>
        <family val="1"/>
      </rPr>
      <t>/</t>
    </r>
    <r>
      <rPr>
        <b/>
        <sz val="11"/>
        <rFont val="MS UI Gothic"/>
        <family val="3"/>
        <charset val="128"/>
      </rPr>
      <t>御社品番</t>
    </r>
    <rPh sb="0" eb="2">
      <t>ビコウ</t>
    </rPh>
    <rPh sb="3" eb="5">
      <t>オンシャ</t>
    </rPh>
    <rPh sb="5" eb="7">
      <t>ヒンバン</t>
    </rPh>
    <phoneticPr fontId="3"/>
  </si>
  <si>
    <r>
      <rPr>
        <b/>
        <sz val="11"/>
        <rFont val="MS UI Gothic"/>
        <family val="3"/>
        <charset val="128"/>
      </rPr>
      <t>在庫有無</t>
    </r>
    <rPh sb="0" eb="4">
      <t>ザイコウム</t>
    </rPh>
    <phoneticPr fontId="3"/>
  </si>
  <si>
    <r>
      <rPr>
        <b/>
        <sz val="11"/>
        <rFont val="MS UI Gothic"/>
        <family val="3"/>
        <charset val="128"/>
      </rPr>
      <t>納期</t>
    </r>
    <rPh sb="0" eb="2">
      <t>ノウキ</t>
    </rPh>
    <phoneticPr fontId="3"/>
  </si>
  <si>
    <t xml:space="preserve">L size </t>
    <phoneticPr fontId="3"/>
  </si>
  <si>
    <t>150m</t>
    <phoneticPr fontId="3"/>
  </si>
  <si>
    <t>シート名1</t>
    <rPh sb="3" eb="4">
      <t>メイ</t>
    </rPh>
    <phoneticPr fontId="3"/>
  </si>
  <si>
    <t>シート名2</t>
    <rPh sb="3" eb="4">
      <t>メイ</t>
    </rPh>
    <phoneticPr fontId="3"/>
  </si>
  <si>
    <t>BackOrder</t>
    <phoneticPr fontId="3"/>
  </si>
  <si>
    <t>シート名</t>
    <rPh sb="3" eb="4">
      <t>メイ</t>
    </rPh>
    <phoneticPr fontId="3"/>
  </si>
  <si>
    <t>Osaka, Japan</t>
    <phoneticPr fontId="3"/>
  </si>
  <si>
    <t>Payment Due</t>
    <phoneticPr fontId="3"/>
  </si>
  <si>
    <t>Courier Account#</t>
    <phoneticPr fontId="3"/>
  </si>
  <si>
    <t>U.S.A.</t>
    <phoneticPr fontId="3"/>
  </si>
  <si>
    <t>-</t>
    <phoneticPr fontId="3"/>
  </si>
  <si>
    <t>RD-230119</t>
  </si>
  <si>
    <t>687 985 2585</t>
    <phoneticPr fontId="3"/>
  </si>
  <si>
    <t>①入力してください</t>
    <rPh sb="1" eb="3">
      <t>ニュウリョク</t>
    </rPh>
    <phoneticPr fontId="3"/>
  </si>
  <si>
    <t>↓⑦指定したデータ範囲をBackOrderから明細にコピー</t>
    <rPh sb="2" eb="4">
      <t>シテイ</t>
    </rPh>
    <rPh sb="9" eb="11">
      <t>ハンイ</t>
    </rPh>
    <rPh sb="23" eb="25">
      <t>メイサイ</t>
    </rPh>
    <phoneticPr fontId="3"/>
  </si>
  <si>
    <t>↓⑧データ入力が完了したら、下のボタンからファイルを保存して下さい：</t>
    <rPh sb="5" eb="7">
      <t>ニュウリョク</t>
    </rPh>
    <rPh sb="8" eb="10">
      <t>カンリョウ</t>
    </rPh>
    <rPh sb="14" eb="15">
      <t>シタ</t>
    </rPh>
    <rPh sb="26" eb="28">
      <t>ホゾン</t>
    </rPh>
    <rPh sb="30" eb="31">
      <t>クダ</t>
    </rPh>
    <phoneticPr fontId="3"/>
  </si>
  <si>
    <t>②選択してください</t>
    <rPh sb="1" eb="3">
      <t>センタク</t>
    </rPh>
    <phoneticPr fontId="3"/>
  </si>
  <si>
    <t>↓データ開始/終了行の参考用です</t>
    <rPh sb="4" eb="6">
      <t>カイシ</t>
    </rPh>
    <rPh sb="7" eb="10">
      <t>シュウリョウギョウ</t>
    </rPh>
    <rPh sb="11" eb="14">
      <t>サンコウヨウ</t>
    </rPh>
    <phoneticPr fontId="3"/>
  </si>
  <si>
    <t>③選択してください</t>
    <rPh sb="1" eb="3">
      <t>センタク</t>
    </rPh>
    <phoneticPr fontId="3"/>
  </si>
  <si>
    <t>④入力してください</t>
    <rPh sb="1" eb="3">
      <t>ニュウリョク</t>
    </rPh>
    <phoneticPr fontId="3"/>
  </si>
  <si>
    <t>⑤入力してください</t>
    <rPh sb="1" eb="3">
      <t>ニュウリョク</t>
    </rPh>
    <phoneticPr fontId="3"/>
  </si>
  <si>
    <t>：水色のセルは全て入力して下さい</t>
    <rPh sb="1" eb="3">
      <t>ミズイロ</t>
    </rPh>
    <rPh sb="7" eb="8">
      <t>スベ</t>
    </rPh>
    <rPh sb="9" eb="11">
      <t>ニュウリョク</t>
    </rPh>
    <rPh sb="13" eb="14">
      <t>クダ</t>
    </rPh>
    <phoneticPr fontId="3"/>
  </si>
  <si>
    <t>⑥入力してください</t>
    <rPh sb="1" eb="3">
      <t>ニュウリョク</t>
    </rPh>
    <phoneticPr fontId="3"/>
  </si>
  <si>
    <t>マクロ設定用
(変更しないで)</t>
    <rPh sb="3" eb="6">
      <t>セッテイヨウ</t>
    </rPh>
    <rPh sb="8" eb="10">
      <t>ヘンコウ</t>
    </rPh>
    <phoneticPr fontId="3"/>
  </si>
  <si>
    <t>改行位置検出</t>
    <rPh sb="0" eb="2">
      <t>カイギョウ</t>
    </rPh>
    <rPh sb="2" eb="4">
      <t>イチ</t>
    </rPh>
    <rPh sb="4" eb="6">
      <t>ケンシュツ</t>
    </rPh>
    <phoneticPr fontId="3"/>
  </si>
  <si>
    <t>作業中ユーザー</t>
    <rPh sb="0" eb="3">
      <t>サギョウチュウ</t>
    </rPh>
    <phoneticPr fontId="3"/>
  </si>
  <si>
    <t>保存フォルダ</t>
    <rPh sb="0" eb="2">
      <t>ホゾン</t>
    </rPh>
    <phoneticPr fontId="3"/>
  </si>
  <si>
    <t>←取引先マスタのAccount#を呼び出し</t>
    <rPh sb="1" eb="4">
      <t>トリヒキサキ</t>
    </rPh>
    <rPh sb="17" eb="18">
      <t>ヨ</t>
    </rPh>
    <rPh sb="19" eb="20">
      <t>ダ</t>
    </rPh>
    <phoneticPr fontId="3"/>
  </si>
  <si>
    <t>改行位置判定(69行目）</t>
    <rPh sb="0" eb="6">
      <t>カイギョウイチハンテイ</t>
    </rPh>
    <rPh sb="9" eb="11">
      <t>ギョウメ</t>
    </rPh>
    <phoneticPr fontId="3"/>
  </si>
  <si>
    <t>改行位置検出</t>
    <rPh sb="0" eb="4">
      <t>カイギョウイチ</t>
    </rPh>
    <rPh sb="4" eb="6">
      <t>ケンシュツ</t>
    </rPh>
    <phoneticPr fontId="3"/>
  </si>
  <si>
    <t>予備項目(1)</t>
    <rPh sb="0" eb="4">
      <t>ヨビコウモク</t>
    </rPh>
    <phoneticPr fontId="3"/>
  </si>
  <si>
    <t>予備項目(2)</t>
    <rPh sb="0" eb="4">
      <t>ヨビコウモク</t>
    </rPh>
    <phoneticPr fontId="3"/>
  </si>
  <si>
    <t>③入力してください</t>
    <rPh sb="1" eb="3">
      <t>ニュウリョク</t>
    </rPh>
    <phoneticPr fontId="3"/>
  </si>
  <si>
    <t>↓⑥指定したデータ範囲をBackOrderから明細にコピー</t>
    <rPh sb="2" eb="4">
      <t>シテイ</t>
    </rPh>
    <rPh sb="9" eb="11">
      <t>ハンイ</t>
    </rPh>
    <rPh sb="23" eb="25">
      <t>メイサイ</t>
    </rPh>
    <phoneticPr fontId="3"/>
  </si>
  <si>
    <t>↓⑦データ入力が完了したら、下のボタンからファイルを保存して下さい：</t>
    <rPh sb="5" eb="7">
      <t>ニュウリョク</t>
    </rPh>
    <rPh sb="8" eb="10">
      <t>カンリョウ</t>
    </rPh>
    <rPh sb="14" eb="15">
      <t>シタ</t>
    </rPh>
    <rPh sb="26" eb="28">
      <t>ホゾン</t>
    </rPh>
    <rPh sb="30" eb="31">
      <t>クダ</t>
    </rPh>
    <phoneticPr fontId="3"/>
  </si>
  <si>
    <t>改行位置判定</t>
    <rPh sb="0" eb="4">
      <t>カイギョウイチ</t>
    </rPh>
    <rPh sb="4" eb="6">
      <t>ハンテイ</t>
    </rPh>
    <phoneticPr fontId="3"/>
  </si>
  <si>
    <t>②入力してください</t>
    <rPh sb="1" eb="3">
      <t>ニュウリョク</t>
    </rPh>
    <phoneticPr fontId="3"/>
  </si>
  <si>
    <r>
      <t>SF America Invoice</t>
    </r>
    <r>
      <rPr>
        <sz val="11"/>
        <rFont val="Yu Gothic"/>
        <family val="1"/>
        <charset val="128"/>
      </rPr>
      <t>を出力</t>
    </r>
    <rPh sb="19" eb="21">
      <t>シュツリョク</t>
    </rPh>
    <phoneticPr fontId="3"/>
  </si>
  <si>
    <r>
      <t>SF Osaka Invoice</t>
    </r>
    <r>
      <rPr>
        <sz val="11"/>
        <rFont val="Yu Gothic"/>
        <family val="1"/>
        <charset val="128"/>
      </rPr>
      <t>を出力</t>
    </r>
    <rPh sb="17" eb="19">
      <t>シュツリョク</t>
    </rPh>
    <phoneticPr fontId="3"/>
  </si>
  <si>
    <r>
      <rPr>
        <sz val="11"/>
        <rFont val="ＭＳ Ｐゴシック"/>
        <family val="3"/>
        <charset val="128"/>
      </rPr>
      <t>両方の</t>
    </r>
    <r>
      <rPr>
        <sz val="11"/>
        <rFont val="Times New Roman"/>
        <family val="1"/>
      </rPr>
      <t>Invoice</t>
    </r>
    <r>
      <rPr>
        <sz val="11"/>
        <rFont val="Yu Gothic"/>
        <family val="1"/>
        <charset val="128"/>
      </rPr>
      <t>を出力</t>
    </r>
    <rPh sb="0" eb="2">
      <t>リョウホウ</t>
    </rPh>
    <rPh sb="11" eb="13">
      <t>シュツリョク</t>
    </rPh>
    <phoneticPr fontId="3"/>
  </si>
  <si>
    <t>FedEx 726188874</t>
  </si>
  <si>
    <t xml:space="preserve">FedEx A/C: 535860300 </t>
    <phoneticPr fontId="3"/>
  </si>
  <si>
    <t>UPS A/C: 6471TT</t>
    <phoneticPr fontId="3"/>
  </si>
  <si>
    <t xml:space="preserve">JWU LLC </t>
    <phoneticPr fontId="3"/>
  </si>
  <si>
    <t>240 West 35th St. 11FL</t>
    <phoneticPr fontId="3"/>
  </si>
  <si>
    <t>Tel: 401 529 9925</t>
    <phoneticPr fontId="3"/>
  </si>
  <si>
    <t>2423 E. 23rd Street</t>
  </si>
  <si>
    <t>Tel: 323-582-1005</t>
  </si>
  <si>
    <t>Tel: 01 53 38 48 20</t>
  </si>
  <si>
    <t>サンコロナ小田株式会社</t>
    <rPh sb="5" eb="7">
      <t>オダ</t>
    </rPh>
    <rPh sb="7" eb="11">
      <t>カブシキガイシャ</t>
    </rPh>
    <phoneticPr fontId="3"/>
  </si>
  <si>
    <t>8782</t>
    <phoneticPr fontId="3"/>
  </si>
  <si>
    <t>Lace (699円/m以下)</t>
    <rPh sb="9" eb="10">
      <t>エン</t>
    </rPh>
    <rPh sb="12" eb="14">
      <t>イカ</t>
    </rPh>
    <phoneticPr fontId="3"/>
  </si>
  <si>
    <t>Lace (700円/m以上)</t>
    <rPh sb="9" eb="10">
      <t>エン</t>
    </rPh>
    <rPh sb="12" eb="14">
      <t>イジョウ</t>
    </rPh>
    <phoneticPr fontId="3"/>
  </si>
  <si>
    <r>
      <t xml:space="preserve">Osaka </t>
    </r>
    <r>
      <rPr>
        <b/>
        <sz val="10"/>
        <rFont val="ＭＳ Ｐゴシック"/>
        <family val="3"/>
        <charset val="128"/>
      </rPr>
      <t>→</t>
    </r>
    <r>
      <rPr>
        <b/>
        <sz val="10"/>
        <rFont val="Arial"/>
        <family val="2"/>
      </rPr>
      <t>NY Sub ttl</t>
    </r>
    <phoneticPr fontId="3"/>
  </si>
  <si>
    <r>
      <t>2022 June 21st -</t>
    </r>
    <r>
      <rPr>
        <b/>
        <sz val="10"/>
        <color indexed="10"/>
        <rFont val="ＭＳ Ｐゴシック"/>
        <family val="3"/>
        <charset val="128"/>
      </rPr>
      <t>　レート</t>
    </r>
    <r>
      <rPr>
        <b/>
        <sz val="10"/>
        <color indexed="10"/>
        <rFont val="Arial"/>
        <family val="2"/>
      </rPr>
      <t>120</t>
    </r>
    <r>
      <rPr>
        <b/>
        <sz val="10"/>
        <color indexed="10"/>
        <rFont val="Arial"/>
        <family val="2"/>
      </rPr>
      <t xml:space="preserve"> (</t>
    </r>
    <r>
      <rPr>
        <b/>
        <sz val="10"/>
        <color indexed="10"/>
        <rFont val="ＭＳ Ｐゴシック"/>
        <family val="3"/>
        <charset val="128"/>
      </rPr>
      <t>トリム</t>
    </r>
    <r>
      <rPr>
        <b/>
        <sz val="10"/>
        <color indexed="10"/>
        <rFont val="Arial"/>
        <family val="2"/>
      </rPr>
      <t xml:space="preserve">max border 55% ÷0.45) </t>
    </r>
    <phoneticPr fontId="3"/>
  </si>
  <si>
    <r>
      <t xml:space="preserve">Trim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0.7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120 ) </t>
    </r>
    <rPh sb="52" eb="54">
      <t>ケイサン</t>
    </rPh>
    <rPh sb="55" eb="57">
      <t>コキャク</t>
    </rPh>
    <rPh sb="57" eb="59">
      <t>タンカ</t>
    </rPh>
    <rPh sb="60" eb="61">
      <t>モト</t>
    </rPh>
    <rPh sb="66" eb="68">
      <t>シイレ</t>
    </rPh>
    <rPh sb="68" eb="70">
      <t>タンカ</t>
    </rPh>
    <rPh sb="82" eb="84">
      <t>タンカ</t>
    </rPh>
    <rPh sb="86" eb="88">
      <t>テキヨウ</t>
    </rPh>
    <phoneticPr fontId="3"/>
  </si>
  <si>
    <r>
      <t xml:space="preserve">Fabric 20%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8%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120 ) </t>
    </r>
    <rPh sb="53" eb="55">
      <t>ケイサン</t>
    </rPh>
    <rPh sb="56" eb="58">
      <t>コキャク</t>
    </rPh>
    <rPh sb="58" eb="60">
      <t>タンカ</t>
    </rPh>
    <rPh sb="61" eb="62">
      <t>モト</t>
    </rPh>
    <rPh sb="67" eb="69">
      <t>シイレ</t>
    </rPh>
    <rPh sb="69" eb="71">
      <t>タンカ</t>
    </rPh>
    <rPh sb="83" eb="85">
      <t>タンカ</t>
    </rPh>
    <rPh sb="87" eb="89">
      <t>テキヨウ</t>
    </rPh>
    <rPh sb="103" eb="105">
      <t>シイレ</t>
    </rPh>
    <rPh sb="105" eb="107">
      <t>タンカ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</si>
  <si>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</t>
    </r>
    <r>
      <rPr>
        <b/>
        <sz val="10"/>
        <color indexed="10"/>
        <rFont val="Arial"/>
        <family val="2"/>
      </rPr>
      <t>699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以下</t>
    </r>
    <r>
      <rPr>
        <b/>
        <sz val="10"/>
        <color indexed="10"/>
        <rFont val="Arial"/>
        <family val="2"/>
      </rPr>
      <t xml:space="preserve">)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>÷0.7÷</t>
    </r>
    <r>
      <rPr>
        <b/>
        <sz val="10"/>
        <color indexed="10"/>
        <rFont val="Arial"/>
        <family val="2"/>
      </rPr>
      <t>120</t>
    </r>
    <r>
      <rPr>
        <b/>
        <sz val="10"/>
        <color indexed="10"/>
        <rFont val="Arial"/>
        <family val="2"/>
      </rPr>
      <t xml:space="preserve"> ) </t>
    </r>
    <rPh sb="13" eb="15">
      <t>イカ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</si>
  <si>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( 700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以上</t>
    </r>
    <r>
      <rPr>
        <b/>
        <sz val="10"/>
        <color indexed="10"/>
        <rFont val="Arial"/>
        <family val="2"/>
      </rPr>
      <t xml:space="preserve">) 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>÷0.88÷</t>
    </r>
    <r>
      <rPr>
        <b/>
        <sz val="10"/>
        <color indexed="10"/>
        <rFont val="Arial"/>
        <family val="2"/>
      </rPr>
      <t>120</t>
    </r>
    <r>
      <rPr>
        <b/>
        <sz val="10"/>
        <color indexed="10"/>
        <rFont val="Arial"/>
        <family val="2"/>
      </rPr>
      <t xml:space="preserve"> ) </t>
    </r>
    <rPh sb="48" eb="49">
      <t>ノコ</t>
    </rPh>
    <phoneticPr fontId="3"/>
  </si>
  <si>
    <r>
      <rPr>
        <b/>
        <sz val="10"/>
        <color indexed="10"/>
        <rFont val="ＭＳ Ｐゴシック"/>
        <family val="3"/>
        <charset val="128"/>
      </rPr>
      <t>その他</t>
    </r>
    <r>
      <rPr>
        <b/>
        <sz val="10"/>
        <color indexed="10"/>
        <rFont val="Arial"/>
        <family val="2"/>
      </rPr>
      <t xml:space="preserve">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120 ) </t>
    </r>
    <rPh sb="2" eb="3">
      <t>ホカ</t>
    </rPh>
    <rPh sb="28" eb="29">
      <t>ノコ</t>
    </rPh>
    <rPh sb="46" eb="48">
      <t>ケイサン</t>
    </rPh>
    <rPh sb="49" eb="51">
      <t>コキャク</t>
    </rPh>
    <rPh sb="51" eb="53">
      <t>タンカ</t>
    </rPh>
    <rPh sb="54" eb="55">
      <t>モト</t>
    </rPh>
    <rPh sb="60" eb="62">
      <t>シイレ</t>
    </rPh>
    <rPh sb="62" eb="64">
      <t>タンカ</t>
    </rPh>
    <rPh sb="76" eb="78">
      <t>タンカ</t>
    </rPh>
    <rPh sb="80" eb="82">
      <t>テキヨウ</t>
    </rPh>
    <phoneticPr fontId="3"/>
  </si>
  <si>
    <r>
      <t xml:space="preserve">Trim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0.7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90 ) </t>
    </r>
    <rPh sb="52" eb="54">
      <t>ケイサン</t>
    </rPh>
    <rPh sb="55" eb="57">
      <t>コキャク</t>
    </rPh>
    <rPh sb="57" eb="59">
      <t>タンカ</t>
    </rPh>
    <rPh sb="60" eb="61">
      <t>モト</t>
    </rPh>
    <rPh sb="66" eb="68">
      <t>シイレ</t>
    </rPh>
    <rPh sb="68" eb="70">
      <t>タンカ</t>
    </rPh>
    <rPh sb="82" eb="84">
      <t>タンカ</t>
    </rPh>
    <rPh sb="86" eb="88">
      <t>テキヨウ</t>
    </rPh>
    <phoneticPr fontId="3"/>
  </si>
  <si>
    <r>
      <t xml:space="preserve">Fabric 20%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8%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90 ) </t>
    </r>
    <rPh sb="53" eb="55">
      <t>ケイサン</t>
    </rPh>
    <rPh sb="56" eb="58">
      <t>コキャク</t>
    </rPh>
    <rPh sb="58" eb="60">
      <t>タンカ</t>
    </rPh>
    <rPh sb="61" eb="62">
      <t>モト</t>
    </rPh>
    <rPh sb="67" eb="69">
      <t>シイレ</t>
    </rPh>
    <rPh sb="69" eb="71">
      <t>タンカ</t>
    </rPh>
    <rPh sb="83" eb="85">
      <t>タンカ</t>
    </rPh>
    <rPh sb="87" eb="89">
      <t>テキヨウ</t>
    </rPh>
    <rPh sb="103" eb="105">
      <t>シイレ</t>
    </rPh>
    <rPh sb="105" eb="107">
      <t>タンカ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</si>
  <si>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</t>
    </r>
    <r>
      <rPr>
        <b/>
        <sz val="10"/>
        <color indexed="10"/>
        <rFont val="Arial"/>
        <family val="2"/>
      </rPr>
      <t>699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以下</t>
    </r>
    <r>
      <rPr>
        <b/>
        <sz val="10"/>
        <color indexed="10"/>
        <rFont val="Arial"/>
        <family val="2"/>
      </rPr>
      <t xml:space="preserve">)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 xml:space="preserve">÷0.7÷90 ) </t>
    </r>
    <rPh sb="13" eb="15">
      <t>イカ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</si>
  <si>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( 700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以上</t>
    </r>
    <r>
      <rPr>
        <b/>
        <sz val="10"/>
        <color indexed="10"/>
        <rFont val="Arial"/>
        <family val="2"/>
      </rPr>
      <t xml:space="preserve">) 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 xml:space="preserve">÷0.88÷90 ) </t>
    </r>
    <rPh sb="48" eb="49">
      <t>ノコ</t>
    </rPh>
    <phoneticPr fontId="3"/>
  </si>
  <si>
    <r>
      <rPr>
        <b/>
        <sz val="10"/>
        <color indexed="10"/>
        <rFont val="ＭＳ Ｐゴシック"/>
        <family val="3"/>
        <charset val="128"/>
      </rPr>
      <t>その他</t>
    </r>
    <r>
      <rPr>
        <b/>
        <sz val="10"/>
        <color indexed="10"/>
        <rFont val="Arial"/>
        <family val="2"/>
      </rPr>
      <t xml:space="preserve">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90 ) </t>
    </r>
    <rPh sb="2" eb="3">
      <t>ホカ</t>
    </rPh>
    <rPh sb="28" eb="29">
      <t>ノコ</t>
    </rPh>
    <rPh sb="46" eb="48">
      <t>ケイサン</t>
    </rPh>
    <rPh sb="49" eb="51">
      <t>コキャク</t>
    </rPh>
    <rPh sb="51" eb="53">
      <t>タンカ</t>
    </rPh>
    <rPh sb="54" eb="55">
      <t>モト</t>
    </rPh>
    <rPh sb="60" eb="62">
      <t>シイレ</t>
    </rPh>
    <rPh sb="62" eb="64">
      <t>タンカ</t>
    </rPh>
    <rPh sb="76" eb="78">
      <t>タンカ</t>
    </rPh>
    <rPh sb="80" eb="82">
      <t>テキヨウ</t>
    </rPh>
    <phoneticPr fontId="3"/>
  </si>
  <si>
    <t xml:space="preserve"># 25 Black </t>
    <phoneticPr fontId="3"/>
  </si>
  <si>
    <t xml:space="preserve"># 8 Baby Blue </t>
    <phoneticPr fontId="3"/>
  </si>
  <si>
    <t xml:space="preserve"># 19 Grey </t>
    <phoneticPr fontId="3"/>
  </si>
  <si>
    <t>M2017</t>
    <phoneticPr fontId="3"/>
  </si>
  <si>
    <t xml:space="preserve"># 208 </t>
    <phoneticPr fontId="3"/>
  </si>
  <si>
    <t># 33</t>
    <phoneticPr fontId="3"/>
  </si>
  <si>
    <t>Double Faced Velveteen Ribbon Rayon-89%, Nylon-11%</t>
    <phoneticPr fontId="3"/>
  </si>
  <si>
    <t># 125</t>
    <phoneticPr fontId="3"/>
  </si>
  <si>
    <t># 126</t>
    <phoneticPr fontId="3"/>
  </si>
  <si>
    <t># 222</t>
    <phoneticPr fontId="3"/>
  </si>
  <si>
    <t># 180</t>
    <phoneticPr fontId="3"/>
  </si>
  <si>
    <t># 271</t>
    <phoneticPr fontId="3"/>
  </si>
  <si>
    <t xml:space="preserve"># 76 </t>
    <phoneticPr fontId="3"/>
  </si>
  <si>
    <t xml:space="preserve"># 50 Black </t>
    <phoneticPr fontId="3"/>
  </si>
  <si>
    <t>TI-1050</t>
    <phoneticPr fontId="3"/>
  </si>
  <si>
    <t xml:space="preserve"># SG01 White </t>
    <phoneticPr fontId="3"/>
  </si>
  <si>
    <t xml:space="preserve"># SG04 Black </t>
    <phoneticPr fontId="3"/>
  </si>
  <si>
    <t xml:space="preserve"># R-4 Black </t>
    <phoneticPr fontId="3"/>
  </si>
  <si>
    <t>FWL-41079S</t>
    <phoneticPr fontId="3"/>
  </si>
  <si>
    <t>FWL-41035S</t>
    <phoneticPr fontId="3"/>
  </si>
  <si>
    <t># 230 Heather Grey</t>
    <phoneticPr fontId="3"/>
  </si>
  <si>
    <t xml:space="preserve">Creative Design </t>
    <phoneticPr fontId="3"/>
  </si>
  <si>
    <t># 92</t>
    <phoneticPr fontId="3"/>
  </si>
  <si>
    <t># 270</t>
    <phoneticPr fontId="3"/>
  </si>
  <si>
    <t># 84</t>
    <phoneticPr fontId="3"/>
  </si>
  <si>
    <t># 47</t>
    <phoneticPr fontId="3"/>
  </si>
  <si>
    <t>KYL-76620</t>
    <phoneticPr fontId="3"/>
  </si>
  <si>
    <t>5603 :C/# 31 Black x Black Cel Tip (15mm )</t>
    <phoneticPr fontId="3"/>
  </si>
  <si>
    <t>5603 :C/# 30 Midnight x Black Cel Tip (15mm )</t>
    <phoneticPr fontId="3"/>
  </si>
  <si>
    <t>5603 :C/# 09 Ivory x White Cel Tip (15mm )</t>
    <phoneticPr fontId="3"/>
  </si>
  <si>
    <t>ZMG0772</t>
    <phoneticPr fontId="3"/>
  </si>
  <si>
    <t>DTM TOFU( 11-4801TPG)</t>
    <phoneticPr fontId="3"/>
  </si>
  <si>
    <t>DTM Pistachio Shell(12-0110TPG)</t>
    <phoneticPr fontId="3"/>
  </si>
  <si>
    <t>ZMA2851</t>
    <phoneticPr fontId="3"/>
  </si>
  <si>
    <t>Nylon:65%,Cationic Polyester:35%</t>
    <phoneticPr fontId="3"/>
  </si>
  <si>
    <t>ZKC4151</t>
    <phoneticPr fontId="3"/>
  </si>
  <si>
    <t>ZMT3451</t>
    <phoneticPr fontId="3"/>
  </si>
  <si>
    <t># 21</t>
    <phoneticPr fontId="3"/>
  </si>
  <si>
    <t># 107</t>
    <phoneticPr fontId="3"/>
  </si>
  <si>
    <t># 104</t>
    <phoneticPr fontId="3"/>
  </si>
  <si>
    <t>KYL-875004GL6</t>
    <phoneticPr fontId="3"/>
  </si>
  <si>
    <t>Olive (Gold x Gray)</t>
    <phoneticPr fontId="3"/>
  </si>
  <si>
    <t>KYL-875004GL7</t>
    <phoneticPr fontId="3"/>
  </si>
  <si>
    <t>Wine (Gold x Wine)</t>
    <phoneticPr fontId="3"/>
  </si>
  <si>
    <t>KYL-875008GL6</t>
    <phoneticPr fontId="3"/>
  </si>
  <si>
    <t>KYL-875005GL6</t>
    <phoneticPr fontId="3"/>
  </si>
  <si>
    <t># 31 Blush Nude</t>
    <phoneticPr fontId="3"/>
  </si>
  <si>
    <t xml:space="preserve"># 0 Ivory </t>
    <phoneticPr fontId="3"/>
  </si>
  <si>
    <t># 113</t>
    <phoneticPr fontId="3"/>
  </si>
  <si>
    <t># 106</t>
    <phoneticPr fontId="3"/>
  </si>
  <si>
    <t>300m</t>
    <phoneticPr fontId="3"/>
  </si>
  <si>
    <t># SG36 Nude</t>
    <phoneticPr fontId="3"/>
  </si>
  <si>
    <t>TI-10-7095</t>
    <phoneticPr fontId="3"/>
  </si>
  <si>
    <t>PFD (Preventative Yellowing Process)</t>
    <phoneticPr fontId="3"/>
  </si>
  <si>
    <t>Dye Fee for # 10-7095 / PFD</t>
    <phoneticPr fontId="3"/>
  </si>
  <si>
    <t xml:space="preserve">SAKAE Black </t>
    <phoneticPr fontId="3"/>
  </si>
  <si>
    <t xml:space="preserve"> 1 set for Pistachio (USD 40/set )</t>
    <phoneticPr fontId="3"/>
  </si>
  <si>
    <t xml:space="preserve">DTM ( SAKAE ) Black </t>
    <phoneticPr fontId="3"/>
  </si>
  <si>
    <t>Dye Fee for Pistachio</t>
    <phoneticPr fontId="3"/>
  </si>
  <si>
    <t xml:space="preserve">Dye Fee for Black </t>
    <phoneticPr fontId="3"/>
  </si>
  <si>
    <t>Changzhou Hualida Garments Group (Theory )</t>
    <phoneticPr fontId="3"/>
  </si>
  <si>
    <t xml:space="preserve"># 84 Black </t>
    <phoneticPr fontId="3"/>
  </si>
  <si>
    <t>TRL-271447</t>
    <phoneticPr fontId="3"/>
  </si>
  <si>
    <t>KS-9300</t>
    <phoneticPr fontId="3"/>
  </si>
  <si>
    <t>FLR-85019</t>
    <phoneticPr fontId="3"/>
  </si>
  <si>
    <t>FLR-85042</t>
    <phoneticPr fontId="3"/>
  </si>
  <si>
    <t># 28</t>
    <phoneticPr fontId="3"/>
  </si>
  <si>
    <t xml:space="preserve"># FB Black </t>
    <phoneticPr fontId="3"/>
  </si>
  <si>
    <t>Striped Knit Tape  Polyester-100%</t>
    <phoneticPr fontId="3"/>
  </si>
  <si>
    <t>Strawberry Ice277:  x KhakiB8035: x Gardenia298: (13mm each)</t>
    <phoneticPr fontId="3"/>
  </si>
  <si>
    <t># 47 Deep Navy</t>
    <phoneticPr fontId="3"/>
  </si>
  <si>
    <t xml:space="preserve"># 42 Bluestone </t>
    <phoneticPr fontId="3"/>
  </si>
  <si>
    <t>SKL041733</t>
    <phoneticPr fontId="3"/>
  </si>
  <si>
    <t>SKL041732</t>
    <phoneticPr fontId="3"/>
  </si>
  <si>
    <t># A18</t>
    <phoneticPr fontId="3"/>
  </si>
  <si>
    <t># 160</t>
    <phoneticPr fontId="3"/>
  </si>
  <si>
    <t>Yarn CC # 1027 Vanilla</t>
    <phoneticPr fontId="3"/>
  </si>
  <si>
    <t>Yarn CC # 1196 Lilac</t>
    <phoneticPr fontId="3"/>
  </si>
  <si>
    <t xml:space="preserve">Trim Lace  100% Cotton </t>
    <phoneticPr fontId="3"/>
  </si>
  <si>
    <t>KYL-25284-19</t>
    <phoneticPr fontId="3"/>
  </si>
  <si>
    <t>KYL-25284</t>
    <phoneticPr fontId="3"/>
  </si>
  <si>
    <t># 429 Ivory</t>
    <phoneticPr fontId="3"/>
  </si>
  <si>
    <t>KYL-T25281</t>
    <phoneticPr fontId="3"/>
  </si>
  <si>
    <t>KYL-875008S</t>
  </si>
  <si>
    <t xml:space="preserve">Silver </t>
  </si>
  <si>
    <t xml:space="preserve"># 62 </t>
    <phoneticPr fontId="3"/>
  </si>
  <si>
    <t>JQ-2020</t>
    <phoneticPr fontId="3"/>
  </si>
  <si>
    <t># OF  Off White</t>
    <phoneticPr fontId="3"/>
  </si>
  <si>
    <t xml:space="preserve">DTM Pink ( same as ST1010 / Col. 3 ) </t>
    <phoneticPr fontId="3"/>
  </si>
  <si>
    <t>T3500</t>
  </si>
  <si>
    <t>KYL-25483</t>
    <phoneticPr fontId="3"/>
  </si>
  <si>
    <t xml:space="preserve"># 2 Ecru </t>
    <phoneticPr fontId="3"/>
  </si>
  <si>
    <t>DTM Natural</t>
    <phoneticPr fontId="3"/>
  </si>
  <si>
    <r>
      <t xml:space="preserve">01578 </t>
    </r>
    <r>
      <rPr>
        <sz val="12"/>
        <color indexed="10"/>
        <rFont val="Arial"/>
        <family val="2"/>
      </rPr>
      <t>Wng-Yi</t>
    </r>
    <phoneticPr fontId="3"/>
  </si>
  <si>
    <t>CCR-02(M) with Bullet Tip</t>
    <phoneticPr fontId="3"/>
  </si>
  <si>
    <t>CCR-02(M) :C/# L808 Ivory x Silver Bullet Tips(PWP,16mm)</t>
    <phoneticPr fontId="3"/>
  </si>
  <si>
    <t>CCR-02(M) :C/# 34C Moss x Gold Bullet Tips(16mm)</t>
    <phoneticPr fontId="3"/>
  </si>
  <si>
    <t>CCR-02(M) :C/# 50C Black x Silver Bullet Tips(PWP,16mm)</t>
    <phoneticPr fontId="3"/>
  </si>
  <si>
    <t>CCR-02(M) :C/# L732 Sahara x Gold Bullet Tips(16mm)</t>
    <phoneticPr fontId="3"/>
  </si>
  <si>
    <t>Custom Yarn color order (L808 &amp; L732)</t>
    <phoneticPr fontId="3"/>
  </si>
  <si>
    <t>Below min. fee for custom cord (L808 &amp; L732)</t>
    <phoneticPr fontId="3"/>
  </si>
  <si>
    <r>
      <t xml:space="preserve">01579 </t>
    </r>
    <r>
      <rPr>
        <sz val="12"/>
        <color indexed="10"/>
        <rFont val="Arial"/>
        <family val="2"/>
      </rPr>
      <t>Tong Hui</t>
    </r>
    <phoneticPr fontId="3"/>
  </si>
  <si>
    <t>CCR-02(M) :C/# L704 Clear Blue x Silver Bullet Tips(PWP,16mm)</t>
    <phoneticPr fontId="3"/>
  </si>
  <si>
    <t>Custom Yarn color order (L704)</t>
    <phoneticPr fontId="3"/>
  </si>
  <si>
    <t>Below min. fee for cord (L704)</t>
    <phoneticPr fontId="3"/>
  </si>
  <si>
    <t xml:space="preserve"># 45 </t>
    <phoneticPr fontId="3"/>
  </si>
  <si>
    <t>KYL-25540</t>
    <phoneticPr fontId="3"/>
  </si>
  <si>
    <t>KYL-25412</t>
    <phoneticPr fontId="3"/>
  </si>
  <si>
    <t xml:space="preserve">Mill's  Black </t>
    <phoneticPr fontId="3"/>
  </si>
  <si>
    <t xml:space="preserve">FWL-23689-11 </t>
    <phoneticPr fontId="3"/>
  </si>
  <si>
    <t>FWL-23689</t>
    <phoneticPr fontId="3"/>
  </si>
  <si>
    <t>#64</t>
  </si>
  <si>
    <t>#19 Grey</t>
    <phoneticPr fontId="3"/>
  </si>
  <si>
    <t>#25 Black</t>
  </si>
  <si>
    <t xml:space="preserve"># 13 Coral </t>
    <phoneticPr fontId="3"/>
  </si>
  <si>
    <t xml:space="preserve">DTM Navy (19-4024TCX) </t>
    <phoneticPr fontId="3"/>
  </si>
  <si>
    <t>#OF</t>
  </si>
  <si>
    <t>#69</t>
  </si>
  <si>
    <t>#BK</t>
  </si>
  <si>
    <t>#20</t>
  </si>
  <si>
    <t>#26</t>
  </si>
  <si>
    <t>#FB</t>
  </si>
  <si>
    <t xml:space="preserve"># 11 Light Blush from #TI7030  </t>
    <phoneticPr fontId="3"/>
  </si>
  <si>
    <t xml:space="preserve"># 33 Sandstorm </t>
    <phoneticPr fontId="3"/>
  </si>
  <si>
    <t xml:space="preserve">Cutting Fee for test sample </t>
    <phoneticPr fontId="3"/>
  </si>
  <si>
    <t xml:space="preserve">Handling Fee (Inland Freight Charge in Japan) for test sample </t>
    <phoneticPr fontId="3"/>
  </si>
  <si>
    <t xml:space="preserve"># 73 Lilac </t>
    <phoneticPr fontId="3"/>
  </si>
  <si>
    <t># 30 Navy</t>
    <phoneticPr fontId="3"/>
  </si>
  <si>
    <t>KYL-7627</t>
    <phoneticPr fontId="3"/>
  </si>
  <si>
    <t xml:space="preserve">DTM Tickled pink- 14-1910 TPG  </t>
    <phoneticPr fontId="3"/>
  </si>
  <si>
    <t xml:space="preserve">DTM Mellow yellow- 12-0720 TPG </t>
    <phoneticPr fontId="3"/>
  </si>
  <si>
    <t xml:space="preserve">Silver </t>
    <phoneticPr fontId="3"/>
  </si>
  <si>
    <t xml:space="preserve"># 13 Coral test sample </t>
    <phoneticPr fontId="3"/>
  </si>
  <si>
    <t>GB Test for # 13 Coral</t>
    <phoneticPr fontId="3"/>
  </si>
  <si>
    <t xml:space="preserve"># DTM Watermelon </t>
    <phoneticPr fontId="3"/>
  </si>
  <si>
    <t xml:space="preserve">  # 52 Sterling</t>
    <phoneticPr fontId="3"/>
  </si>
  <si>
    <t># 59</t>
    <phoneticPr fontId="3"/>
  </si>
  <si>
    <t xml:space="preserve"># 2 Ivory </t>
    <phoneticPr fontId="3"/>
  </si>
  <si>
    <t>Prepaid</t>
    <phoneticPr fontId="3"/>
  </si>
  <si>
    <t>8400F</t>
    <phoneticPr fontId="3"/>
  </si>
  <si>
    <t>Tory Burch</t>
    <phoneticPr fontId="3"/>
  </si>
  <si>
    <t>105/108cm</t>
    <phoneticPr fontId="3"/>
  </si>
  <si>
    <t xml:space="preserve">Trim Lace   Front Yarn : 100% Rayon / Back Yarn :  100% Cotton </t>
    <phoneticPr fontId="3"/>
  </si>
  <si>
    <t>KYL-875008S</t>
    <phoneticPr fontId="3"/>
  </si>
  <si>
    <t>Silver</t>
    <phoneticPr fontId="3"/>
  </si>
  <si>
    <t xml:space="preserve"># 95 Black </t>
    <phoneticPr fontId="3"/>
  </si>
  <si>
    <t># 2 White</t>
    <phoneticPr fontId="3"/>
  </si>
  <si>
    <t>KYL-24122</t>
  </si>
  <si>
    <t># 101</t>
    <phoneticPr fontId="3"/>
  </si>
  <si>
    <t>KYL-25100</t>
    <phoneticPr fontId="3"/>
  </si>
  <si>
    <t>CCR-02(SS)</t>
    <phoneticPr fontId="3"/>
  </si>
  <si>
    <t># 132</t>
    <phoneticPr fontId="3"/>
  </si>
  <si>
    <t>FWL-24192</t>
    <phoneticPr fontId="3"/>
  </si>
  <si>
    <t>DTM Black</t>
    <phoneticPr fontId="3"/>
  </si>
  <si>
    <t>DTM Mulberry</t>
    <phoneticPr fontId="3"/>
  </si>
  <si>
    <t># 170 Blush</t>
    <phoneticPr fontId="3"/>
  </si>
  <si>
    <t># 55 DARK GREEN</t>
    <phoneticPr fontId="3"/>
  </si>
  <si>
    <t>PO-02618 Punto Group</t>
  </si>
  <si>
    <t xml:space="preserve">Art .# </t>
    <phoneticPr fontId="3"/>
  </si>
  <si>
    <t>FOB JAPAN /m</t>
    <phoneticPr fontId="3"/>
  </si>
  <si>
    <t>920-8</t>
    <phoneticPr fontId="3"/>
  </si>
  <si>
    <t xml:space="preserve">DTM Ivory </t>
    <phoneticPr fontId="3"/>
  </si>
  <si>
    <t>DTM Pink-Nude</t>
    <phoneticPr fontId="3"/>
  </si>
  <si>
    <t>Put-up / roll</t>
    <phoneticPr fontId="3"/>
  </si>
  <si>
    <t xml:space="preserve">Roll Qty </t>
    <phoneticPr fontId="3"/>
  </si>
  <si>
    <t>(Total Qty in yds )</t>
    <phoneticPr fontId="3"/>
  </si>
  <si>
    <t>CIF HK Price  /m</t>
    <phoneticPr fontId="3"/>
  </si>
  <si>
    <t>Off White</t>
    <phoneticPr fontId="3"/>
  </si>
  <si>
    <t>KYL-T23217-19</t>
    <phoneticPr fontId="3"/>
  </si>
  <si>
    <t xml:space="preserve">Mill's Black </t>
  </si>
  <si>
    <t>Off White</t>
  </si>
  <si>
    <t>KYL-T23217-19</t>
  </si>
  <si>
    <t>Mill's Black</t>
  </si>
  <si>
    <t>KYL-T23217-1</t>
  </si>
  <si>
    <t>L/T as of 1st Nov.</t>
    <phoneticPr fontId="3"/>
  </si>
  <si>
    <t>KS-9300</t>
  </si>
  <si>
    <t># 44 Black</t>
  </si>
  <si>
    <t xml:space="preserve">over 10,000m in stock </t>
    <phoneticPr fontId="3"/>
  </si>
  <si>
    <t># 2 White</t>
  </si>
  <si>
    <t>KS-9306</t>
  </si>
  <si>
    <t xml:space="preserve">abt 4 - 5 weeks </t>
    <phoneticPr fontId="3"/>
  </si>
  <si>
    <t># 7</t>
  </si>
  <si>
    <t># 9</t>
  </si>
  <si>
    <t># 12</t>
  </si>
  <si>
    <t># 7</t>
    <phoneticPr fontId="3"/>
  </si>
  <si>
    <t>3 sets (US$ 5/cut )</t>
    <phoneticPr fontId="3"/>
  </si>
  <si>
    <t xml:space="preserve">Additional Qty </t>
    <phoneticPr fontId="3"/>
  </si>
  <si>
    <t xml:space="preserve"># 22 Black </t>
    <phoneticPr fontId="3"/>
  </si>
  <si>
    <t># 20 DK Navy</t>
    <phoneticPr fontId="3"/>
  </si>
  <si>
    <t># 10 Sage</t>
    <phoneticPr fontId="3"/>
  </si>
  <si>
    <t xml:space="preserve"># 1 Optic White </t>
    <phoneticPr fontId="3"/>
  </si>
  <si>
    <t xml:space="preserve"># 131 Nude </t>
    <phoneticPr fontId="3"/>
  </si>
  <si>
    <t xml:space="preserve"># 305 Pale Blue </t>
    <phoneticPr fontId="3"/>
  </si>
  <si>
    <t>TP614848</t>
    <phoneticPr fontId="3"/>
  </si>
  <si>
    <t>KATLEYA (Derek Lam  )</t>
    <phoneticPr fontId="3"/>
  </si>
  <si>
    <t>DTM Saffron</t>
    <phoneticPr fontId="3"/>
  </si>
  <si>
    <t>KYL-23423-19</t>
    <phoneticPr fontId="3"/>
  </si>
  <si>
    <t>FWL-24003</t>
    <phoneticPr fontId="3"/>
  </si>
  <si>
    <t>FWL-3218</t>
    <phoneticPr fontId="3"/>
  </si>
  <si>
    <r>
      <t>T25281-19</t>
    </r>
    <r>
      <rPr>
        <sz val="12"/>
        <color indexed="8"/>
        <rFont val="ＭＳ Ｐゴシック"/>
        <family val="3"/>
        <charset val="128"/>
      </rPr>
      <t>　</t>
    </r>
    <r>
      <rPr>
        <sz val="12"/>
        <color indexed="8"/>
        <rFont val="Calibri"/>
        <family val="2"/>
      </rPr>
      <t>27.4</t>
    </r>
    <r>
      <rPr>
        <sz val="12"/>
        <color indexed="8"/>
        <rFont val="ＭＳ Ｐゴシック"/>
        <family val="3"/>
        <charset val="128"/>
      </rPr>
      <t>ｍキープ済みです。</t>
    </r>
  </si>
  <si>
    <t xml:space="preserve">Approved </t>
    <phoneticPr fontId="3"/>
  </si>
  <si>
    <r>
      <t>（不足出た場合はあと</t>
    </r>
    <r>
      <rPr>
        <sz val="12"/>
        <color indexed="8"/>
        <rFont val="Calibri"/>
        <family val="2"/>
      </rPr>
      <t>T25281-19</t>
    </r>
    <r>
      <rPr>
        <sz val="12"/>
        <color indexed="8"/>
        <rFont val="ＭＳ Ｐゴシック"/>
        <family val="3"/>
        <charset val="128"/>
      </rPr>
      <t>　</t>
    </r>
    <r>
      <rPr>
        <sz val="12"/>
        <color indexed="8"/>
        <rFont val="Calibri"/>
        <family val="2"/>
      </rPr>
      <t>60</t>
    </r>
    <r>
      <rPr>
        <sz val="12"/>
        <color indexed="8"/>
        <rFont val="ＭＳ Ｐゴシック"/>
        <family val="3"/>
        <charset val="128"/>
      </rPr>
      <t>ｍほど残ります。</t>
    </r>
  </si>
  <si>
    <t>KYL-T25281-19</t>
    <phoneticPr fontId="3"/>
  </si>
  <si>
    <r>
      <t>T25281</t>
    </r>
    <r>
      <rPr>
        <sz val="12"/>
        <color indexed="8"/>
        <rFont val="ＭＳ Ｐゴシック"/>
        <family val="3"/>
        <charset val="128"/>
      </rPr>
      <t>オフは</t>
    </r>
    <r>
      <rPr>
        <sz val="12"/>
        <color indexed="8"/>
        <rFont val="Calibri"/>
        <family val="2"/>
      </rPr>
      <t>2/28</t>
    </r>
    <r>
      <rPr>
        <sz val="12"/>
        <color indexed="8"/>
        <rFont val="ＭＳ Ｐゴシック"/>
        <family val="3"/>
        <charset val="128"/>
      </rPr>
      <t>に</t>
    </r>
    <r>
      <rPr>
        <sz val="12"/>
        <color indexed="8"/>
        <rFont val="Calibri"/>
        <family val="2"/>
      </rPr>
      <t>1,800</t>
    </r>
    <r>
      <rPr>
        <sz val="12"/>
        <color indexed="8"/>
        <rFont val="ＭＳ Ｐゴシック"/>
        <family val="3"/>
        <charset val="128"/>
      </rPr>
      <t>ｍに入荷予定になっておりますので</t>
    </r>
  </si>
  <si>
    <t>そのあと染色出来ます。）</t>
  </si>
  <si>
    <t xml:space="preserve">16the March </t>
    <phoneticPr fontId="3"/>
  </si>
  <si>
    <r>
      <t>T8333-19</t>
    </r>
    <r>
      <rPr>
        <sz val="12"/>
        <color indexed="8"/>
        <rFont val="ＭＳ Ｐゴシック"/>
        <family val="3"/>
        <charset val="128"/>
      </rPr>
      <t>　本日染色に出します。</t>
    </r>
    <r>
      <rPr>
        <sz val="12"/>
        <color indexed="8"/>
        <rFont val="Calibri"/>
        <family val="2"/>
      </rPr>
      <t>2/</t>
    </r>
    <r>
      <rPr>
        <sz val="12"/>
        <color indexed="8"/>
        <rFont val="ＭＳ Ｐゴシック"/>
        <family val="3"/>
        <charset val="128"/>
      </rPr>
      <t>末に上がり予定です。</t>
    </r>
  </si>
  <si>
    <t>DTM Midnight Dye Lot 2</t>
    <phoneticPr fontId="3"/>
  </si>
  <si>
    <t>DTM Saffron Dye Lot 2</t>
    <phoneticPr fontId="3"/>
  </si>
  <si>
    <t>MC-gran491</t>
    <phoneticPr fontId="3"/>
  </si>
  <si>
    <t xml:space="preserve"># 321 Mauve </t>
    <phoneticPr fontId="3"/>
  </si>
  <si>
    <t># 308 Blush</t>
    <phoneticPr fontId="3"/>
  </si>
  <si>
    <t xml:space="preserve"># 306 Blush </t>
    <phoneticPr fontId="3"/>
  </si>
  <si>
    <t># A1 Nude</t>
    <phoneticPr fontId="3"/>
  </si>
  <si>
    <t>SKL036137</t>
    <phoneticPr fontId="3"/>
  </si>
  <si>
    <t>KYL-24241</t>
    <phoneticPr fontId="3"/>
  </si>
  <si>
    <t>DTM Dark Purple Grey</t>
    <phoneticPr fontId="3"/>
  </si>
  <si>
    <t>KYL-875008G</t>
    <phoneticPr fontId="3"/>
  </si>
  <si>
    <t># 21 Peony</t>
    <phoneticPr fontId="3"/>
  </si>
  <si>
    <t xml:space="preserve"># 79 Midnight </t>
    <phoneticPr fontId="3"/>
  </si>
  <si>
    <t xml:space="preserve"># 93 Grey </t>
    <phoneticPr fontId="3"/>
  </si>
  <si>
    <t>FOB JAPAN /roll</t>
    <phoneticPr fontId="3"/>
  </si>
  <si>
    <t># 123</t>
    <phoneticPr fontId="3"/>
  </si>
  <si>
    <t>TRL-287724</t>
    <phoneticPr fontId="3"/>
  </si>
  <si>
    <t>TRL-358127</t>
    <phoneticPr fontId="3"/>
  </si>
  <si>
    <t>KYL-T25320</t>
    <phoneticPr fontId="3"/>
  </si>
  <si>
    <t>KYL-25513</t>
    <phoneticPr fontId="3"/>
  </si>
  <si>
    <t>KYL-25512</t>
    <phoneticPr fontId="3"/>
  </si>
  <si>
    <t xml:space="preserve"># 3SW Optic White </t>
    <phoneticPr fontId="3"/>
  </si>
  <si>
    <t>TP616300</t>
    <phoneticPr fontId="3"/>
  </si>
  <si>
    <t>ES-134</t>
    <phoneticPr fontId="3"/>
  </si>
  <si>
    <t xml:space="preserve"># 50 Black  </t>
    <phoneticPr fontId="3"/>
  </si>
  <si>
    <t>TP616301</t>
    <phoneticPr fontId="3"/>
  </si>
  <si>
    <t>TP616302</t>
    <phoneticPr fontId="3"/>
  </si>
  <si>
    <t>R1900T</t>
    <phoneticPr fontId="3"/>
  </si>
  <si>
    <t>DS-2838</t>
    <phoneticPr fontId="3"/>
  </si>
  <si>
    <t xml:space="preserve">Optic White </t>
    <phoneticPr fontId="3"/>
  </si>
  <si>
    <t xml:space="preserve">Mill's Black ( Piece Dyed ) </t>
    <phoneticPr fontId="3"/>
  </si>
  <si>
    <t>Dye Fee for DS 2838</t>
    <phoneticPr fontId="3"/>
  </si>
  <si>
    <t>FWL-91728 ( FWL-69085 Cotton Ver.)</t>
    <phoneticPr fontId="3"/>
  </si>
  <si>
    <t>Mill's Black ( Yarn Dyed )</t>
    <phoneticPr fontId="3"/>
  </si>
  <si>
    <t>Set up Fee for FWL-</t>
    <phoneticPr fontId="3"/>
  </si>
  <si>
    <t>FWL-22937</t>
    <phoneticPr fontId="3"/>
  </si>
  <si>
    <t>FWL-21871</t>
    <phoneticPr fontId="3"/>
  </si>
  <si>
    <t xml:space="preserve">Dye Fee for FWL-21871 Black </t>
    <phoneticPr fontId="3"/>
  </si>
  <si>
    <t>KYL-25578</t>
    <phoneticPr fontId="3"/>
  </si>
  <si>
    <t xml:space="preserve">Dye Fee for KYL-25578 Black </t>
    <phoneticPr fontId="3"/>
  </si>
  <si>
    <t>KYL-3222-1</t>
    <phoneticPr fontId="3"/>
  </si>
  <si>
    <t xml:space="preserve">Dye Fee for KYL-3222-1 Black </t>
    <phoneticPr fontId="3"/>
  </si>
  <si>
    <t xml:space="preserve">Dye Fee for KYL-23551-1 Black </t>
    <phoneticPr fontId="3"/>
  </si>
  <si>
    <t>TI-7000</t>
    <phoneticPr fontId="3"/>
  </si>
  <si>
    <t># 60 Black</t>
    <phoneticPr fontId="3"/>
  </si>
  <si>
    <t xml:space="preserve"># 120 Champagne </t>
    <phoneticPr fontId="3"/>
  </si>
  <si>
    <t>FWL-7302</t>
  </si>
  <si>
    <t>GREIGE(OFF WHITE)</t>
    <phoneticPr fontId="3"/>
  </si>
  <si>
    <t>FWL-7302- 3.8CM</t>
  </si>
  <si>
    <t>FWL-22446</t>
  </si>
  <si>
    <t>FWL-71543</t>
  </si>
  <si>
    <t>Set up Fee for FWL-7302 3.8cm</t>
    <phoneticPr fontId="3"/>
  </si>
  <si>
    <t>Q3FY19#055</t>
    <phoneticPr fontId="3"/>
  </si>
  <si>
    <t xml:space="preserve">DTM New White </t>
    <phoneticPr fontId="3"/>
  </si>
  <si>
    <t>Dye80</t>
    <phoneticPr fontId="3"/>
  </si>
  <si>
    <t>DTM TEA STAIN ECRU</t>
    <phoneticPr fontId="3"/>
  </si>
  <si>
    <t xml:space="preserve">DTM CLAY </t>
    <phoneticPr fontId="3"/>
  </si>
  <si>
    <t>DTM VINTAGE BROWN</t>
    <phoneticPr fontId="3"/>
  </si>
  <si>
    <t>DTM BLACK</t>
    <phoneticPr fontId="3"/>
  </si>
  <si>
    <t>DYEING SURCHARGE for CLAY &amp; VINTAGE BROWN</t>
    <phoneticPr fontId="3"/>
  </si>
  <si>
    <t>FWL-91769</t>
    <phoneticPr fontId="3"/>
  </si>
  <si>
    <t>DTM NEW WHITE</t>
    <phoneticPr fontId="3"/>
  </si>
  <si>
    <t>DTM VINTAGE GREY</t>
    <phoneticPr fontId="3"/>
  </si>
  <si>
    <t>DYEING SURCHARGE for VINTAGE GREY</t>
    <phoneticPr fontId="3"/>
  </si>
  <si>
    <t>Dye70</t>
    <phoneticPr fontId="3"/>
  </si>
  <si>
    <t>DYEING SURCHARGE for VINTAGE BROWN</t>
    <phoneticPr fontId="3"/>
  </si>
  <si>
    <t xml:space="preserve"># 51 Julep </t>
    <phoneticPr fontId="3"/>
  </si>
  <si>
    <t># 10 Light Pink</t>
    <phoneticPr fontId="3"/>
  </si>
  <si>
    <t># 11 Slipper Pink</t>
    <phoneticPr fontId="3"/>
  </si>
  <si>
    <t># SO Pearl</t>
    <phoneticPr fontId="3"/>
  </si>
  <si>
    <t>Cutting Fee for # 51 &amp; # 10</t>
    <phoneticPr fontId="3"/>
  </si>
  <si>
    <r>
      <rPr>
        <sz val="12"/>
        <color indexed="8"/>
        <rFont val="ＭＳ Ｐゴシック"/>
        <family val="3"/>
        <charset val="128"/>
      </rPr>
      <t>単価</t>
    </r>
    <r>
      <rPr>
        <sz val="12"/>
        <color indexed="8"/>
        <rFont val="Arial"/>
        <family val="2"/>
      </rPr>
      <t xml:space="preserve"> /m</t>
    </r>
    <rPh sb="0" eb="2">
      <t>タンカ</t>
    </rPh>
    <phoneticPr fontId="3"/>
  </si>
  <si>
    <r>
      <t xml:space="preserve">749 </t>
    </r>
    <r>
      <rPr>
        <sz val="12"/>
        <color indexed="10"/>
        <rFont val="Arial  "/>
        <family val="2"/>
      </rPr>
      <t>LA</t>
    </r>
    <r>
      <rPr>
        <sz val="12"/>
        <rFont val="Arial  "/>
        <family val="2"/>
      </rPr>
      <t xml:space="preserve"> </t>
    </r>
    <phoneticPr fontId="3"/>
  </si>
  <si>
    <t>FWL-23949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</si>
  <si>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43 </t>
    </r>
    <phoneticPr fontId="3"/>
  </si>
  <si>
    <t xml:space="preserve">Black 55 </t>
    <phoneticPr fontId="3"/>
  </si>
  <si>
    <t>DTM Lemonade</t>
    <phoneticPr fontId="3"/>
  </si>
  <si>
    <t>DTM Summer Sky</t>
    <phoneticPr fontId="3"/>
  </si>
  <si>
    <t>FWL-22987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</si>
  <si>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73</t>
    </r>
    <phoneticPr fontId="3"/>
  </si>
  <si>
    <t xml:space="preserve">Black 95 </t>
    <phoneticPr fontId="3"/>
  </si>
  <si>
    <t>FWL-7379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</si>
  <si>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132</t>
    </r>
    <phoneticPr fontId="3"/>
  </si>
  <si>
    <t>FWL-21969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</si>
  <si>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32</t>
    </r>
    <phoneticPr fontId="3"/>
  </si>
  <si>
    <t xml:space="preserve">Black 42 </t>
    <phoneticPr fontId="3"/>
  </si>
  <si>
    <t>DTM Ballet Pink</t>
    <phoneticPr fontId="3"/>
  </si>
  <si>
    <t>FWL-24150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</si>
  <si>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87</t>
    </r>
    <phoneticPr fontId="3"/>
  </si>
  <si>
    <t>FWL-22729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</si>
  <si>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36</t>
    </r>
    <phoneticPr fontId="3"/>
  </si>
  <si>
    <t>FWL-3171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</si>
  <si>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42</t>
    </r>
    <phoneticPr fontId="3"/>
  </si>
  <si>
    <t xml:space="preserve">DTM Azure </t>
    <phoneticPr fontId="3"/>
  </si>
  <si>
    <t xml:space="preserve">DTM Sandstone </t>
    <phoneticPr fontId="3"/>
  </si>
  <si>
    <t>DTM Neon Pink</t>
    <phoneticPr fontId="3"/>
  </si>
  <si>
    <t>FWL-91787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</si>
  <si>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135</t>
    </r>
    <phoneticPr fontId="3"/>
  </si>
  <si>
    <t xml:space="preserve">Set-up Fee for </t>
    <phoneticPr fontId="3"/>
  </si>
  <si>
    <t xml:space="preserve">7 sets </t>
    <phoneticPr fontId="3"/>
  </si>
  <si>
    <r>
      <rPr>
        <sz val="12"/>
        <rFont val="ＭＳ Ｐゴシック"/>
        <family val="3"/>
        <charset val="128"/>
      </rPr>
      <t>￥</t>
    </r>
    <r>
      <rPr>
        <sz val="12"/>
        <rFont val="Arial"/>
        <family val="2"/>
      </rPr>
      <t xml:space="preserve">7000 - </t>
    </r>
    <r>
      <rPr>
        <sz val="12"/>
        <rFont val="ＭＳ Ｐゴシック"/>
        <family val="3"/>
        <charset val="128"/>
      </rPr>
      <t>￥</t>
    </r>
    <r>
      <rPr>
        <sz val="12"/>
        <rFont val="Arial"/>
        <family val="2"/>
      </rPr>
      <t>8000</t>
    </r>
    <phoneticPr fontId="3"/>
  </si>
  <si>
    <t>8000/7000</t>
    <phoneticPr fontId="3"/>
  </si>
  <si>
    <r>
      <t>in stock-</t>
    </r>
    <r>
      <rPr>
        <b/>
        <sz val="12"/>
        <color indexed="30"/>
        <rFont val="ＭＳ Ｐゴシック"/>
        <family val="3"/>
        <charset val="128"/>
      </rPr>
      <t>キープ</t>
    </r>
    <r>
      <rPr>
        <sz val="12"/>
        <rFont val="Arial"/>
        <family val="2"/>
      </rPr>
      <t xml:space="preserve"> </t>
    </r>
    <phoneticPr fontId="3"/>
  </si>
  <si>
    <t># 1 Pink</t>
    <phoneticPr fontId="3"/>
  </si>
  <si>
    <r>
      <t>End of August-</t>
    </r>
    <r>
      <rPr>
        <b/>
        <sz val="12"/>
        <color indexed="30"/>
        <rFont val="ＭＳ Ｐゴシック"/>
        <family val="3"/>
        <charset val="128"/>
      </rPr>
      <t>生産進行お願いします</t>
    </r>
    <rPh sb="14" eb="16">
      <t>セイサン</t>
    </rPh>
    <rPh sb="16" eb="18">
      <t>シンコウ</t>
    </rPh>
    <rPh sb="19" eb="20">
      <t>ネガ</t>
    </rPh>
    <phoneticPr fontId="3"/>
  </si>
  <si>
    <t># 106 Fuchsia</t>
    <phoneticPr fontId="3"/>
  </si>
  <si>
    <t xml:space="preserve"># 109 Yellow </t>
    <phoneticPr fontId="3"/>
  </si>
  <si>
    <t># 642 Pink</t>
    <phoneticPr fontId="3"/>
  </si>
  <si>
    <t># Nude 618</t>
    <phoneticPr fontId="3"/>
  </si>
  <si>
    <t># 107 Red</t>
    <phoneticPr fontId="3"/>
  </si>
  <si>
    <t>S19C0058</t>
    <phoneticPr fontId="3"/>
  </si>
  <si>
    <t># GP1 Pale Pink</t>
    <phoneticPr fontId="3"/>
  </si>
  <si>
    <t>カット代無し</t>
    <rPh sb="3" eb="4">
      <t>ダイ</t>
    </rPh>
    <rPh sb="4" eb="5">
      <t>ナ</t>
    </rPh>
    <phoneticPr fontId="3"/>
  </si>
  <si>
    <t># A5 Rose Pink</t>
    <phoneticPr fontId="3"/>
  </si>
  <si>
    <r>
      <t xml:space="preserve">S19C0058 </t>
    </r>
    <r>
      <rPr>
        <sz val="12"/>
        <color indexed="10"/>
        <rFont val="Arial"/>
        <family val="2"/>
      </rPr>
      <t>Fullin</t>
    </r>
    <phoneticPr fontId="3"/>
  </si>
  <si>
    <r>
      <t xml:space="preserve">Fullin </t>
    </r>
    <r>
      <rPr>
        <sz val="12"/>
        <rFont val="ＭＳ Ｐゴシック"/>
        <family val="3"/>
        <charset val="128"/>
      </rPr>
      <t>に発送</t>
    </r>
    <rPh sb="8" eb="10">
      <t>ハッソウ</t>
    </rPh>
    <phoneticPr fontId="3"/>
  </si>
  <si>
    <t># A9 Lilac</t>
    <phoneticPr fontId="3"/>
  </si>
  <si>
    <t xml:space="preserve"># 300 Pale Yellow </t>
    <phoneticPr fontId="3"/>
  </si>
  <si>
    <t xml:space="preserve"># 280 Yellow </t>
    <phoneticPr fontId="3"/>
  </si>
  <si>
    <t>12 sets</t>
    <phoneticPr fontId="3"/>
  </si>
  <si>
    <t>S19C0061</t>
    <phoneticPr fontId="3"/>
  </si>
  <si>
    <t xml:space="preserve"># 24 Dusty Blue </t>
    <phoneticPr fontId="3"/>
  </si>
  <si>
    <t xml:space="preserve"># 11 Yellow </t>
    <phoneticPr fontId="3"/>
  </si>
  <si>
    <t xml:space="preserve"># 230 Heather </t>
    <phoneticPr fontId="3"/>
  </si>
  <si>
    <t xml:space="preserve"># 52 Dove Grey </t>
    <phoneticPr fontId="3"/>
  </si>
  <si>
    <t># 16 Peach</t>
    <phoneticPr fontId="3"/>
  </si>
  <si>
    <t># 32 Lavender</t>
    <phoneticPr fontId="3"/>
  </si>
  <si>
    <t>C&amp;F HK /m</t>
    <phoneticPr fontId="3"/>
  </si>
  <si>
    <t xml:space="preserve"># 32 Beige </t>
    <phoneticPr fontId="3"/>
  </si>
  <si>
    <t># 26 Navy</t>
    <phoneticPr fontId="3"/>
  </si>
  <si>
    <t># 44 Black</t>
    <phoneticPr fontId="3"/>
  </si>
  <si>
    <t>Out of Stock, ready early Sep.</t>
    <phoneticPr fontId="3"/>
  </si>
  <si>
    <t>Out of Stock, ready at the end of Sep.</t>
    <phoneticPr fontId="3"/>
  </si>
  <si>
    <t>FWL-71003</t>
    <phoneticPr fontId="3"/>
  </si>
  <si>
    <t>FWL-71029</t>
    <phoneticPr fontId="3"/>
  </si>
  <si>
    <r>
      <t xml:space="preserve">TT08008 </t>
    </r>
    <r>
      <rPr>
        <sz val="11"/>
        <color indexed="10"/>
        <rFont val="Arial"/>
        <family val="2"/>
      </rPr>
      <t/>
    </r>
    <phoneticPr fontId="3"/>
  </si>
  <si>
    <t>1017-10</t>
    <phoneticPr fontId="3"/>
  </si>
  <si>
    <t>染色代/m</t>
    <rPh sb="0" eb="2">
      <t>センショク</t>
    </rPh>
    <rPh sb="2" eb="3">
      <t>ダイ</t>
    </rPh>
    <phoneticPr fontId="3"/>
  </si>
  <si>
    <t>Off</t>
    <phoneticPr fontId="3"/>
  </si>
  <si>
    <t>FWL-23323</t>
    <phoneticPr fontId="3"/>
  </si>
  <si>
    <t xml:space="preserve">NEW WHITE (MILL'S OFF WHITE) </t>
    <phoneticPr fontId="3"/>
  </si>
  <si>
    <t>染色代：￥80/m</t>
    <rPh sb="0" eb="2">
      <t>センショク</t>
    </rPh>
    <rPh sb="2" eb="3">
      <t>ダイ</t>
    </rPh>
    <phoneticPr fontId="3"/>
  </si>
  <si>
    <t>FWL-71065</t>
    <phoneticPr fontId="3"/>
  </si>
  <si>
    <t>FWL-71070</t>
    <phoneticPr fontId="3"/>
  </si>
  <si>
    <t>FWL-7366</t>
    <phoneticPr fontId="3"/>
  </si>
  <si>
    <t>FWL-71069</t>
    <phoneticPr fontId="3"/>
  </si>
  <si>
    <t>FWL-2103</t>
    <phoneticPr fontId="3"/>
  </si>
  <si>
    <t xml:space="preserve">Dye Fee for Mill's Black </t>
    <phoneticPr fontId="3"/>
  </si>
  <si>
    <t xml:space="preserve">5 sets </t>
    <phoneticPr fontId="3"/>
  </si>
  <si>
    <t>FWL-23133</t>
    <phoneticPr fontId="3"/>
  </si>
  <si>
    <t>FWL-61086</t>
    <phoneticPr fontId="3"/>
  </si>
  <si>
    <t>FWL-61082</t>
    <phoneticPr fontId="3"/>
  </si>
  <si>
    <t>FWL-7302 (2.6cm )</t>
    <phoneticPr fontId="3"/>
  </si>
  <si>
    <t>染色代/col</t>
    <rPh sb="0" eb="2">
      <t>センショク</t>
    </rPh>
    <rPh sb="2" eb="3">
      <t>ダイ</t>
    </rPh>
    <phoneticPr fontId="3"/>
  </si>
  <si>
    <t>10-1035</t>
    <phoneticPr fontId="3"/>
  </si>
  <si>
    <t xml:space="preserve">DTM BLACK </t>
    <phoneticPr fontId="3"/>
  </si>
  <si>
    <t>DTM YKK 801</t>
    <phoneticPr fontId="3"/>
  </si>
  <si>
    <t>KYL-25520</t>
    <phoneticPr fontId="3"/>
  </si>
  <si>
    <t>KYL-25338</t>
    <phoneticPr fontId="3"/>
  </si>
  <si>
    <t>KYL-25068</t>
    <phoneticPr fontId="3"/>
  </si>
  <si>
    <t>TRL-291829</t>
    <phoneticPr fontId="3"/>
  </si>
  <si>
    <t>092719</t>
    <phoneticPr fontId="3"/>
  </si>
  <si>
    <t>OL-354181-1</t>
    <phoneticPr fontId="3"/>
  </si>
  <si>
    <t>POs from each factory</t>
    <phoneticPr fontId="3"/>
  </si>
  <si>
    <t xml:space="preserve">Chinamine : 720m </t>
    <phoneticPr fontId="3"/>
  </si>
  <si>
    <t xml:space="preserve">Chinamine : 120m </t>
    <phoneticPr fontId="3"/>
  </si>
  <si>
    <t xml:space="preserve">Unique : 60yds / Mandarin : 114m </t>
    <phoneticPr fontId="3"/>
  </si>
  <si>
    <t xml:space="preserve">Unique : 110yds </t>
    <phoneticPr fontId="3"/>
  </si>
  <si>
    <t xml:space="preserve">Chinamine : 80m </t>
    <phoneticPr fontId="3"/>
  </si>
  <si>
    <t xml:space="preserve">Unique : 170yds </t>
    <phoneticPr fontId="3"/>
  </si>
  <si>
    <r>
      <t>OL-356139</t>
    </r>
    <r>
      <rPr>
        <sz val="12"/>
        <color indexed="10"/>
        <rFont val="Arial"/>
        <family val="2"/>
      </rPr>
      <t>-1</t>
    </r>
    <phoneticPr fontId="3"/>
  </si>
  <si>
    <t xml:space="preserve">DTM Pink Sand </t>
    <phoneticPr fontId="3"/>
  </si>
  <si>
    <t>DTM Fuchsia</t>
    <phoneticPr fontId="3"/>
  </si>
  <si>
    <t>DTM Moroccan Blue</t>
    <phoneticPr fontId="3"/>
  </si>
  <si>
    <t xml:space="preserve">DTM Mustard </t>
    <phoneticPr fontId="3"/>
  </si>
  <si>
    <t>DTM White (or Mill's Off White ?)</t>
    <phoneticPr fontId="3"/>
  </si>
  <si>
    <t>OL-353526-1</t>
    <phoneticPr fontId="3"/>
  </si>
  <si>
    <t>OL-353529-1</t>
    <phoneticPr fontId="3"/>
  </si>
  <si>
    <t xml:space="preserve">Subtotal </t>
    <phoneticPr fontId="3"/>
  </si>
  <si>
    <t xml:space="preserve"># OF Ivory </t>
  </si>
  <si>
    <t># FB Black</t>
  </si>
  <si>
    <t>Backorders</t>
    <phoneticPr fontId="3"/>
  </si>
  <si>
    <t>FOB JAPAN / roll</t>
    <phoneticPr fontId="3"/>
  </si>
  <si>
    <t>FOB JAPAN / m</t>
    <phoneticPr fontId="3"/>
  </si>
  <si>
    <t xml:space="preserve">Courier A/C </t>
    <phoneticPr fontId="3"/>
  </si>
  <si>
    <t>DHL A/C : 965002200</t>
    <phoneticPr fontId="3"/>
  </si>
  <si>
    <t xml:space="preserve"> FedEx A/C : 256476126 </t>
    <phoneticPr fontId="3"/>
  </si>
  <si>
    <t>Ready on the 17th - 18th Dec.</t>
    <phoneticPr fontId="3"/>
  </si>
  <si>
    <t>Ready on the 5th - 6th Dec.</t>
    <phoneticPr fontId="3"/>
  </si>
  <si>
    <t>Ready Mid January, 2019</t>
    <phoneticPr fontId="3"/>
  </si>
  <si>
    <t xml:space="preserve"># 127 </t>
    <phoneticPr fontId="3"/>
  </si>
  <si>
    <t xml:space="preserve">Greige  </t>
    <phoneticPr fontId="3"/>
  </si>
  <si>
    <t>In stock, ship out on the 17th -18th Dec.</t>
    <phoneticPr fontId="3"/>
  </si>
  <si>
    <t>Ready Mid Feb. 2019</t>
    <phoneticPr fontId="3"/>
  </si>
  <si>
    <t># 122</t>
    <phoneticPr fontId="3"/>
  </si>
  <si>
    <t># 22 Black</t>
    <phoneticPr fontId="3"/>
  </si>
  <si>
    <t>単価/反</t>
    <rPh sb="0" eb="2">
      <t>タンカ</t>
    </rPh>
    <rPh sb="3" eb="4">
      <t>タン</t>
    </rPh>
    <phoneticPr fontId="3"/>
  </si>
  <si>
    <t xml:space="preserve"># 5 Black </t>
  </si>
  <si>
    <r>
      <t>525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</si>
  <si>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# 0 Cream</t>
  </si>
  <si>
    <r>
      <t>420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</si>
  <si>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t>123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</si>
  <si>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# 113 Mustard</t>
    <phoneticPr fontId="3"/>
  </si>
  <si>
    <t>DTM Copper (C/# 27 from # 12720)</t>
    <phoneticPr fontId="3"/>
  </si>
  <si>
    <t xml:space="preserve">Dye upcharge </t>
    <phoneticPr fontId="3"/>
  </si>
  <si>
    <t># 122 Navy</t>
    <phoneticPr fontId="3"/>
  </si>
  <si>
    <t># 102 White</t>
    <phoneticPr fontId="3"/>
  </si>
  <si>
    <t># 75 Maroon</t>
    <phoneticPr fontId="3"/>
  </si>
  <si>
    <t># 15 Red</t>
    <phoneticPr fontId="3"/>
  </si>
  <si>
    <t># 70 Emerald</t>
    <phoneticPr fontId="3"/>
  </si>
  <si>
    <t># 105</t>
    <phoneticPr fontId="3"/>
  </si>
  <si>
    <t>Ship out early February</t>
    <phoneticPr fontId="3"/>
  </si>
  <si>
    <t># 128</t>
    <phoneticPr fontId="3"/>
  </si>
  <si>
    <t># 68</t>
    <phoneticPr fontId="3"/>
  </si>
  <si>
    <t xml:space="preserve">Ready early March </t>
    <phoneticPr fontId="3"/>
  </si>
  <si>
    <t xml:space="preserve">Ready Mid. February </t>
    <phoneticPr fontId="3"/>
  </si>
  <si>
    <t># A12 Purple</t>
  </si>
  <si>
    <t xml:space="preserve"># 321 Mauve </t>
  </si>
  <si>
    <t>Select from Amossa Yarn C/C  (Top x Middle x Bottom )</t>
    <phoneticPr fontId="3"/>
  </si>
  <si>
    <t>BC031119PS20</t>
    <phoneticPr fontId="3"/>
  </si>
  <si>
    <t>KS-9304</t>
    <phoneticPr fontId="3"/>
  </si>
  <si>
    <t>Blue: A2021 x Red: B5019 x Yellow: B6013(5mm each)</t>
    <phoneticPr fontId="3"/>
  </si>
  <si>
    <t>Blue: A2021 x Red: B5019 x Yellow: B6013(12mm each)</t>
    <phoneticPr fontId="3"/>
  </si>
  <si>
    <t>Blue: A2021 x Red: B5019 x Yellow: B6013(16mm each)</t>
    <phoneticPr fontId="3"/>
  </si>
  <si>
    <t>EXW JAPAN / m</t>
    <phoneticPr fontId="3"/>
  </si>
  <si>
    <t>5120</t>
    <phoneticPr fontId="3"/>
  </si>
  <si>
    <t># 78 Navy</t>
    <phoneticPr fontId="3"/>
  </si>
  <si>
    <t xml:space="preserve"># 17 Blush </t>
    <phoneticPr fontId="3"/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</si>
  <si>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Amossa Yarn C/C  (Top x Middle x Bottom )</t>
    </r>
    <phoneticPr fontId="3"/>
  </si>
  <si>
    <t>CM-0002</t>
    <phoneticPr fontId="3"/>
  </si>
  <si>
    <t xml:space="preserve">Yellow: B6013 x Blue: B1069 x Red: B5019 (3mm each)  </t>
    <phoneticPr fontId="3"/>
  </si>
  <si>
    <t>CM-0003</t>
    <phoneticPr fontId="3"/>
  </si>
  <si>
    <t xml:space="preserve">Yellow: B6013 x Blue: B1069 x Red: B5019 (5mm each)  </t>
    <phoneticPr fontId="3"/>
  </si>
  <si>
    <t>CM-0004</t>
    <phoneticPr fontId="3"/>
  </si>
  <si>
    <t xml:space="preserve">Yellow: B6013 x Blue: B1069 x Red: B5019 (12mm each)  </t>
    <phoneticPr fontId="3"/>
  </si>
  <si>
    <t>CM-0005</t>
    <phoneticPr fontId="3"/>
  </si>
  <si>
    <t xml:space="preserve">Yellow: B6013 x Blue: B1069 x Red: B5019 (17mm each)  </t>
    <phoneticPr fontId="3"/>
  </si>
  <si>
    <t xml:space="preserve"># 16 Coral </t>
    <phoneticPr fontId="3"/>
  </si>
  <si>
    <t>After GW</t>
    <phoneticPr fontId="3"/>
  </si>
  <si>
    <t xml:space="preserve"># 230 Heather Grey </t>
    <phoneticPr fontId="3"/>
  </si>
  <si>
    <t>Mid May</t>
    <phoneticPr fontId="3"/>
  </si>
  <si>
    <t xml:space="preserve"># 24 Blue </t>
    <phoneticPr fontId="3"/>
  </si>
  <si>
    <t># 31 Lilac</t>
    <phoneticPr fontId="3"/>
  </si>
  <si>
    <t xml:space="preserve"># 51 Asher </t>
    <phoneticPr fontId="3"/>
  </si>
  <si>
    <t xml:space="preserve"># 52 Sterling </t>
    <phoneticPr fontId="3"/>
  </si>
  <si>
    <r>
      <rPr>
        <b/>
        <sz val="11"/>
        <rFont val="Arial"/>
        <family val="2"/>
      </rPr>
      <t xml:space="preserve">Color  </t>
    </r>
    <r>
      <rPr>
        <sz val="11"/>
        <rFont val="Arial"/>
        <family val="2"/>
      </rPr>
      <t>Select from Amossa Yarn C/C  (Top x Middle x Bottom )</t>
    </r>
    <phoneticPr fontId="3"/>
  </si>
  <si>
    <t>EXW JAPAN / set</t>
    <phoneticPr fontId="3"/>
  </si>
  <si>
    <t>CM-0006</t>
    <phoneticPr fontId="3"/>
  </si>
  <si>
    <t xml:space="preserve">KhakiBrown: B8035 x Navy: B1069 x Orange: B8001 (5mm each)  </t>
    <phoneticPr fontId="3"/>
  </si>
  <si>
    <t>CM-0007</t>
    <phoneticPr fontId="3"/>
  </si>
  <si>
    <t xml:space="preserve">KhakiBrown: B8035 x Navy: B1069 x Orange: B8001 (12mm each)  </t>
    <phoneticPr fontId="3"/>
  </si>
  <si>
    <t>CM-0008</t>
    <phoneticPr fontId="3"/>
  </si>
  <si>
    <t xml:space="preserve">KhakiBrown: B8035 x Navy: B1069 x Orange: B8001 (16mm each)  </t>
    <phoneticPr fontId="3"/>
  </si>
  <si>
    <t>CM-0009</t>
    <phoneticPr fontId="3"/>
  </si>
  <si>
    <t xml:space="preserve">KhakiBrown: B8035 x Navy: B1069 x Orange: B8001 (3mm each)  </t>
    <phoneticPr fontId="3"/>
  </si>
  <si>
    <t>Cancel Fee for 2nd sample (C-190408)</t>
    <phoneticPr fontId="3"/>
  </si>
  <si>
    <t>319 yen</t>
    <phoneticPr fontId="3"/>
  </si>
  <si>
    <t>1100 yen</t>
    <phoneticPr fontId="3"/>
  </si>
  <si>
    <t>482 yen</t>
    <phoneticPr fontId="3"/>
  </si>
  <si>
    <t>172 yen</t>
    <phoneticPr fontId="3"/>
  </si>
  <si>
    <t>LB/18-0143</t>
    <phoneticPr fontId="3"/>
  </si>
  <si>
    <t>10-7095</t>
    <phoneticPr fontId="3"/>
  </si>
  <si>
    <t>KYL-23309</t>
    <phoneticPr fontId="3"/>
  </si>
  <si>
    <r>
      <t>141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</si>
  <si>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商品</t>
    <rPh sb="0" eb="2">
      <t>ショウヒン</t>
    </rPh>
    <phoneticPr fontId="3"/>
  </si>
  <si>
    <r>
      <rPr>
        <sz val="11"/>
        <rFont val="ＭＳ Ｐゴシック"/>
        <family val="3"/>
        <charset val="128"/>
      </rPr>
      <t>カラー</t>
    </r>
    <r>
      <rPr>
        <sz val="11"/>
        <rFont val="Arial"/>
        <family val="2"/>
      </rPr>
      <t xml:space="preserve"> Amossa Yarn C/C  (Top x Middle x Bottom )</t>
    </r>
    <phoneticPr fontId="3"/>
  </si>
  <si>
    <t>別注ストライプテープ</t>
    <rPh sb="0" eb="2">
      <t>ベッチュウ</t>
    </rPh>
    <phoneticPr fontId="3"/>
  </si>
  <si>
    <r>
      <t>KhakiBrown: B8035 x Navy: B1069 x Orange: B8001 (</t>
    </r>
    <r>
      <rPr>
        <sz val="8"/>
        <rFont val="ＭＳ Ｐゴシック"/>
        <family val="3"/>
        <charset val="128"/>
      </rPr>
      <t>各</t>
    </r>
    <r>
      <rPr>
        <sz val="8"/>
        <rFont val="Arial"/>
        <family val="2"/>
      </rPr>
      <t xml:space="preserve">5mm)  </t>
    </r>
    <rPh sb="49" eb="50">
      <t>カク</t>
    </rPh>
    <phoneticPr fontId="3"/>
  </si>
  <si>
    <r>
      <t>50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</si>
  <si>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43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</si>
  <si>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KhakiBrown: B8035 x Navy: B1069 x Orange: B8001 (</t>
    </r>
    <r>
      <rPr>
        <sz val="8"/>
        <rFont val="ＭＳ Ｐゴシック"/>
        <family val="3"/>
        <charset val="128"/>
      </rPr>
      <t>各</t>
    </r>
    <r>
      <rPr>
        <sz val="8"/>
        <rFont val="Arial"/>
        <family val="2"/>
      </rPr>
      <t xml:space="preserve">12mm )  </t>
    </r>
    <rPh sb="49" eb="50">
      <t>カク</t>
    </rPh>
    <phoneticPr fontId="3"/>
  </si>
  <si>
    <r>
      <t>104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</si>
  <si>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t>155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</si>
  <si>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Amossa Yarn C/C  (Top x Middle x Bottom )</t>
    </r>
    <phoneticPr fontId="3"/>
  </si>
  <si>
    <t xml:space="preserve">MOQ /col </t>
    <phoneticPr fontId="3"/>
  </si>
  <si>
    <t>KhakiBrown: B8035 x Navy: B1069 x Orange: B8001 (5mm each )  </t>
    <phoneticPr fontId="3"/>
  </si>
  <si>
    <t>KhakiBrown: B8035 x Navy: B1069 x Orange: B8001 (12mm each )  </t>
    <phoneticPr fontId="3"/>
  </si>
  <si>
    <t>MOQ/col for 
custom colors</t>
    <phoneticPr fontId="3"/>
  </si>
  <si>
    <t>USD/m</t>
    <phoneticPr fontId="3"/>
  </si>
  <si>
    <t>F19J-140</t>
    <phoneticPr fontId="3"/>
  </si>
  <si>
    <r>
      <t>PI# 2070</t>
    </r>
    <r>
      <rPr>
        <sz val="12"/>
        <rFont val="ＭＳ Ｐゴシック"/>
        <family val="3"/>
        <charset val="128"/>
      </rPr>
      <t>で</t>
    </r>
    <r>
      <rPr>
        <sz val="12"/>
        <rFont val="Arial"/>
        <family val="2"/>
      </rPr>
      <t xml:space="preserve">payment </t>
    </r>
    <r>
      <rPr>
        <sz val="12"/>
        <rFont val="ＭＳ Ｐゴシック"/>
        <family val="3"/>
        <charset val="128"/>
      </rPr>
      <t>受取予定</t>
    </r>
    <rPh sb="17" eb="19">
      <t>ウケトリ</t>
    </rPh>
    <rPh sb="19" eb="21">
      <t>ヨテイ</t>
    </rPh>
    <phoneticPr fontId="3"/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</si>
  <si>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 xml:space="preserve"> invoice </t>
    </r>
    <rPh sb="0" eb="2">
      <t>ツウジョウ</t>
    </rPh>
    <phoneticPr fontId="3"/>
  </si>
  <si>
    <t>F19J-141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</si>
  <si>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  "/>
        <family val="2"/>
      </rPr>
      <t>/m</t>
    </r>
    <rPh sb="0" eb="2">
      <t>タンカ</t>
    </rPh>
    <phoneticPr fontId="3"/>
  </si>
  <si>
    <r>
      <t>100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</si>
  <si>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r>
      <t>42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 xml:space="preserve">/m </t>
    </r>
    <rPh sb="2" eb="3">
      <t>エン</t>
    </rPh>
    <phoneticPr fontId="3"/>
  </si>
  <si>
    <t>X39842</t>
    <phoneticPr fontId="3"/>
  </si>
  <si>
    <t>Theory LLC</t>
    <phoneticPr fontId="3"/>
  </si>
  <si>
    <t>S-9480</t>
    <phoneticPr fontId="3"/>
  </si>
  <si>
    <r>
      <t xml:space="preserve">Black </t>
    </r>
    <r>
      <rPr>
        <sz val="12"/>
        <rFont val="ＭＳ Ｐゴシック"/>
        <family val="3"/>
        <charset val="128"/>
      </rPr>
      <t>単価</t>
    </r>
    <rPh sb="6" eb="8">
      <t>タンカ</t>
    </rPh>
    <phoneticPr fontId="3"/>
  </si>
  <si>
    <r>
      <rPr>
        <sz val="12"/>
        <rFont val="ＭＳ Ｐゴシック"/>
        <family val="3"/>
        <charset val="128"/>
      </rPr>
      <t>色物単価</t>
    </r>
    <r>
      <rPr>
        <sz val="12"/>
        <rFont val="Arial"/>
        <family val="2"/>
      </rPr>
      <t>12.8</t>
    </r>
    <rPh sb="0" eb="2">
      <t>イロモノ</t>
    </rPh>
    <rPh sb="2" eb="4">
      <t>タンカ</t>
    </rPh>
    <phoneticPr fontId="3"/>
  </si>
  <si>
    <t># 39 Capri</t>
    <phoneticPr fontId="3"/>
  </si>
  <si>
    <t xml:space="preserve"># 73 Dark Olive </t>
    <phoneticPr fontId="3"/>
  </si>
  <si>
    <t xml:space="preserve"># 18 Dusty Rose </t>
    <phoneticPr fontId="3"/>
  </si>
  <si>
    <t># 23 Magenta</t>
    <phoneticPr fontId="3"/>
  </si>
  <si>
    <t xml:space="preserve"># 58 Natural </t>
    <phoneticPr fontId="3"/>
  </si>
  <si>
    <t xml:space="preserve"># 77 Pale Green </t>
    <phoneticPr fontId="3"/>
  </si>
  <si>
    <t>X40115</t>
    <phoneticPr fontId="3"/>
  </si>
  <si>
    <t># 81</t>
    <phoneticPr fontId="3"/>
  </si>
  <si>
    <t>S-9518</t>
    <phoneticPr fontId="3"/>
  </si>
  <si>
    <t># 54</t>
    <phoneticPr fontId="3"/>
  </si>
  <si>
    <t>X40684</t>
    <phoneticPr fontId="3"/>
  </si>
  <si>
    <t># 61 Khaki Green</t>
    <phoneticPr fontId="3"/>
  </si>
  <si>
    <t>S-9600</t>
    <phoneticPr fontId="3"/>
  </si>
  <si>
    <t>X41231</t>
    <phoneticPr fontId="3"/>
  </si>
  <si>
    <t xml:space="preserve"># 84 </t>
    <phoneticPr fontId="3"/>
  </si>
  <si>
    <t>S-9675</t>
    <phoneticPr fontId="3"/>
  </si>
  <si>
    <t>CHG-190513</t>
    <phoneticPr fontId="3"/>
  </si>
  <si>
    <t>S-9641</t>
    <phoneticPr fontId="3"/>
  </si>
  <si>
    <t xml:space="preserve"># 83 Deep Slate </t>
    <phoneticPr fontId="3"/>
  </si>
  <si>
    <t xml:space="preserve"># 60 Grey Oat </t>
    <phoneticPr fontId="3"/>
  </si>
  <si>
    <t>CHG-190606</t>
    <phoneticPr fontId="3"/>
  </si>
  <si>
    <t>S-9711</t>
    <phoneticPr fontId="3"/>
  </si>
  <si>
    <t>X41453</t>
    <phoneticPr fontId="3"/>
  </si>
  <si>
    <t># 75</t>
    <phoneticPr fontId="3"/>
  </si>
  <si>
    <t>S-9709</t>
    <phoneticPr fontId="3"/>
  </si>
  <si>
    <t>X41538</t>
    <phoneticPr fontId="3"/>
  </si>
  <si>
    <t xml:space="preserve"># 56 Kelly Green </t>
    <phoneticPr fontId="3"/>
  </si>
  <si>
    <t>色</t>
    <rPh sb="0" eb="1">
      <t>イロ</t>
    </rPh>
    <phoneticPr fontId="3"/>
  </si>
  <si>
    <t xml:space="preserve">Col. 3 Black </t>
    <phoneticPr fontId="3"/>
  </si>
  <si>
    <t>210m</t>
    <phoneticPr fontId="3"/>
  </si>
  <si>
    <t>Col. 1 White</t>
    <phoneticPr fontId="3"/>
  </si>
  <si>
    <r>
      <rPr>
        <b/>
        <sz val="12"/>
        <rFont val="ＭＳ Ｐゴシック"/>
        <family val="3"/>
        <charset val="128"/>
      </rPr>
      <t>単価</t>
    </r>
    <r>
      <rPr>
        <b/>
        <sz val="12"/>
        <rFont val="Arial"/>
        <family val="2"/>
      </rPr>
      <t xml:space="preserve"> /m </t>
    </r>
    <rPh sb="0" eb="2">
      <t>タンカ</t>
    </rPh>
    <phoneticPr fontId="3"/>
  </si>
  <si>
    <r>
      <t>142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</si>
  <si>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入荷済</t>
    <rPh sb="0" eb="2">
      <t>ニュウカ</t>
    </rPh>
    <rPh sb="2" eb="3">
      <t>スミ</t>
    </rPh>
    <phoneticPr fontId="3"/>
  </si>
  <si>
    <t>KYL-T24049</t>
    <phoneticPr fontId="3"/>
  </si>
  <si>
    <r>
      <t>215</t>
    </r>
    <r>
      <rPr>
        <sz val="12"/>
        <rFont val="ＭＳ Ｐゴシック"/>
        <family val="3"/>
        <charset val="128"/>
      </rPr>
      <t>円</t>
    </r>
    <phoneticPr fontId="3"/>
  </si>
  <si>
    <t>FLR-53022</t>
    <phoneticPr fontId="3"/>
  </si>
  <si>
    <r>
      <t>319</t>
    </r>
    <r>
      <rPr>
        <sz val="12"/>
        <rFont val="ＭＳ Ｐゴシック"/>
        <family val="3"/>
        <charset val="128"/>
      </rPr>
      <t>円</t>
    </r>
    <phoneticPr fontId="3"/>
  </si>
  <si>
    <t>FLR-55429</t>
    <phoneticPr fontId="3"/>
  </si>
  <si>
    <r>
      <t>450</t>
    </r>
    <r>
      <rPr>
        <sz val="12"/>
        <rFont val="ＭＳ Ｐゴシック"/>
        <family val="3"/>
        <charset val="128"/>
      </rPr>
      <t>円</t>
    </r>
    <phoneticPr fontId="3"/>
  </si>
  <si>
    <t>FWL-23504s</t>
    <phoneticPr fontId="3"/>
  </si>
  <si>
    <r>
      <t>253</t>
    </r>
    <r>
      <rPr>
        <sz val="12"/>
        <rFont val="ＭＳ Ｐゴシック"/>
        <family val="3"/>
        <charset val="128"/>
      </rPr>
      <t>円</t>
    </r>
    <phoneticPr fontId="3"/>
  </si>
  <si>
    <t>FWL-22236s</t>
    <phoneticPr fontId="3"/>
  </si>
  <si>
    <r>
      <t>408</t>
    </r>
    <r>
      <rPr>
        <sz val="12"/>
        <rFont val="ＭＳ Ｐゴシック"/>
        <family val="3"/>
        <charset val="128"/>
      </rPr>
      <t>円</t>
    </r>
    <phoneticPr fontId="3"/>
  </si>
  <si>
    <r>
      <rPr>
        <sz val="12"/>
        <rFont val="ＭＳ Ｐゴシック"/>
        <family val="3"/>
        <charset val="128"/>
      </rPr>
      <t>エステルスピンドル</t>
    </r>
    <r>
      <rPr>
        <sz val="12"/>
        <rFont val="Arial  "/>
        <family val="2"/>
      </rPr>
      <t xml:space="preserve"> ( 5288 )</t>
    </r>
    <phoneticPr fontId="3"/>
  </si>
  <si>
    <r>
      <t>20</t>
    </r>
    <r>
      <rPr>
        <sz val="12"/>
        <rFont val="ＭＳ Ｐゴシック"/>
        <family val="3"/>
        <charset val="128"/>
      </rPr>
      <t>円</t>
    </r>
    <phoneticPr fontId="3"/>
  </si>
  <si>
    <t xml:space="preserve"># 47 Black </t>
    <phoneticPr fontId="3"/>
  </si>
  <si>
    <r>
      <t>36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</si>
  <si>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92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</si>
  <si>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t>EXW JAPAN / roll</t>
    <phoneticPr fontId="3"/>
  </si>
  <si>
    <t xml:space="preserve"># 107 </t>
    <phoneticPr fontId="3"/>
  </si>
  <si>
    <t># 115</t>
    <phoneticPr fontId="3"/>
  </si>
  <si>
    <t># 119</t>
    <phoneticPr fontId="3"/>
  </si>
  <si>
    <t xml:space="preserve"># 121 </t>
    <phoneticPr fontId="3"/>
  </si>
  <si>
    <t># 131</t>
    <phoneticPr fontId="3"/>
  </si>
  <si>
    <t># 44</t>
    <phoneticPr fontId="3"/>
  </si>
  <si>
    <t xml:space="preserve">Around Aug. 7-8th </t>
    <phoneticPr fontId="3"/>
  </si>
  <si>
    <t># 39</t>
    <phoneticPr fontId="3"/>
  </si>
  <si>
    <t># 79</t>
    <phoneticPr fontId="3"/>
  </si>
  <si>
    <t xml:space="preserve">Around Aug. 2nd </t>
    <phoneticPr fontId="3"/>
  </si>
  <si>
    <t xml:space="preserve">Around July 29th  </t>
    <phoneticPr fontId="3"/>
  </si>
  <si>
    <t>KYL-24077</t>
    <phoneticPr fontId="3"/>
  </si>
  <si>
    <r>
      <t>319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</si>
  <si>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Dye 40</t>
    <phoneticPr fontId="3"/>
  </si>
  <si>
    <t>FLR-54418</t>
    <phoneticPr fontId="3"/>
  </si>
  <si>
    <r>
      <t>253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</si>
  <si>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Dye 55</t>
    <phoneticPr fontId="3"/>
  </si>
  <si>
    <t>KYL-24328</t>
    <phoneticPr fontId="3"/>
  </si>
  <si>
    <r>
      <t>193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</si>
  <si>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879</t>
    <phoneticPr fontId="3"/>
  </si>
  <si>
    <t>Black 119</t>
    <phoneticPr fontId="3"/>
  </si>
  <si>
    <t>KYL-T25109-19</t>
    <phoneticPr fontId="3"/>
  </si>
  <si>
    <t># 12  Mill's Ivory</t>
    <phoneticPr fontId="3"/>
  </si>
  <si>
    <t># 12:  139</t>
    <phoneticPr fontId="3"/>
  </si>
  <si>
    <t>Black 144</t>
    <phoneticPr fontId="3"/>
  </si>
  <si>
    <t xml:space="preserve"># 78 Cobalt </t>
    <phoneticPr fontId="3"/>
  </si>
  <si>
    <t>SIC-3122</t>
    <phoneticPr fontId="3"/>
  </si>
  <si>
    <t>LL size</t>
    <phoneticPr fontId="3"/>
  </si>
  <si>
    <t xml:space="preserve"># 01 White </t>
    <phoneticPr fontId="3"/>
  </si>
  <si>
    <t>LB/19-0432-2</t>
    <phoneticPr fontId="3"/>
  </si>
  <si>
    <t>Dye Fee for # 920-8</t>
    <phoneticPr fontId="3"/>
  </si>
  <si>
    <t>Dye Fee for # 10-7095</t>
    <phoneticPr fontId="3"/>
  </si>
  <si>
    <r>
      <rPr>
        <sz val="12"/>
        <rFont val="Arial  "/>
        <family val="2"/>
      </rPr>
      <t>123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</si>
  <si>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r>
      <t>69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2" eb="3">
      <t>エン</t>
    </rPh>
    <phoneticPr fontId="3"/>
  </si>
  <si>
    <t>前回ロット</t>
    <rPh sb="0" eb="2">
      <t>ゼンカイ</t>
    </rPh>
    <phoneticPr fontId="3"/>
  </si>
  <si>
    <r>
      <t>6/3</t>
    </r>
    <r>
      <rPr>
        <sz val="12"/>
        <rFont val="ＭＳ Ｐゴシック"/>
        <family val="3"/>
        <charset val="128"/>
      </rPr>
      <t>出荷分と同ロット希望（発注</t>
    </r>
    <r>
      <rPr>
        <sz val="12"/>
        <rFont val="Arial"/>
        <family val="2"/>
      </rPr>
      <t># S-282)</t>
    </r>
    <rPh sb="3" eb="5">
      <t>シュッカ</t>
    </rPh>
    <rPh sb="5" eb="6">
      <t>ブン</t>
    </rPh>
    <rPh sb="7" eb="8">
      <t>オナ</t>
    </rPh>
    <rPh sb="11" eb="13">
      <t>キボウ</t>
    </rPh>
    <rPh sb="14" eb="16">
      <t>ハッチュウ</t>
    </rPh>
    <phoneticPr fontId="3"/>
  </si>
  <si>
    <t># 37 Nude</t>
    <phoneticPr fontId="3"/>
  </si>
  <si>
    <r>
      <t>6/16</t>
    </r>
    <r>
      <rPr>
        <sz val="12"/>
        <rFont val="ＭＳ Ｐゴシック"/>
        <family val="3"/>
        <charset val="128"/>
      </rPr>
      <t>出荷分と同ロット希望（発注</t>
    </r>
    <r>
      <rPr>
        <sz val="12"/>
        <rFont val="Arial"/>
        <family val="2"/>
      </rPr>
      <t># S-292)</t>
    </r>
    <rPh sb="4" eb="6">
      <t>シュッカ</t>
    </rPh>
    <rPh sb="6" eb="7">
      <t>ブン</t>
    </rPh>
    <rPh sb="8" eb="9">
      <t>オナ</t>
    </rPh>
    <rPh sb="12" eb="14">
      <t>キボウ</t>
    </rPh>
    <rPh sb="15" eb="17">
      <t>ハッチュウ</t>
    </rPh>
    <phoneticPr fontId="3"/>
  </si>
  <si>
    <t>ES-242</t>
    <phoneticPr fontId="3"/>
  </si>
  <si>
    <t xml:space="preserve">DTM Pale Yellow ( C/# 02 of ES-146 ) </t>
    <phoneticPr fontId="3"/>
  </si>
  <si>
    <t xml:space="preserve">DTM Dark Khaki ( C/# 78 of ES-146 ) </t>
    <phoneticPr fontId="3"/>
  </si>
  <si>
    <t xml:space="preserve">Dye fee for ES-242 </t>
    <phoneticPr fontId="3"/>
  </si>
  <si>
    <t>ES-146</t>
    <phoneticPr fontId="3"/>
  </si>
  <si>
    <t>C/# 02 Pale Yellow</t>
    <phoneticPr fontId="3"/>
  </si>
  <si>
    <t xml:space="preserve">C/# 78 Dark Khaki </t>
    <phoneticPr fontId="3"/>
  </si>
  <si>
    <t>DTM Light Blue</t>
    <phoneticPr fontId="3"/>
  </si>
  <si>
    <t xml:space="preserve">We bear a half of the cost </t>
    <phoneticPr fontId="3"/>
  </si>
  <si>
    <t xml:space="preserve">Dyeing Fee </t>
    <phoneticPr fontId="3"/>
  </si>
  <si>
    <t>KYL-T3220-1</t>
    <phoneticPr fontId="3"/>
  </si>
  <si>
    <t>KYL-3736-1</t>
    <phoneticPr fontId="3"/>
  </si>
  <si>
    <t>KYL-3472</t>
    <phoneticPr fontId="3"/>
  </si>
  <si>
    <t>FWL-23283</t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</si>
  <si>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phoneticPr fontId="3"/>
  </si>
  <si>
    <t>オーダー済・色確認中</t>
    <rPh sb="4" eb="5">
      <t>スミ</t>
    </rPh>
    <rPh sb="6" eb="7">
      <t>イロ</t>
    </rPh>
    <rPh sb="7" eb="9">
      <t>カクニン</t>
    </rPh>
    <rPh sb="9" eb="10">
      <t>チュウ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</si>
  <si>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</t>
    </r>
    <phoneticPr fontId="3"/>
  </si>
  <si>
    <t>追加オーダー予定</t>
    <rPh sb="0" eb="2">
      <t>ツイカ</t>
    </rPh>
    <rPh sb="6" eb="8">
      <t>ヨテイ</t>
    </rPh>
    <phoneticPr fontId="3"/>
  </si>
  <si>
    <t>オーダー済</t>
    <rPh sb="4" eb="5">
      <t>スミ</t>
    </rPh>
    <phoneticPr fontId="3"/>
  </si>
  <si>
    <t>FWL-23808</t>
    <phoneticPr fontId="3"/>
  </si>
  <si>
    <t>DTM New White</t>
    <phoneticPr fontId="3"/>
  </si>
  <si>
    <r>
      <t xml:space="preserve">897m </t>
    </r>
    <r>
      <rPr>
        <b/>
        <sz val="12"/>
        <color indexed="10"/>
        <rFont val="ＭＳ Ｐゴシック"/>
        <family val="3"/>
        <charset val="128"/>
      </rPr>
      <t>→</t>
    </r>
    <r>
      <rPr>
        <b/>
        <sz val="12"/>
        <color indexed="10"/>
        <rFont val="Arial"/>
        <family val="2"/>
      </rPr>
      <t xml:space="preserve"> 650m </t>
    </r>
    <r>
      <rPr>
        <b/>
        <sz val="12"/>
        <color indexed="10"/>
        <rFont val="ＭＳ Ｐゴシック"/>
        <family val="3"/>
        <charset val="128"/>
      </rPr>
      <t>に変更予定</t>
    </r>
    <rPh sb="13" eb="15">
      <t>ヘンコウ</t>
    </rPh>
    <rPh sb="15" eb="17">
      <t>ヨテイ</t>
    </rPh>
    <phoneticPr fontId="3"/>
  </si>
  <si>
    <t>オーダー済・数量変更予定</t>
    <rPh sb="4" eb="5">
      <t>スミ</t>
    </rPh>
    <rPh sb="6" eb="8">
      <t>スウリョウ</t>
    </rPh>
    <rPh sb="8" eb="10">
      <t>ヘンコウ</t>
    </rPh>
    <rPh sb="10" eb="12">
      <t>ヨテイ</t>
    </rPh>
    <phoneticPr fontId="3"/>
  </si>
  <si>
    <t>FLR-55320</t>
    <phoneticPr fontId="3"/>
  </si>
  <si>
    <t>FLR-55312</t>
    <phoneticPr fontId="3"/>
  </si>
  <si>
    <t>Monika Hadioetomo</t>
    <phoneticPr fontId="3"/>
  </si>
  <si>
    <t>TI-3644-9</t>
    <phoneticPr fontId="3"/>
  </si>
  <si>
    <t>TI-16-529</t>
    <phoneticPr fontId="3"/>
  </si>
  <si>
    <t xml:space="preserve"># 43 Black </t>
    <phoneticPr fontId="3"/>
  </si>
  <si>
    <t># 40 Navy</t>
    <phoneticPr fontId="3"/>
  </si>
  <si>
    <t># 244</t>
    <phoneticPr fontId="3"/>
  </si>
  <si>
    <t># 277</t>
    <phoneticPr fontId="3"/>
  </si>
  <si>
    <t>9 x 9mm</t>
    <phoneticPr fontId="3"/>
  </si>
  <si>
    <t># 279</t>
    <phoneticPr fontId="3"/>
  </si>
  <si>
    <t># 89</t>
    <phoneticPr fontId="3"/>
  </si>
  <si>
    <r>
      <t xml:space="preserve">Mill's Off White </t>
    </r>
    <r>
      <rPr>
        <sz val="12"/>
        <rFont val="ＭＳ Ｐゴシック"/>
        <family val="3"/>
        <charset val="128"/>
      </rPr>
      <t>追加オーダー分</t>
    </r>
    <rPh sb="17" eb="19">
      <t>ツイカ</t>
    </rPh>
    <rPh sb="23" eb="24">
      <t>ブン</t>
    </rPh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</si>
  <si>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Off White </t>
    </r>
    <r>
      <rPr>
        <sz val="12"/>
        <rFont val="ＭＳ Ｐゴシック"/>
        <family val="3"/>
        <charset val="128"/>
      </rPr>
      <t>先出し予定分</t>
    </r>
    <rPh sb="0" eb="2">
      <t>ジョウキ</t>
    </rPh>
    <rPh sb="21" eb="23">
      <t>サキダ</t>
    </rPh>
    <rPh sb="24" eb="26">
      <t>ヨテイ</t>
    </rPh>
    <rPh sb="26" eb="27">
      <t>ブン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</si>
  <si>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　追加オーダー分</t>
    </r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</si>
  <si>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(1592m)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(558m)</t>
    </r>
    <r>
      <rPr>
        <sz val="12"/>
        <rFont val="ＭＳ Ｐゴシック"/>
        <family val="3"/>
        <charset val="128"/>
      </rPr>
      <t>先出し予定分</t>
    </r>
    <rPh sb="0" eb="2">
      <t>ジョウキ</t>
    </rPh>
    <rPh sb="39" eb="41">
      <t>サキダ</t>
    </rPh>
    <rPh sb="42" eb="44">
      <t>ヨテイ</t>
    </rPh>
    <rPh sb="44" eb="45">
      <t>ブン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</si>
  <si>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 xml:space="preserve"> </t>
    </r>
    <r>
      <rPr>
        <sz val="12"/>
        <rFont val="ＭＳ Ｐゴシック"/>
        <family val="3"/>
        <charset val="128"/>
      </rPr>
      <t>追加オーダー分</t>
    </r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</si>
  <si>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(807m)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( 673m)</t>
    </r>
    <r>
      <rPr>
        <sz val="12"/>
        <rFont val="ＭＳ Ｐゴシック"/>
        <family val="3"/>
        <charset val="128"/>
      </rPr>
      <t>先出し予定分</t>
    </r>
    <rPh sb="0" eb="2">
      <t>ジョウキ</t>
    </rPh>
    <phoneticPr fontId="3"/>
  </si>
  <si>
    <r>
      <t xml:space="preserve">DTM New White Lot </t>
    </r>
    <r>
      <rPr>
        <sz val="12"/>
        <rFont val="ＭＳ Ｐゴシック"/>
        <family val="3"/>
        <charset val="128"/>
      </rPr>
      <t>②</t>
    </r>
    <phoneticPr fontId="3"/>
  </si>
  <si>
    <t>上記全て先出し予定</t>
    <rPh sb="0" eb="2">
      <t>ジョウキ</t>
    </rPh>
    <rPh sb="2" eb="3">
      <t>スベ</t>
    </rPh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</si>
  <si>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</t>
    </r>
    <r>
      <rPr>
        <sz val="12"/>
        <rFont val="ＭＳ Ｐゴシック"/>
        <family val="3"/>
        <charset val="128"/>
      </rPr>
      <t>　先出し予定分</t>
    </r>
    <rPh sb="0" eb="2">
      <t>ジョウキ</t>
    </rPh>
    <phoneticPr fontId="3"/>
  </si>
  <si>
    <t>FWL-7311</t>
    <phoneticPr fontId="3"/>
  </si>
  <si>
    <r>
      <t>148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</si>
  <si>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FWL-22978</t>
    <phoneticPr fontId="3"/>
  </si>
  <si>
    <r>
      <t>43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2" eb="3">
      <t>エン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</si>
  <si>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(1567m)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(558m)</t>
    </r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</si>
  <si>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(787m)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( 673m)</t>
    </r>
    <phoneticPr fontId="3"/>
  </si>
  <si>
    <r>
      <t xml:space="preserve">DTM New White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(645m)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( 80m)</t>
    </r>
    <phoneticPr fontId="3"/>
  </si>
  <si>
    <t>Lace trim</t>
    <phoneticPr fontId="3"/>
  </si>
  <si>
    <t># 5 Black</t>
    <phoneticPr fontId="3"/>
  </si>
  <si>
    <r>
      <t>1710m</t>
    </r>
    <r>
      <rPr>
        <sz val="12"/>
        <color indexed="30"/>
        <rFont val="Arial"/>
        <family val="2"/>
      </rPr>
      <t xml:space="preserve"> 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 2100m </t>
    </r>
  </si>
  <si>
    <r>
      <t xml:space="preserve">1710m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 / </t>
    </r>
    <r>
      <rPr>
        <sz val="11"/>
        <rFont val="アリアl"/>
        <family val="3"/>
        <charset val="128"/>
      </rPr>
      <t>追加分在庫ありますか？</t>
    </r>
    <rPh sb="10" eb="11">
      <t>スミ</t>
    </rPh>
    <rPh sb="14" eb="16">
      <t>ツイカ</t>
    </rPh>
    <rPh sb="16" eb="17">
      <t>ブン</t>
    </rPh>
    <rPh sb="17" eb="19">
      <t>ザイコ</t>
    </rPh>
    <phoneticPr fontId="3"/>
  </si>
  <si>
    <t># SG01 White</t>
    <phoneticPr fontId="3"/>
  </si>
  <si>
    <r>
      <t xml:space="preserve">810m 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900m  </t>
    </r>
    <phoneticPr fontId="3"/>
  </si>
  <si>
    <r>
      <t xml:space="preserve">810m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/ </t>
    </r>
    <r>
      <rPr>
        <sz val="11"/>
        <rFont val="アリアl"/>
        <family val="3"/>
        <charset val="128"/>
      </rPr>
      <t>追加分在庫ありますか？</t>
    </r>
    <rPh sb="9" eb="10">
      <t>スミ</t>
    </rPh>
    <phoneticPr fontId="3"/>
  </si>
  <si>
    <t># SG33</t>
    <phoneticPr fontId="3"/>
  </si>
  <si>
    <r>
      <t xml:space="preserve">300m </t>
    </r>
    <r>
      <rPr>
        <sz val="11"/>
        <rFont val="アリアl"/>
        <family val="3"/>
        <charset val="128"/>
      </rPr>
      <t>オーダー済</t>
    </r>
    <rPh sb="9" eb="10">
      <t>スミ</t>
    </rPh>
    <phoneticPr fontId="3"/>
  </si>
  <si>
    <t xml:space="preserve"># SG 02 </t>
    <phoneticPr fontId="3"/>
  </si>
  <si>
    <t xml:space="preserve">210m </t>
    <phoneticPr fontId="3"/>
  </si>
  <si>
    <t>新引き合い / 在庫ありますか？</t>
    <rPh sb="0" eb="1">
      <t>シン</t>
    </rPh>
    <rPh sb="1" eb="2">
      <t>ヒ</t>
    </rPh>
    <rPh sb="3" eb="4">
      <t>ア</t>
    </rPh>
    <rPh sb="8" eb="10">
      <t>ザイコ</t>
    </rPh>
    <phoneticPr fontId="3"/>
  </si>
  <si>
    <r>
      <t>2400m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>2610m</t>
    </r>
    <phoneticPr fontId="3"/>
  </si>
  <si>
    <r>
      <t xml:space="preserve">2400m </t>
    </r>
    <r>
      <rPr>
        <sz val="11"/>
        <rFont val="アリアl"/>
        <family val="3"/>
        <charset val="128"/>
      </rPr>
      <t>オーダー済/追加分の納期ご確認お願いします。</t>
    </r>
    <rPh sb="10" eb="11">
      <t>スミ</t>
    </rPh>
    <rPh sb="12" eb="14">
      <t>ツイカ</t>
    </rPh>
    <rPh sb="14" eb="15">
      <t>ブン</t>
    </rPh>
    <rPh sb="16" eb="18">
      <t>ノウキ</t>
    </rPh>
    <rPh sb="19" eb="21">
      <t>カクニン</t>
    </rPh>
    <rPh sb="22" eb="23">
      <t>ネガ</t>
    </rPh>
    <phoneticPr fontId="3"/>
  </si>
  <si>
    <t xml:space="preserve">12 x 12mm </t>
    <phoneticPr fontId="3"/>
  </si>
  <si>
    <t>TI-10-D11976</t>
    <phoneticPr fontId="3"/>
  </si>
  <si>
    <r>
      <t>600m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 1300m </t>
    </r>
    <phoneticPr fontId="3"/>
  </si>
  <si>
    <r>
      <t xml:space="preserve">600m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/ </t>
    </r>
    <r>
      <rPr>
        <sz val="11"/>
        <rFont val="アリアl"/>
        <family val="3"/>
        <charset val="128"/>
      </rPr>
      <t>追加分在庫ありますか？</t>
    </r>
    <rPh sb="9" eb="10">
      <t>スミ</t>
    </rPh>
    <phoneticPr fontId="3"/>
  </si>
  <si>
    <t xml:space="preserve">DTM  Ivory </t>
    <phoneticPr fontId="3"/>
  </si>
  <si>
    <r>
      <t>500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>800m</t>
    </r>
    <phoneticPr fontId="3"/>
  </si>
  <si>
    <t>未発注・キープ希望</t>
    <rPh sb="0" eb="1">
      <t>ミ</t>
    </rPh>
    <rPh sb="1" eb="3">
      <t>ハッチュウ</t>
    </rPh>
    <rPh sb="7" eb="9">
      <t>キボウ</t>
    </rPh>
    <phoneticPr fontId="3"/>
  </si>
  <si>
    <t>DTM Safari</t>
    <phoneticPr fontId="3"/>
  </si>
  <si>
    <t>新引き合い / キープ希望</t>
    <rPh sb="0" eb="1">
      <t>シン</t>
    </rPh>
    <rPh sb="1" eb="2">
      <t>ヒ</t>
    </rPh>
    <rPh sb="3" eb="4">
      <t>ア</t>
    </rPh>
    <rPh sb="11" eb="13">
      <t>キボウ</t>
    </rPh>
    <phoneticPr fontId="3"/>
  </si>
  <si>
    <r>
      <t>PFD</t>
    </r>
    <r>
      <rPr>
        <sz val="12"/>
        <color indexed="30"/>
        <rFont val="ＭＳ Ｐゴシック"/>
        <family val="3"/>
        <charset val="128"/>
      </rPr>
      <t>　黄変防止加工</t>
    </r>
    <rPh sb="4" eb="6">
      <t>オウヘン</t>
    </rPh>
    <rPh sb="6" eb="8">
      <t>ボウシ</t>
    </rPh>
    <rPh sb="8" eb="10">
      <t>カコウ</t>
    </rPh>
    <phoneticPr fontId="3"/>
  </si>
  <si>
    <t xml:space="preserve">White  </t>
    <phoneticPr fontId="3"/>
  </si>
  <si>
    <t># 05</t>
    <phoneticPr fontId="3"/>
  </si>
  <si>
    <t xml:space="preserve">Style # </t>
    <phoneticPr fontId="3"/>
  </si>
  <si>
    <t xml:space="preserve">Your Final Qty </t>
    <phoneticPr fontId="3"/>
  </si>
  <si>
    <t xml:space="preserve">Our Final Supply </t>
    <phoneticPr fontId="3"/>
  </si>
  <si>
    <t>LB/19-1703</t>
    <phoneticPr fontId="3"/>
  </si>
  <si>
    <t>TI-10-910</t>
    <phoneticPr fontId="3"/>
  </si>
  <si>
    <t>LB/19-1705</t>
    <phoneticPr fontId="3"/>
  </si>
  <si>
    <t>Your request : 1700m cancel</t>
    <phoneticPr fontId="3"/>
  </si>
  <si>
    <t xml:space="preserve">840m ( we cannot cancecl a whole qty, please take 850m ) </t>
    <phoneticPr fontId="3"/>
  </si>
  <si>
    <t>Your request : 600m cancel</t>
    <phoneticPr fontId="3"/>
  </si>
  <si>
    <t xml:space="preserve">600m ( cancellation is NOT accepted   ) </t>
    <phoneticPr fontId="3"/>
  </si>
  <si>
    <t>LB/19-1707</t>
    <phoneticPr fontId="3"/>
  </si>
  <si>
    <t>LB/19-1706</t>
    <phoneticPr fontId="3"/>
  </si>
  <si>
    <r>
      <t>Your request 1400m</t>
    </r>
    <r>
      <rPr>
        <sz val="12"/>
        <rFont val="ＭＳ Ｐゴシック"/>
        <family val="3"/>
        <charset val="128"/>
      </rPr>
      <t>→</t>
    </r>
    <r>
      <rPr>
        <sz val="12"/>
        <rFont val="Arial"/>
        <family val="2"/>
      </rPr>
      <t>200m</t>
    </r>
    <phoneticPr fontId="3"/>
  </si>
  <si>
    <t xml:space="preserve">210m ( we reduce from 1400m to 210m) </t>
    <phoneticPr fontId="3"/>
  </si>
  <si>
    <t>Your request :100m</t>
    <phoneticPr fontId="3"/>
  </si>
  <si>
    <t>300m (Reduction is NOT accepted )</t>
    <phoneticPr fontId="3"/>
  </si>
  <si>
    <t>Style #</t>
  </si>
  <si>
    <t>Size</t>
  </si>
  <si>
    <t>Your Final Qty</t>
  </si>
  <si>
    <t>Our Final Supply</t>
  </si>
  <si>
    <t>Our comment</t>
  </si>
  <si>
    <t>LB/19-1703</t>
  </si>
  <si>
    <t>TI-10-910</t>
  </si>
  <si>
    <t>PFD</t>
  </si>
  <si>
    <t>900 m</t>
  </si>
  <si>
    <t>No Change</t>
  </si>
  <si>
    <t>(Preventative Yellowing Process)</t>
  </si>
  <si>
    <t>TI-1050</t>
  </si>
  <si>
    <t>15 mm</t>
  </si>
  <si>
    <t># SG01 White</t>
  </si>
  <si>
    <t>1,800 m</t>
  </si>
  <si>
    <t>LB/19-1705</t>
  </si>
  <si>
    <t>Your request :</t>
  </si>
  <si>
    <t>840m</t>
  </si>
  <si>
    <t xml:space="preserve">We cannot cancel a whole qty. </t>
  </si>
  <si>
    <t>1700m cancel</t>
  </si>
  <si>
    <t>Please take 840m</t>
  </si>
  <si>
    <t>12 mm</t>
  </si>
  <si>
    <t>We cannot cancel</t>
  </si>
  <si>
    <t>600m cancel</t>
  </si>
  <si>
    <t>LB/19-1707</t>
  </si>
  <si>
    <t>900m</t>
  </si>
  <si>
    <t>LB/19-1706</t>
  </si>
  <si>
    <t>Your request 1400m→200m</t>
  </si>
  <si>
    <t>210m</t>
  </si>
  <si>
    <t>We can reduce from 1400m to 210m</t>
  </si>
  <si>
    <t>Your request :100m</t>
  </si>
  <si>
    <t>300m</t>
  </si>
  <si>
    <t xml:space="preserve">DTM  Ivory ( C ) </t>
    <phoneticPr fontId="3"/>
  </si>
  <si>
    <t xml:space="preserve">DTM Safari ( C ) </t>
    <phoneticPr fontId="3"/>
  </si>
  <si>
    <t xml:space="preserve">AMOSSA RASCHEL120  </t>
  </si>
  <si>
    <t>Amossa Col. A9358 Black</t>
    <phoneticPr fontId="3"/>
  </si>
  <si>
    <t>1026SD</t>
    <phoneticPr fontId="3"/>
  </si>
  <si>
    <t># 11 TOFFEE</t>
    <phoneticPr fontId="3"/>
  </si>
  <si>
    <r>
      <rPr>
        <b/>
        <sz val="10"/>
        <rFont val="ＭＳ Ｐゴシック"/>
        <family val="3"/>
        <charset val="128"/>
      </rPr>
      <t>カラー　　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Select from Amossa Bright Yarn  (Top x Middle x Bottom )</t>
    </r>
    <phoneticPr fontId="3"/>
  </si>
  <si>
    <t>CM-0016</t>
    <phoneticPr fontId="3"/>
  </si>
  <si>
    <t>Saddle: #B8242 x Pink:#B8176 x Cream: #B0297 (12mm each)</t>
    <phoneticPr fontId="3"/>
  </si>
  <si>
    <t>10-910</t>
    <phoneticPr fontId="3"/>
  </si>
  <si>
    <t>10-D11976</t>
    <phoneticPr fontId="3"/>
  </si>
  <si>
    <r>
      <rPr>
        <b/>
        <sz val="10"/>
        <rFont val="ＭＳ Ｐゴシック"/>
        <family val="3"/>
        <charset val="128"/>
      </rPr>
      <t>顧客単価</t>
    </r>
    <rPh sb="0" eb="2">
      <t>コキャク</t>
    </rPh>
    <rPh sb="2" eb="4">
      <t>タンカ</t>
    </rPh>
    <phoneticPr fontId="3"/>
  </si>
  <si>
    <r>
      <t>SF Osaka</t>
    </r>
    <r>
      <rPr>
        <b/>
        <sz val="10"/>
        <rFont val="ＭＳ Ｐゴシック"/>
        <family val="3"/>
        <charset val="128"/>
      </rPr>
      <t>　→</t>
    </r>
    <r>
      <rPr>
        <b/>
        <sz val="10"/>
        <rFont val="Arial  "/>
        <family val="2"/>
      </rPr>
      <t xml:space="preserve"> SF USA </t>
    </r>
    <r>
      <rPr>
        <b/>
        <sz val="10"/>
        <rFont val="ＭＳ Ｐゴシック"/>
        <family val="3"/>
        <charset val="128"/>
      </rPr>
      <t>単価</t>
    </r>
    <rPh sb="18" eb="20">
      <t>タンカ</t>
    </rPh>
    <phoneticPr fontId="3"/>
  </si>
  <si>
    <t xml:space="preserve">仕入単価 </t>
    <rPh sb="0" eb="2">
      <t>シイレ</t>
    </rPh>
    <rPh sb="2" eb="4">
      <t>タンカ</t>
    </rPh>
    <phoneticPr fontId="3"/>
  </si>
  <si>
    <t>DTM Teak Lab-dip Fee</t>
  </si>
  <si>
    <t>3000/set</t>
    <phoneticPr fontId="3"/>
  </si>
  <si>
    <t xml:space="preserve"># DTM Teak ( Option B ) </t>
    <phoneticPr fontId="3"/>
  </si>
  <si>
    <r>
      <rPr>
        <sz val="12"/>
        <rFont val="ＭＳ Ｐゴシック"/>
        <family val="3"/>
        <charset val="128"/>
      </rPr>
      <t>完全別注色</t>
    </r>
    <r>
      <rPr>
        <sz val="12"/>
        <rFont val="Arial  "/>
        <family val="2"/>
      </rPr>
      <t xml:space="preserve"> 24.6/m</t>
    </r>
    <rPh sb="0" eb="2">
      <t>カンゼン</t>
    </rPh>
    <rPh sb="2" eb="4">
      <t>ベッチュウ</t>
    </rPh>
    <rPh sb="4" eb="5">
      <t>イロ</t>
    </rPh>
    <phoneticPr fontId="3"/>
  </si>
  <si>
    <t xml:space="preserve">Dye Fee + Set-up Fee </t>
    <phoneticPr fontId="3"/>
  </si>
  <si>
    <t>20000/set</t>
    <phoneticPr fontId="3"/>
  </si>
  <si>
    <r>
      <rPr>
        <sz val="12"/>
        <rFont val="ＭＳ Ｐゴシック"/>
        <family val="3"/>
        <charset val="128"/>
      </rPr>
      <t>運賃</t>
    </r>
    <rPh sb="0" eb="2">
      <t>ウンチン</t>
    </rPh>
    <phoneticPr fontId="3"/>
  </si>
  <si>
    <r>
      <t>109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</si>
  <si>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 xml:space="preserve">5637 ( SB-30 ) </t>
    <phoneticPr fontId="3"/>
  </si>
  <si>
    <t xml:space="preserve"># 272 </t>
    <phoneticPr fontId="3"/>
  </si>
  <si>
    <t xml:space="preserve">Art. # </t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</si>
  <si>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Bright Yarn  (Col. A  x Col. B )</t>
    </r>
  </si>
  <si>
    <t>CM-0018</t>
    <phoneticPr fontId="3"/>
  </si>
  <si>
    <t xml:space="preserve">Colorway#1 : Lucent White: x Overture: </t>
    <phoneticPr fontId="3"/>
  </si>
  <si>
    <t>CM-0019</t>
    <phoneticPr fontId="3"/>
  </si>
  <si>
    <t xml:space="preserve">Colorway#2 : Overture: x Lucient White: </t>
    <phoneticPr fontId="3"/>
  </si>
  <si>
    <t>CM-0020</t>
    <phoneticPr fontId="3"/>
  </si>
  <si>
    <t xml:space="preserve">Colorway#3 : Racing Red : x Overture: </t>
    <phoneticPr fontId="3"/>
  </si>
  <si>
    <t>CM-0021</t>
    <phoneticPr fontId="3"/>
  </si>
  <si>
    <t xml:space="preserve">Colorway#4 : Lucent White : x Ice Water : </t>
    <phoneticPr fontId="3"/>
  </si>
  <si>
    <t>CM-0022</t>
    <phoneticPr fontId="3"/>
  </si>
  <si>
    <t xml:space="preserve">Colorway#5 : Lucent White : x Antarctica : </t>
    <phoneticPr fontId="3"/>
  </si>
  <si>
    <t>CM-0023</t>
    <phoneticPr fontId="3"/>
  </si>
  <si>
    <t xml:space="preserve">Colorway#6 : Overture: x Tambourine: </t>
    <phoneticPr fontId="3"/>
  </si>
  <si>
    <t xml:space="preserve">Colorway#1 : Lucent White:B0296 x Overture:B1354 </t>
    <phoneticPr fontId="3"/>
  </si>
  <si>
    <t xml:space="preserve">Colorway#2 : Overture:B1354 x Lucent White:B0296 </t>
    <phoneticPr fontId="3"/>
  </si>
  <si>
    <t xml:space="preserve">Colorway#3 : Racing Red :B5311 x Overture:B1354 </t>
    <phoneticPr fontId="3"/>
  </si>
  <si>
    <t xml:space="preserve">Colorway#4 : Lucent White :B0296 x Ice Water :B3111 </t>
    <phoneticPr fontId="3"/>
  </si>
  <si>
    <t xml:space="preserve">Colorway#5 : Lucent White :B0296 x Antarctica :B9162 </t>
    <phoneticPr fontId="3"/>
  </si>
  <si>
    <t xml:space="preserve">Colorway#6 : Overture:B1354 x Tambourine:B4037 </t>
    <phoneticPr fontId="3"/>
  </si>
  <si>
    <t xml:space="preserve"># 16 Black </t>
    <phoneticPr fontId="3"/>
  </si>
  <si>
    <t>FWL-71199</t>
    <phoneticPr fontId="3"/>
  </si>
  <si>
    <t>FWL-71180</t>
    <phoneticPr fontId="3"/>
  </si>
  <si>
    <t>FWL-71525</t>
    <phoneticPr fontId="3"/>
  </si>
  <si>
    <t>FWL-71271</t>
    <phoneticPr fontId="3"/>
  </si>
  <si>
    <t>FWL-71197</t>
    <phoneticPr fontId="3"/>
  </si>
  <si>
    <t>発送先</t>
    <rPh sb="0" eb="2">
      <t>ハッソウ</t>
    </rPh>
    <rPh sb="2" eb="3">
      <t>サキ</t>
    </rPh>
    <phoneticPr fontId="3"/>
  </si>
  <si>
    <t>AFF</t>
    <phoneticPr fontId="3"/>
  </si>
  <si>
    <t>在庫あり</t>
    <rPh sb="0" eb="2">
      <t>ザイコ</t>
    </rPh>
    <phoneticPr fontId="3"/>
  </si>
  <si>
    <t>TFF</t>
    <phoneticPr fontId="3"/>
  </si>
  <si>
    <t>30反在庫あり / 27反不足</t>
    <rPh sb="2" eb="3">
      <t>タン</t>
    </rPh>
    <rPh sb="3" eb="5">
      <t>ザイコ</t>
    </rPh>
    <rPh sb="12" eb="13">
      <t>タン</t>
    </rPh>
    <rPh sb="13" eb="15">
      <t>フソク</t>
    </rPh>
    <phoneticPr fontId="3"/>
  </si>
  <si>
    <t>40反在庫あり / 27反不足</t>
    <rPh sb="2" eb="3">
      <t>タン</t>
    </rPh>
    <rPh sb="3" eb="5">
      <t>ザイコ</t>
    </rPh>
    <rPh sb="12" eb="13">
      <t>タン</t>
    </rPh>
    <rPh sb="13" eb="15">
      <t>フソク</t>
    </rPh>
    <phoneticPr fontId="3"/>
  </si>
  <si>
    <t>will be shippped today</t>
    <phoneticPr fontId="3"/>
  </si>
  <si>
    <t xml:space="preserve">will be shippped tomorrow </t>
    <phoneticPr fontId="3"/>
  </si>
  <si>
    <t>SAKAE Articles</t>
    <phoneticPr fontId="3"/>
  </si>
  <si>
    <t>FOB Asia</t>
    <phoneticPr fontId="3"/>
  </si>
  <si>
    <t>DTM TOFU</t>
    <phoneticPr fontId="3"/>
  </si>
  <si>
    <t>DTM Pistachio Shell</t>
    <phoneticPr fontId="3"/>
  </si>
  <si>
    <t xml:space="preserve"> 8 sets (USD 10 x 8 articles)</t>
    <phoneticPr fontId="3"/>
  </si>
  <si>
    <t>Sun Fashion Article</t>
    <phoneticPr fontId="3"/>
  </si>
  <si>
    <t>2 sets (USD 125 x 2 colors)</t>
    <phoneticPr fontId="3"/>
  </si>
  <si>
    <t>Pattern no</t>
  </si>
  <si>
    <t>PRICE PER METER IN USD FOB ASIA OR CIF HK</t>
  </si>
  <si>
    <t>Minimum</t>
  </si>
  <si>
    <t>Composition and greige stock qtys</t>
  </si>
  <si>
    <t xml:space="preserve">10M </t>
  </si>
  <si>
    <t xml:space="preserve"> 100M </t>
  </si>
  <si>
    <t xml:space="preserve"> 300M </t>
  </si>
  <si>
    <t xml:space="preserve"> 1000M </t>
  </si>
  <si>
    <t>Dye to match</t>
  </si>
  <si>
    <t xml:space="preserve">(CM) </t>
  </si>
  <si>
    <t>Cotton:70%,Nylon:30% stock 2100M</t>
    <phoneticPr fontId="3"/>
  </si>
  <si>
    <t>Nylon:100%  stock 3600M</t>
    <phoneticPr fontId="3"/>
  </si>
  <si>
    <t>Nylon:65%,Cationic Polyester:35% stock 1900M</t>
    <phoneticPr fontId="3"/>
  </si>
  <si>
    <t>Nylon:100% Stock 1900M</t>
  </si>
  <si>
    <t>Cord Color x Tip</t>
    <phoneticPr fontId="3"/>
  </si>
  <si>
    <t>EXW JAPAN / pc</t>
    <phoneticPr fontId="3"/>
  </si>
  <si>
    <t xml:space="preserve">Dec. 9th - 11th </t>
    <phoneticPr fontId="3"/>
  </si>
  <si>
    <t xml:space="preserve">Dec. 15th - 17th </t>
    <phoneticPr fontId="3"/>
  </si>
  <si>
    <t>Stoc</t>
    <phoneticPr fontId="3"/>
  </si>
  <si>
    <t xml:space="preserve">No stock, it will be ready around 22nd Jan.  </t>
    <phoneticPr fontId="3"/>
  </si>
  <si>
    <t xml:space="preserve">3/11 updated </t>
    <phoneticPr fontId="3"/>
  </si>
  <si>
    <t>ZMA2851</t>
  </si>
  <si>
    <t xml:space="preserve">Nylon:100%  </t>
  </si>
  <si>
    <t>ZKC4151</t>
  </si>
  <si>
    <t xml:space="preserve">Nylon:65%,Cationic Polyester:35% </t>
  </si>
  <si>
    <t xml:space="preserve"> 2 sets for Pistachio (USD 40/set )</t>
    <phoneticPr fontId="3"/>
  </si>
  <si>
    <t xml:space="preserve">INV Amount 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</si>
  <si>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"/>
        <family val="2"/>
      </rPr>
      <t xml:space="preserve">/m </t>
    </r>
    <rPh sb="0" eb="2">
      <t>タンカ</t>
    </rPh>
    <phoneticPr fontId="3"/>
  </si>
  <si>
    <r>
      <t>620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</si>
  <si>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r>
      <t>1100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4" eb="5">
      <t>エン</t>
    </rPh>
    <phoneticPr fontId="3"/>
  </si>
  <si>
    <t>62456-1</t>
    <phoneticPr fontId="3"/>
  </si>
  <si>
    <r>
      <t>155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</si>
  <si>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t>DTM Citrine Lab-dip 2</t>
    <phoneticPr fontId="3"/>
  </si>
  <si>
    <r>
      <t>2800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4" eb="5">
      <t>エン</t>
    </rPh>
    <phoneticPr fontId="3"/>
  </si>
  <si>
    <t>DTM Topaz Lab-dip 1</t>
    <phoneticPr fontId="3"/>
  </si>
  <si>
    <r>
      <t>65200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 xml:space="preserve"> ( 19600+19600+26000)</t>
    </r>
    <rPh sb="5" eb="6">
      <t>エン</t>
    </rPh>
    <phoneticPr fontId="3"/>
  </si>
  <si>
    <t xml:space="preserve">C&amp;F HK ?? </t>
    <phoneticPr fontId="3"/>
  </si>
  <si>
    <t>ZMA2851 (Trim Lace 100% Nylon)</t>
    <phoneticPr fontId="3"/>
  </si>
  <si>
    <t>ZKC4151(Nylon:65%,Cationic Polyester:35%)</t>
    <phoneticPr fontId="3"/>
  </si>
  <si>
    <t>CIF HK /m</t>
    <phoneticPr fontId="3"/>
  </si>
  <si>
    <t xml:space="preserve">abt 4 weeks </t>
    <phoneticPr fontId="3"/>
  </si>
  <si>
    <t xml:space="preserve">abt 2 - 3 weeks </t>
    <phoneticPr fontId="3"/>
  </si>
  <si>
    <t>出荷順序</t>
    <rPh sb="0" eb="2">
      <t>シュッカ</t>
    </rPh>
    <rPh sb="2" eb="4">
      <t>ジュンジョ</t>
    </rPh>
    <phoneticPr fontId="3"/>
  </si>
  <si>
    <r>
      <rPr>
        <sz val="12"/>
        <rFont val="ＭＳ Ｐゴシック"/>
        <family val="3"/>
        <charset val="128"/>
      </rPr>
      <t>色確認</t>
    </r>
    <r>
      <rPr>
        <sz val="12"/>
        <rFont val="Arial"/>
        <family val="2"/>
      </rPr>
      <t xml:space="preserve">OK </t>
    </r>
    <r>
      <rPr>
        <sz val="12"/>
        <rFont val="ＭＳ Ｐゴシック"/>
        <family val="3"/>
        <charset val="128"/>
      </rPr>
      <t>次第、先出し</t>
    </r>
    <rPh sb="0" eb="1">
      <t>イロ</t>
    </rPh>
    <rPh sb="1" eb="3">
      <t>カクニン</t>
    </rPh>
    <rPh sb="6" eb="8">
      <t>シダイ</t>
    </rPh>
    <rPh sb="9" eb="11">
      <t>サキダ</t>
    </rPh>
    <phoneticPr fontId="3"/>
  </si>
  <si>
    <r>
      <t xml:space="preserve">test 5m + Coach </t>
    </r>
    <r>
      <rPr>
        <sz val="12"/>
        <rFont val="ＭＳ Ｐゴシック"/>
        <family val="3"/>
        <charset val="128"/>
      </rPr>
      <t>控え</t>
    </r>
    <r>
      <rPr>
        <sz val="12"/>
        <rFont val="Arial"/>
        <family val="2"/>
      </rPr>
      <t xml:space="preserve">4m </t>
    </r>
    <rPh sb="16" eb="17">
      <t>ヒカ</t>
    </rPh>
    <phoneticPr fontId="3"/>
  </si>
  <si>
    <r>
      <t xml:space="preserve">test pass </t>
    </r>
    <r>
      <rPr>
        <sz val="12"/>
        <rFont val="ＭＳ Ｐゴシック"/>
        <family val="3"/>
        <charset val="128"/>
      </rPr>
      <t>後の出荷？</t>
    </r>
    <rPh sb="10" eb="11">
      <t>アト</t>
    </rPh>
    <rPh sb="12" eb="14">
      <t>シュッカ</t>
    </rPh>
    <phoneticPr fontId="3"/>
  </si>
  <si>
    <t xml:space="preserve">PI / INV# </t>
    <phoneticPr fontId="3"/>
  </si>
  <si>
    <t>INV # 3251</t>
    <phoneticPr fontId="3"/>
  </si>
  <si>
    <t>INV # 3255</t>
    <phoneticPr fontId="3"/>
  </si>
  <si>
    <t>PI# 3267</t>
    <phoneticPr fontId="3"/>
  </si>
  <si>
    <t>PI# 3270</t>
    <phoneticPr fontId="3"/>
  </si>
  <si>
    <t xml:space="preserve">Total Amount </t>
  </si>
  <si>
    <t>キープ希望</t>
    <rPh sb="3" eb="5">
      <t>キボウ</t>
    </rPh>
    <phoneticPr fontId="3"/>
  </si>
  <si>
    <t>７月</t>
    <rPh sb="1" eb="2">
      <t>ガツ</t>
    </rPh>
    <phoneticPr fontId="3"/>
  </si>
  <si>
    <t>OG1050-FLT</t>
    <phoneticPr fontId="3"/>
  </si>
  <si>
    <t>品質確認中</t>
    <rPh sb="0" eb="2">
      <t>ヒンシツ</t>
    </rPh>
    <rPh sb="2" eb="4">
      <t>カクニン</t>
    </rPh>
    <rPh sb="4" eb="5">
      <t>チュウ</t>
    </rPh>
    <phoneticPr fontId="3"/>
  </si>
  <si>
    <t>仕入単価</t>
    <rPh sb="0" eb="4">
      <t>シイレタンカ</t>
    </rPh>
    <phoneticPr fontId="3"/>
  </si>
  <si>
    <t>01548</t>
    <phoneticPr fontId="3"/>
  </si>
  <si>
    <t>01578</t>
    <phoneticPr fontId="3"/>
  </si>
  <si>
    <t>8000 x 2 sets</t>
    <phoneticPr fontId="3"/>
  </si>
  <si>
    <t>4000 x 2 sets</t>
    <phoneticPr fontId="3"/>
  </si>
  <si>
    <t>01579</t>
    <phoneticPr fontId="3"/>
  </si>
  <si>
    <t>8000 x 1 set</t>
    <phoneticPr fontId="3"/>
  </si>
  <si>
    <t>4000 x 1 set</t>
    <phoneticPr fontId="3"/>
  </si>
  <si>
    <t>弊社色番</t>
    <rPh sb="0" eb="2">
      <t>ヘイシャ</t>
    </rPh>
    <rPh sb="2" eb="4">
      <t>イロバン</t>
    </rPh>
    <phoneticPr fontId="3"/>
  </si>
  <si>
    <t>Ready date</t>
    <phoneticPr fontId="3"/>
  </si>
  <si>
    <t>End of Aug - Beg. Sep</t>
    <phoneticPr fontId="3"/>
  </si>
  <si>
    <r>
      <t>US$180</t>
    </r>
    <r>
      <rPr>
        <b/>
        <sz val="12"/>
        <color indexed="10"/>
        <rFont val="ＭＳ Ｐゴシック"/>
        <family val="3"/>
        <charset val="128"/>
      </rPr>
      <t>に含む</t>
    </r>
    <rPh sb="7" eb="8">
      <t>フク</t>
    </rPh>
    <phoneticPr fontId="3"/>
  </si>
  <si>
    <r>
      <t>US$0.00 (US$180</t>
    </r>
    <r>
      <rPr>
        <b/>
        <sz val="12"/>
        <color indexed="10"/>
        <rFont val="ＭＳ Ｐゴシック"/>
        <family val="3"/>
        <charset val="128"/>
      </rPr>
      <t>に含む</t>
    </r>
    <r>
      <rPr>
        <b/>
        <sz val="12"/>
        <color indexed="10"/>
        <rFont val="Arial"/>
        <family val="2"/>
      </rPr>
      <t>)</t>
    </r>
    <rPh sb="16" eb="17">
      <t>フク</t>
    </rPh>
    <phoneticPr fontId="3"/>
  </si>
  <si>
    <r>
      <rPr>
        <b/>
        <sz val="12"/>
        <rFont val="ＭＳ Ｐゴシック"/>
        <family val="3"/>
        <charset val="128"/>
      </rPr>
      <t>カラー</t>
    </r>
    <r>
      <rPr>
        <b/>
        <sz val="12"/>
        <rFont val="Arial"/>
        <family val="2"/>
      </rPr>
      <t>(Top x Middle x Bottom )</t>
    </r>
    <phoneticPr fontId="3"/>
  </si>
  <si>
    <t>CM-0024(M-75505-00 )</t>
    <phoneticPr fontId="3"/>
  </si>
  <si>
    <r>
      <t>59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</si>
  <si>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46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</si>
  <si>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119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</si>
  <si>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単価/pc</t>
    <rPh sb="0" eb="2">
      <t>タンカ</t>
    </rPh>
    <phoneticPr fontId="3"/>
  </si>
  <si>
    <r>
      <rPr>
        <sz val="12"/>
        <rFont val="ＭＳ Ｐゴシック"/>
        <family val="3"/>
        <charset val="128"/>
      </rPr>
      <t>別注糸代</t>
    </r>
    <r>
      <rPr>
        <sz val="12"/>
        <rFont val="Arial"/>
        <family val="2"/>
      </rPr>
      <t xml:space="preserve"> (L704)</t>
    </r>
    <rPh sb="0" eb="2">
      <t>ベッチュウ</t>
    </rPh>
    <rPh sb="2" eb="3">
      <t>イト</t>
    </rPh>
    <rPh sb="3" eb="4">
      <t>ダイ</t>
    </rPh>
    <phoneticPr fontId="3"/>
  </si>
  <si>
    <r>
      <rPr>
        <sz val="12"/>
        <rFont val="ＭＳ Ｐゴシック"/>
        <family val="3"/>
        <charset val="128"/>
      </rPr>
      <t>別注糸小口製作費</t>
    </r>
    <r>
      <rPr>
        <sz val="12"/>
        <rFont val="Arial"/>
        <family val="2"/>
      </rPr>
      <t xml:space="preserve"> (L704)</t>
    </r>
    <rPh sb="0" eb="2">
      <t>ベッチュウ</t>
    </rPh>
    <rPh sb="2" eb="3">
      <t>イト</t>
    </rPh>
    <rPh sb="3" eb="5">
      <t>コグチ</t>
    </rPh>
    <rPh sb="5" eb="8">
      <t>セイサクヒ</t>
    </rPh>
    <phoneticPr fontId="3"/>
  </si>
  <si>
    <t>小口加工代</t>
    <rPh sb="0" eb="2">
      <t>コグチ</t>
    </rPh>
    <rPh sb="2" eb="4">
      <t>カコウ</t>
    </rPh>
    <rPh sb="4" eb="5">
      <t>ダイ</t>
    </rPh>
    <phoneticPr fontId="3"/>
  </si>
  <si>
    <r>
      <t>6</t>
    </r>
    <r>
      <rPr>
        <b/>
        <sz val="12"/>
        <rFont val="ＭＳ Ｐゴシック"/>
        <family val="3"/>
        <charset val="128"/>
      </rPr>
      <t>反オーダーの場合</t>
    </r>
    <rPh sb="1" eb="2">
      <t>タン</t>
    </rPh>
    <rPh sb="7" eb="9">
      <t>バアイ</t>
    </rPh>
    <phoneticPr fontId="3"/>
  </si>
  <si>
    <t>仕入単価total</t>
    <rPh sb="0" eb="2">
      <t>シイレ</t>
    </rPh>
    <rPh sb="2" eb="4">
      <t>タンカ</t>
    </rPh>
    <phoneticPr fontId="3"/>
  </si>
  <si>
    <r>
      <t>5</t>
    </r>
    <r>
      <rPr>
        <b/>
        <sz val="12"/>
        <rFont val="ＭＳ Ｐゴシック"/>
        <family val="3"/>
        <charset val="128"/>
      </rPr>
      <t>反オーダーの場合</t>
    </r>
    <rPh sb="1" eb="2">
      <t>タン</t>
    </rPh>
    <rPh sb="7" eb="9">
      <t>バアイ</t>
    </rPh>
    <phoneticPr fontId="3"/>
  </si>
  <si>
    <t>Mill's Standard Color</t>
  </si>
  <si>
    <t xml:space="preserve">MOQ / col for standard color </t>
  </si>
  <si>
    <t>Dye min. /col</t>
  </si>
  <si>
    <t>EXW JAPAN /m</t>
  </si>
  <si>
    <t>100% Nylon</t>
  </si>
  <si>
    <t xml:space="preserve">1 roll ( abt 50m) </t>
  </si>
  <si>
    <t>301m -</t>
  </si>
  <si>
    <t>3 sets ( USD 125/set)</t>
    <phoneticPr fontId="3"/>
  </si>
  <si>
    <r>
      <rPr>
        <b/>
        <sz val="11"/>
        <color indexed="8"/>
        <rFont val="ＭＳ Ｐゴシック"/>
        <family val="3"/>
        <charset val="128"/>
      </rPr>
      <t>大阪発行</t>
    </r>
    <r>
      <rPr>
        <b/>
        <sz val="11"/>
        <color indexed="8"/>
        <rFont val="Arial"/>
        <family val="2"/>
      </rPr>
      <t>invoice #</t>
    </r>
    <rPh sb="0" eb="2">
      <t>オオサカ</t>
    </rPh>
    <rPh sb="2" eb="4">
      <t>ハッコウ</t>
    </rPh>
    <phoneticPr fontId="3"/>
  </si>
  <si>
    <t>3569 Nick</t>
    <phoneticPr fontId="3"/>
  </si>
  <si>
    <t>PI# 3838</t>
    <phoneticPr fontId="3"/>
  </si>
  <si>
    <t>INV # 3838</t>
    <phoneticPr fontId="3"/>
  </si>
  <si>
    <t>3606 Elizabeth</t>
    <phoneticPr fontId="3"/>
  </si>
  <si>
    <t>PI# MK-220120</t>
    <phoneticPr fontId="3"/>
  </si>
  <si>
    <t xml:space="preserve">3603  Nick </t>
    <phoneticPr fontId="3"/>
  </si>
  <si>
    <t>PI# MK-220121</t>
    <phoneticPr fontId="3"/>
  </si>
  <si>
    <r>
      <t>3.5</t>
    </r>
    <r>
      <rPr>
        <sz val="12"/>
        <rFont val="ＭＳ Ｐゴシック"/>
        <family val="3"/>
        <charset val="128"/>
      </rPr>
      <t>反フリー</t>
    </r>
    <rPh sb="3" eb="4">
      <t>タン</t>
    </rPh>
    <phoneticPr fontId="3"/>
  </si>
  <si>
    <r>
      <t xml:space="preserve">Col. SO </t>
    </r>
    <r>
      <rPr>
        <sz val="12"/>
        <rFont val="ＭＳ Ｐゴシック"/>
        <family val="3"/>
        <charset val="128"/>
      </rPr>
      <t>での染め替え対応</t>
    </r>
    <rPh sb="10" eb="11">
      <t>ソ</t>
    </rPh>
    <rPh sb="12" eb="13">
      <t>カ</t>
    </rPh>
    <rPh sb="14" eb="16">
      <t>タイオウ</t>
    </rPh>
    <phoneticPr fontId="3"/>
  </si>
  <si>
    <r>
      <t xml:space="preserve">135m </t>
    </r>
    <r>
      <rPr>
        <sz val="12"/>
        <rFont val="ＭＳ Ｐゴシック"/>
        <family val="3"/>
        <charset val="128"/>
      </rPr>
      <t>キープ中</t>
    </r>
    <rPh sb="8" eb="9">
      <t>チュウ</t>
    </rPh>
    <phoneticPr fontId="3"/>
  </si>
  <si>
    <t>EXW JAPAN 
USD/Roll</t>
    <phoneticPr fontId="3"/>
  </si>
  <si>
    <t xml:space="preserve">Order amount </t>
    <phoneticPr fontId="3"/>
  </si>
  <si>
    <t xml:space="preserve">EXW JAPAN 
USD/roll </t>
    <phoneticPr fontId="3"/>
  </si>
  <si>
    <t>EXW (JAPAN) / roll</t>
    <phoneticPr fontId="3"/>
  </si>
  <si>
    <t xml:space="preserve"># 33 Sandstormfor for approval sample  </t>
    <phoneticPr fontId="3"/>
  </si>
  <si>
    <t xml:space="preserve">Cutting Fee for approval sample  </t>
    <phoneticPr fontId="3"/>
  </si>
  <si>
    <t xml:space="preserve">Handling Fee (Inland Freight Charge in Japan) for approval sample </t>
    <phoneticPr fontId="3"/>
  </si>
  <si>
    <r>
      <t>116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3" eb="4">
      <t>エン</t>
    </rPh>
    <phoneticPr fontId="3"/>
  </si>
  <si>
    <r>
      <t>62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2" eb="3">
      <t>エン</t>
    </rPh>
    <phoneticPr fontId="3"/>
  </si>
  <si>
    <t>DTM or Mill's White</t>
    <phoneticPr fontId="3"/>
  </si>
  <si>
    <r>
      <t>7000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 xml:space="preserve">/col </t>
    </r>
    <rPh sb="4" eb="5">
      <t>エン</t>
    </rPh>
    <phoneticPr fontId="3"/>
  </si>
  <si>
    <t xml:space="preserve">20221020 Vera Wang  20% 120 </t>
    <phoneticPr fontId="3"/>
  </si>
  <si>
    <t>反数</t>
    <rPh sb="0" eb="1">
      <t>タン</t>
    </rPh>
    <rPh sb="1" eb="2">
      <t>スウ</t>
    </rPh>
    <phoneticPr fontId="3"/>
  </si>
  <si>
    <t>18E 16th Street 4th Floor  </t>
  </si>
  <si>
    <t>FedEx 949315037</t>
    <phoneticPr fontId="3"/>
  </si>
  <si>
    <t>A&amp;Feng Fashion Ltd.(HK)</t>
    <phoneticPr fontId="3"/>
  </si>
  <si>
    <t>A&amp;Feng Fashion Ltd.(Shenzhen)</t>
    <phoneticPr fontId="3"/>
  </si>
  <si>
    <t xml:space="preserve">Bldg B,  Sunny Ind. Zone Hezhou, Xixiang, </t>
    <phoneticPr fontId="3"/>
  </si>
  <si>
    <t xml:space="preserve">Bao’an Shenzhen, </t>
    <phoneticPr fontId="3"/>
  </si>
  <si>
    <t>Tel: 86 755 29980767</t>
    <phoneticPr fontId="3"/>
  </si>
  <si>
    <t>Tel: 212 630 9977</t>
    <phoneticPr fontId="3"/>
  </si>
  <si>
    <t>501 FIFTH AVENUE 7FL</t>
    <phoneticPr fontId="3"/>
  </si>
  <si>
    <t>Collect</t>
    <phoneticPr fontId="3"/>
  </si>
  <si>
    <t>No. of Package</t>
    <phoneticPr fontId="3"/>
  </si>
  <si>
    <t xml:space="preserve">#50C BLACK </t>
    <phoneticPr fontId="3"/>
  </si>
  <si>
    <t xml:space="preserve">#01C WHITE </t>
    <phoneticPr fontId="3"/>
  </si>
  <si>
    <t xml:space="preserve"> #46C ALLOY</t>
    <phoneticPr fontId="3"/>
  </si>
  <si>
    <t>#L811 GLACIER  (custom)</t>
    <phoneticPr fontId="3"/>
  </si>
  <si>
    <t>#L808 IVORY  (custom)</t>
    <phoneticPr fontId="3"/>
  </si>
  <si>
    <t>Set-up fee for #L811 &amp;# L808</t>
    <phoneticPr fontId="3"/>
  </si>
  <si>
    <t>CCR-02 WAX(SS)</t>
    <phoneticPr fontId="3"/>
  </si>
  <si>
    <t>Set-up fee for #L808 WAX</t>
    <phoneticPr fontId="3"/>
  </si>
  <si>
    <t>#M766 CITRINE (custom)</t>
    <phoneticPr fontId="3"/>
  </si>
  <si>
    <t>#D806 MIDNIGHT (custom)</t>
    <phoneticPr fontId="3"/>
  </si>
  <si>
    <t>Set-up fee for #M766 &amp; # D806</t>
    <phoneticPr fontId="3"/>
  </si>
  <si>
    <t>カラー</t>
    <phoneticPr fontId="3"/>
  </si>
  <si>
    <t>仕立て</t>
    <rPh sb="0" eb="2">
      <t>シタ</t>
    </rPh>
    <phoneticPr fontId="3"/>
  </si>
  <si>
    <t>反数</t>
    <rPh sb="0" eb="2">
      <t>タンスウ</t>
    </rPh>
    <phoneticPr fontId="3"/>
  </si>
  <si>
    <t>合計数量</t>
    <rPh sb="0" eb="2">
      <t>ゴウケイ</t>
    </rPh>
    <rPh sb="2" eb="4">
      <t>スウリョウ</t>
    </rPh>
    <phoneticPr fontId="3"/>
  </si>
  <si>
    <t>単価/m</t>
    <rPh sb="0" eb="2">
      <t>タンカ</t>
    </rPh>
    <phoneticPr fontId="3"/>
  </si>
  <si>
    <t>小計</t>
    <rPh sb="0" eb="2">
      <t>ショウケイ</t>
    </rPh>
    <phoneticPr fontId="3"/>
  </si>
  <si>
    <r>
      <rPr>
        <sz val="10"/>
        <rFont val="ＭＳ Ｐゴシック"/>
        <family val="3"/>
        <charset val="128"/>
      </rPr>
      <t>小口製作代</t>
    </r>
    <r>
      <rPr>
        <sz val="10"/>
        <rFont val="Arial"/>
        <family val="2"/>
      </rPr>
      <t>+</t>
    </r>
    <r>
      <rPr>
        <sz val="10"/>
        <rFont val="ＭＳ Ｐゴシック"/>
        <family val="3"/>
        <charset val="128"/>
      </rPr>
      <t>別注糸代　</t>
    </r>
    <r>
      <rPr>
        <sz val="10"/>
        <rFont val="Arial"/>
        <family val="2"/>
      </rPr>
      <t>11000</t>
    </r>
    <phoneticPr fontId="3"/>
  </si>
  <si>
    <r>
      <rPr>
        <sz val="10"/>
        <rFont val="ＭＳ Ｐゴシック"/>
        <family val="3"/>
        <charset val="128"/>
      </rPr>
      <t>小口製作代のみ　</t>
    </r>
    <r>
      <rPr>
        <sz val="10"/>
        <rFont val="Arial"/>
        <family val="2"/>
      </rPr>
      <t>6000</t>
    </r>
    <phoneticPr fontId="3"/>
  </si>
  <si>
    <r>
      <rPr>
        <sz val="10"/>
        <rFont val="ＭＳ Ｐゴシック"/>
        <family val="3"/>
        <charset val="128"/>
      </rPr>
      <t>小口製作代</t>
    </r>
    <r>
      <rPr>
        <sz val="10"/>
        <rFont val="Arial"/>
        <family val="2"/>
      </rPr>
      <t>+</t>
    </r>
    <r>
      <rPr>
        <sz val="10"/>
        <rFont val="ＭＳ Ｐゴシック"/>
        <family val="3"/>
        <charset val="128"/>
      </rPr>
      <t>別注糸代　</t>
    </r>
    <r>
      <rPr>
        <sz val="10"/>
        <rFont val="Arial"/>
        <family val="2"/>
      </rPr>
      <t>14000</t>
    </r>
    <phoneticPr fontId="3"/>
  </si>
  <si>
    <t>上記と同時手配なので、不要</t>
    <rPh sb="0" eb="2">
      <t>ジョウキ</t>
    </rPh>
    <rPh sb="3" eb="5">
      <t>ドウジ</t>
    </rPh>
    <rPh sb="5" eb="7">
      <t>テハイ</t>
    </rPh>
    <rPh sb="11" eb="13">
      <t>フヨウ</t>
    </rPh>
    <phoneticPr fontId="3"/>
  </si>
  <si>
    <t xml:space="preserve">REF # </t>
    <phoneticPr fontId="3"/>
  </si>
  <si>
    <r>
      <rPr>
        <b/>
        <sz val="12"/>
        <rFont val="Times New Roman"/>
        <family val="1"/>
      </rPr>
      <t>SUN FASHION CORP.</t>
    </r>
    <r>
      <rPr>
        <sz val="10"/>
        <rFont val="Times New Roman"/>
        <family val="1"/>
      </rPr>
      <t xml:space="preserve">
21-10 Fukushima 8 Chome, Fukushima-Ku
Osaka, OSAKA 553-0003, 
TEL: +81 6-6455-7580/ 2850
FAX: +81 6-6452-1641</t>
    </r>
    <phoneticPr fontId="3"/>
  </si>
  <si>
    <t>Account</t>
    <phoneticPr fontId="3"/>
  </si>
  <si>
    <t>New York, U.S.A</t>
    <phoneticPr fontId="3"/>
  </si>
  <si>
    <t>New York, U.S.A</t>
    <phoneticPr fontId="3"/>
  </si>
  <si>
    <t>NET 30days</t>
  </si>
  <si>
    <t>Cut fee</t>
    <phoneticPr fontId="3"/>
  </si>
  <si>
    <r>
      <t xml:space="preserve">end user </t>
    </r>
    <r>
      <rPr>
        <b/>
        <sz val="12"/>
        <rFont val="ＭＳ Ｐゴシック"/>
        <family val="3"/>
        <charset val="128"/>
      </rPr>
      <t>益率</t>
    </r>
    <rPh sb="9" eb="10">
      <t>エキ</t>
    </rPh>
    <rPh sb="10" eb="11">
      <t>リツ</t>
    </rPh>
    <phoneticPr fontId="3"/>
  </si>
  <si>
    <t>現在庫</t>
    <rPh sb="0" eb="3">
      <t>ゲンザイコ</t>
    </rPh>
    <phoneticPr fontId="3"/>
  </si>
  <si>
    <t>不足分納期</t>
    <rPh sb="0" eb="3">
      <t>フソクブン</t>
    </rPh>
    <rPh sb="3" eb="5">
      <t>ノウキ</t>
    </rPh>
    <phoneticPr fontId="3"/>
  </si>
  <si>
    <t>EX-mill (JAPAN)</t>
    <phoneticPr fontId="3"/>
  </si>
  <si>
    <t>14th July – JAPAN time</t>
    <phoneticPr fontId="3"/>
  </si>
  <si>
    <t>Action</t>
    <phoneticPr fontId="3"/>
  </si>
  <si>
    <t>Submission Deadline from HL to Sun Fashion</t>
    <phoneticPr fontId="3"/>
  </si>
  <si>
    <t>Ship out strike-offs as attached</t>
    <phoneticPr fontId="3"/>
  </si>
  <si>
    <t>Before COB on the 17th July - NY time</t>
    <phoneticPr fontId="3"/>
  </si>
  <si>
    <t>Please send us the final artworks</t>
    <phoneticPr fontId="3"/>
  </si>
  <si>
    <t>26th July – JAPAN time</t>
    <phoneticPr fontId="3"/>
  </si>
  <si>
    <t>Ship out strike-offs based on the final artworks</t>
    <phoneticPr fontId="3"/>
  </si>
  <si>
    <t>Before COB on the 28th July – NY time</t>
    <phoneticPr fontId="3"/>
  </si>
  <si>
    <t>Please send us sample PO</t>
    <phoneticPr fontId="3"/>
  </si>
  <si>
    <t>11th August – JAPAN time</t>
    <phoneticPr fontId="3"/>
  </si>
  <si>
    <t>Ship out  sample yds</t>
    <phoneticPr fontId="3"/>
  </si>
  <si>
    <t>利益率</t>
    <rPh sb="0" eb="2">
      <t>リエキ</t>
    </rPh>
    <rPh sb="2" eb="3">
      <t>リツ</t>
    </rPh>
    <phoneticPr fontId="3"/>
  </si>
  <si>
    <t>レート</t>
    <phoneticPr fontId="3"/>
  </si>
  <si>
    <t>EXW JAPAN 
USD/m</t>
    <phoneticPr fontId="162"/>
  </si>
  <si>
    <t>20230709 AW 40% 115円</t>
    <rPh sb="19" eb="20">
      <t>エン</t>
    </rPh>
    <phoneticPr fontId="3"/>
  </si>
  <si>
    <t>BHC-15KW (Button hole elastic)</t>
    <phoneticPr fontId="3"/>
  </si>
  <si>
    <t>MOQ / col</t>
    <phoneticPr fontId="3"/>
  </si>
  <si>
    <t>BHC-15BK (Button hole elastic)</t>
    <phoneticPr fontId="3"/>
  </si>
  <si>
    <t>Mill's Greige</t>
    <phoneticPr fontId="3"/>
  </si>
  <si>
    <t>反単価</t>
    <rPh sb="0" eb="1">
      <t>タン</t>
    </rPh>
    <rPh sb="1" eb="3">
      <t>タンカ</t>
    </rPh>
    <phoneticPr fontId="3"/>
  </si>
  <si>
    <t>メーター単価</t>
    <rPh sb="4" eb="6">
      <t>タンカ</t>
    </rPh>
    <phoneticPr fontId="3"/>
  </si>
  <si>
    <t>BHC-18KW (Button hole elastic)</t>
    <phoneticPr fontId="3"/>
  </si>
  <si>
    <t>BHC-20KW (Button hole elastic)</t>
    <phoneticPr fontId="3"/>
  </si>
  <si>
    <t>BHC-25KW (Button hole elastic)</t>
    <phoneticPr fontId="3"/>
  </si>
  <si>
    <t>BHC-18BK (Button hole elastic)</t>
    <phoneticPr fontId="3"/>
  </si>
  <si>
    <t>BHC-20BK (Button hole elastic)</t>
    <phoneticPr fontId="3"/>
  </si>
  <si>
    <t>BHC-25BK (Button hole elastic)</t>
    <phoneticPr fontId="3"/>
  </si>
  <si>
    <t>BHC-15 Mill's Colors (Button hole elastic)</t>
    <phoneticPr fontId="3"/>
  </si>
  <si>
    <t>BHC-18  Mill's Colors (Button hole elastic)</t>
    <phoneticPr fontId="3"/>
  </si>
  <si>
    <t>BHC-20  Mill's Colors (Button hole elastic)</t>
    <phoneticPr fontId="3"/>
  </si>
  <si>
    <t>BHC-25  Mill's Colors (Button hole elastic)</t>
    <phoneticPr fontId="3"/>
  </si>
  <si>
    <t xml:space="preserve">Mill's 16 Colors on the sample card </t>
    <phoneticPr fontId="3"/>
  </si>
  <si>
    <t>30 rolls /col (900m/col)</t>
    <phoneticPr fontId="162"/>
  </si>
  <si>
    <t>10 rolls /col (300m/col)</t>
    <phoneticPr fontId="162"/>
  </si>
  <si>
    <t>BHC-15 Custom Colors (Button hole elastic)</t>
    <phoneticPr fontId="3"/>
  </si>
  <si>
    <t>BHC-18  Custom Colors (Button hole elastic)</t>
    <phoneticPr fontId="3"/>
  </si>
  <si>
    <t>BHC-20  Custom Colors (Button hole elastic)</t>
    <phoneticPr fontId="3"/>
  </si>
  <si>
    <t>BHC-25  Custom Colors (Button hole elastic)</t>
    <phoneticPr fontId="3"/>
  </si>
  <si>
    <t>Custom colors</t>
    <phoneticPr fontId="3"/>
  </si>
  <si>
    <t>Put-up/roll</t>
    <phoneticPr fontId="3"/>
  </si>
  <si>
    <t>1 roll (30m/col)</t>
    <phoneticPr fontId="162"/>
  </si>
  <si>
    <t>TBC</t>
    <phoneticPr fontId="3"/>
  </si>
  <si>
    <r>
      <t xml:space="preserve">INV# green </t>
    </r>
    <r>
      <rPr>
        <b/>
        <sz val="11"/>
        <color rgb="FF00B050"/>
        <rFont val="ＭＳ Ｐゴシック"/>
        <family val="3"/>
        <charset val="128"/>
      </rPr>
      <t>実績表未</t>
    </r>
    <rPh sb="11" eb="14">
      <t>ジッセキヒョウ</t>
    </rPh>
    <rPh sb="14" eb="15">
      <t>ミ</t>
    </rPh>
    <phoneticPr fontId="3"/>
  </si>
  <si>
    <t>KYL-25431</t>
    <phoneticPr fontId="3"/>
  </si>
  <si>
    <t xml:space="preserve">20230927 Helmut Lang </t>
    <phoneticPr fontId="3"/>
  </si>
  <si>
    <t>EXW JAPAN /m</t>
    <phoneticPr fontId="3"/>
  </si>
  <si>
    <t>仕入単価</t>
    <rPh sb="0" eb="2">
      <t>シイレ</t>
    </rPh>
    <rPh sb="2" eb="4">
      <t>タンカ</t>
    </rPh>
    <phoneticPr fontId="3"/>
  </si>
  <si>
    <t># 9000 ( Washable synthetic leather)</t>
    <phoneticPr fontId="3"/>
  </si>
  <si>
    <t>Flat cut tape 38mm</t>
    <phoneticPr fontId="3"/>
  </si>
  <si>
    <t>abt 25m/roll</t>
    <phoneticPr fontId="3"/>
  </si>
  <si>
    <t># 3000 ( Eco Blue leather)</t>
    <phoneticPr fontId="3"/>
  </si>
  <si>
    <t>abt 20m/roll</t>
    <phoneticPr fontId="3"/>
  </si>
  <si>
    <t># 5000 (Mayfair)</t>
    <phoneticPr fontId="3"/>
  </si>
  <si>
    <t>*There may be a joint on each roll, therefore 1 roll can be 2 pieces.</t>
    <phoneticPr fontId="3"/>
  </si>
  <si>
    <t>20230927 Alexander Wang</t>
    <phoneticPr fontId="3"/>
  </si>
  <si>
    <t xml:space="preserve">Cord Stopper Pattern# 2006 (SFMO-Marine Star) </t>
    <phoneticPr fontId="3"/>
  </si>
  <si>
    <t>MS119 / MS104</t>
    <phoneticPr fontId="3"/>
  </si>
  <si>
    <t>100pcs /col</t>
    <phoneticPr fontId="3"/>
  </si>
  <si>
    <t xml:space="preserve">Cord Stopper Pattern# 2772 (SFMO-Marine Star) </t>
    <phoneticPr fontId="3"/>
  </si>
  <si>
    <t xml:space="preserve">Cord Stopper Pattern# 3659 (SFMO-Marine Star) </t>
    <phoneticPr fontId="3"/>
  </si>
  <si>
    <t xml:space="preserve">Cord Stopper Pattern# 2046 (SFMO-Marine Star) </t>
    <phoneticPr fontId="3"/>
  </si>
  <si>
    <t>EXW JAPAN /pc</t>
    <phoneticPr fontId="3"/>
  </si>
  <si>
    <t xml:space="preserve">*These items are made to order, therefore L/T varies depending on each order qty. </t>
    <phoneticPr fontId="3"/>
  </si>
  <si>
    <t># 3019 Black</t>
    <phoneticPr fontId="3"/>
  </si>
  <si>
    <t># 5019 Black</t>
    <phoneticPr fontId="3"/>
  </si>
  <si>
    <t>20230929 Helmut Lang Bulk price</t>
    <phoneticPr fontId="3"/>
  </si>
  <si>
    <t>EXW JAPAN /m for 1,000m</t>
    <phoneticPr fontId="3"/>
  </si>
  <si>
    <r>
      <rPr>
        <sz val="11"/>
        <rFont val="MS UI Gothic"/>
        <family val="3"/>
        <charset val="128"/>
      </rPr>
      <t>福井県越前市千原町</t>
    </r>
    <r>
      <rPr>
        <sz val="11"/>
        <rFont val="Times New Roman"/>
        <family val="1"/>
      </rPr>
      <t>2-6</t>
    </r>
    <phoneticPr fontId="3"/>
  </si>
  <si>
    <t>Article No. / Color</t>
    <phoneticPr fontId="162"/>
  </si>
  <si>
    <t>EXW JAPAN /m 
based on 6 rolls/col</t>
    <phoneticPr fontId="162"/>
  </si>
  <si>
    <r>
      <t xml:space="preserve">EXW JAPAN /m 
based on 1 roll (13.7m) sample 
</t>
    </r>
    <r>
      <rPr>
        <b/>
        <sz val="10"/>
        <color rgb="FF000000"/>
        <rFont val="ＭＳ Ｐゴシック"/>
        <family val="3"/>
        <charset val="128"/>
      </rPr>
      <t>⇒</t>
    </r>
    <r>
      <rPr>
        <b/>
        <sz val="10"/>
        <color rgb="FF000000"/>
        <rFont val="Arial  "/>
        <family val="2"/>
      </rPr>
      <t>Regular price x 1.5</t>
    </r>
    <phoneticPr fontId="162"/>
  </si>
  <si>
    <r>
      <t xml:space="preserve">EXW JAPAN /m 
based on 10m sample
</t>
    </r>
    <r>
      <rPr>
        <b/>
        <sz val="10"/>
        <color rgb="FF000000"/>
        <rFont val="ＭＳ Ｐゴシック"/>
        <family val="3"/>
        <charset val="128"/>
      </rPr>
      <t>⇒</t>
    </r>
    <r>
      <rPr>
        <b/>
        <sz val="10"/>
        <color rgb="FF000000"/>
        <rFont val="Arial  "/>
        <family val="2"/>
      </rPr>
      <t>Regular price x 2</t>
    </r>
    <phoneticPr fontId="162"/>
  </si>
  <si>
    <r>
      <t xml:space="preserve">EXW JAPAN /m 
based on 4.5m sample
</t>
    </r>
    <r>
      <rPr>
        <b/>
        <sz val="10"/>
        <color rgb="FF000000"/>
        <rFont val="ＭＳ Ｐゴシック"/>
        <family val="3"/>
        <charset val="128"/>
      </rPr>
      <t>⇒</t>
    </r>
    <r>
      <rPr>
        <b/>
        <sz val="10"/>
        <color rgb="FF000000"/>
        <rFont val="Arial  "/>
        <family val="2"/>
      </rPr>
      <t>Regular price x 2</t>
    </r>
    <phoneticPr fontId="162"/>
  </si>
  <si>
    <t>利益率</t>
  </si>
  <si>
    <t>レート</t>
  </si>
  <si>
    <t>FLR-85053 (as is) / Mill's Off White</t>
    <phoneticPr fontId="3"/>
  </si>
  <si>
    <t>Production Minimum</t>
    <phoneticPr fontId="162"/>
  </si>
  <si>
    <r>
      <t>DYED COTTON LACE</t>
    </r>
    <r>
      <rPr>
        <sz val="10"/>
        <color rgb="FFFF0000"/>
        <rFont val="ＭＳ Ｐゴシック"/>
        <family val="3"/>
        <charset val="128"/>
      </rPr>
      <t/>
    </r>
  </si>
  <si>
    <r>
      <t>6</t>
    </r>
    <r>
      <rPr>
        <sz val="10"/>
        <color rgb="FFFF0000"/>
        <rFont val="ＭＳ Ｐゴシック"/>
        <family val="3"/>
        <charset val="128"/>
      </rPr>
      <t>～</t>
    </r>
    <r>
      <rPr>
        <sz val="10"/>
        <color rgb="FFFF0000"/>
        <rFont val="Arial  "/>
        <family val="2"/>
      </rPr>
      <t>10 ROLLS/COL</t>
    </r>
    <phoneticPr fontId="162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</si>
  <si>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560/m up</t>
    </r>
  </si>
  <si>
    <r>
      <t>11</t>
    </r>
    <r>
      <rPr>
        <sz val="10"/>
        <color rgb="FFFF0000"/>
        <rFont val="ＭＳ Ｐゴシック"/>
        <family val="3"/>
        <charset val="128"/>
      </rPr>
      <t>～</t>
    </r>
    <r>
      <rPr>
        <sz val="10"/>
        <color rgb="FFFF0000"/>
        <rFont val="Arial  "/>
        <family val="2"/>
      </rPr>
      <t>30 ROLLS/COL</t>
    </r>
    <phoneticPr fontId="162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</si>
  <si>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370/m up</t>
    </r>
  </si>
  <si>
    <r>
      <t>31</t>
    </r>
    <r>
      <rPr>
        <sz val="10"/>
        <color rgb="FFFF0000"/>
        <rFont val="ＭＳ Ｐゴシック"/>
        <family val="3"/>
        <charset val="128"/>
      </rPr>
      <t>～</t>
    </r>
    <r>
      <rPr>
        <sz val="10"/>
        <color rgb="FFFF0000"/>
        <rFont val="Arial  "/>
        <family val="2"/>
      </rPr>
      <t>ROLLS/COL</t>
    </r>
    <phoneticPr fontId="162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</si>
  <si>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230/m up</t>
    </r>
  </si>
  <si>
    <t>Dye qty</t>
    <phoneticPr fontId="3"/>
  </si>
  <si>
    <t>Dye surcharge per meter</t>
    <phoneticPr fontId="3"/>
  </si>
  <si>
    <r>
      <t>6</t>
    </r>
    <r>
      <rPr>
        <sz val="10"/>
        <rFont val="ＭＳ Ｐゴシック"/>
        <family val="3"/>
        <charset val="128"/>
      </rPr>
      <t>～</t>
    </r>
    <r>
      <rPr>
        <sz val="10"/>
        <rFont val="Arial  "/>
        <family val="2"/>
      </rPr>
      <t>10 ROLLS/COL</t>
    </r>
    <phoneticPr fontId="162"/>
  </si>
  <si>
    <t>(Custom color)</t>
    <phoneticPr fontId="3"/>
  </si>
  <si>
    <r>
      <t>11</t>
    </r>
    <r>
      <rPr>
        <sz val="10"/>
        <rFont val="ＭＳ Ｐゴシック"/>
        <family val="3"/>
        <charset val="128"/>
      </rPr>
      <t>～</t>
    </r>
    <r>
      <rPr>
        <sz val="10"/>
        <rFont val="Arial  "/>
        <family val="2"/>
      </rPr>
      <t>30 ROLLS/COL</t>
    </r>
    <phoneticPr fontId="162"/>
  </si>
  <si>
    <r>
      <t>31</t>
    </r>
    <r>
      <rPr>
        <sz val="10"/>
        <rFont val="ＭＳ Ｐゴシック"/>
        <family val="3"/>
        <charset val="128"/>
      </rPr>
      <t>～</t>
    </r>
    <r>
      <rPr>
        <sz val="10"/>
        <rFont val="Arial  "/>
        <family val="2"/>
      </rPr>
      <t>ROLLS/COL</t>
    </r>
    <phoneticPr fontId="162"/>
  </si>
  <si>
    <t>FLR-72552  / Navy x Black x Blue</t>
  </si>
  <si>
    <t>FLR-72552 /  White x Black</t>
  </si>
  <si>
    <r>
      <rPr>
        <b/>
        <sz val="10"/>
        <color rgb="FFFF00FF"/>
        <rFont val="ＭＳ Ｐゴシック"/>
        <family val="3"/>
        <charset val="128"/>
      </rPr>
      <t>通常単価</t>
    </r>
    <r>
      <rPr>
        <b/>
        <sz val="10"/>
        <color rgb="FFFF00FF"/>
        <rFont val="Arial  "/>
        <family val="2"/>
      </rPr>
      <t>/m</t>
    </r>
    <rPh sb="0" eb="2">
      <t>ツウジョウ</t>
    </rPh>
    <phoneticPr fontId="162"/>
  </si>
  <si>
    <r>
      <t>FLR-03842 ( 1300VV )</t>
    </r>
    <r>
      <rPr>
        <sz val="10"/>
        <color rgb="FF000000"/>
        <rFont val="ＭＳ Ｐゴシック"/>
        <family val="3"/>
        <charset val="128"/>
      </rPr>
      <t xml:space="preserve">　
</t>
    </r>
    <r>
      <rPr>
        <sz val="10"/>
        <color rgb="FF000000"/>
        <rFont val="Arial  "/>
        <family val="2"/>
      </rPr>
      <t>Color : # Black x # 5138BK Gold(Alpure)</t>
    </r>
    <phoneticPr fontId="3"/>
  </si>
  <si>
    <t>ODLR 20240213</t>
    <phoneticPr fontId="3"/>
  </si>
  <si>
    <t>MOQ:6 rolls(82.2m) / col 
(made to order)</t>
    <phoneticPr fontId="3"/>
  </si>
  <si>
    <t xml:space="preserve">SAG6660 Mill's standard colors </t>
    <phoneticPr fontId="3"/>
  </si>
  <si>
    <t xml:space="preserve">SAG6660 Mill's standard colors </t>
    <phoneticPr fontId="3"/>
  </si>
  <si>
    <t>SAG6660 Custom colors</t>
    <phoneticPr fontId="3"/>
  </si>
  <si>
    <t>Order condition</t>
    <phoneticPr fontId="3"/>
  </si>
  <si>
    <t>価格</t>
    <rPh sb="0" eb="2">
      <t>カカク</t>
    </rPh>
    <phoneticPr fontId="3"/>
  </si>
  <si>
    <t>110/112cm×abt.44m</t>
    <phoneticPr fontId="3"/>
  </si>
  <si>
    <t xml:space="preserve">by roll ( abt 44m/roll) </t>
    <phoneticPr fontId="3"/>
  </si>
  <si>
    <t>Sample cut (when in stock)</t>
    <phoneticPr fontId="3"/>
  </si>
  <si>
    <t>MOQ : 6 rolls /col -</t>
    <phoneticPr fontId="3"/>
  </si>
  <si>
    <r>
      <t xml:space="preserve">below MOQ </t>
    </r>
    <r>
      <rPr>
        <sz val="10"/>
        <rFont val="ＭＳ Ｐゴシック"/>
        <family val="3"/>
        <charset val="128"/>
      </rPr>
      <t>→</t>
    </r>
    <r>
      <rPr>
        <sz val="10"/>
        <rFont val="Arial  "/>
        <family val="2"/>
      </rPr>
      <t>1 - 5 rolls / col</t>
    </r>
    <phoneticPr fontId="3"/>
  </si>
  <si>
    <t>For  FLR-85053  (Cotton lace) / DTM color</t>
    <phoneticPr fontId="3"/>
  </si>
  <si>
    <t>Article No. / Color</t>
  </si>
  <si>
    <t>Production Minimum</t>
  </si>
  <si>
    <t>EXW JAPAN /m 
based on 6 rolls/col</t>
  </si>
  <si>
    <t>FLR-85053 (as is) / Mill's Off White</t>
  </si>
  <si>
    <t>MOQ:6 rolls(82.2m) / col 
(made to order)</t>
  </si>
  <si>
    <t>MOQ:6 rolls(82.2m) / col 
(made to order)</t>
    <phoneticPr fontId="3"/>
  </si>
  <si>
    <t>-</t>
    <phoneticPr fontId="3"/>
  </si>
  <si>
    <r>
      <t xml:space="preserve">ODLR </t>
    </r>
    <r>
      <rPr>
        <sz val="10"/>
        <rFont val="ＭＳ Ｐゴシック"/>
        <family val="3"/>
        <charset val="128"/>
      </rPr>
      <t>東さん報告用</t>
    </r>
    <rPh sb="5" eb="6">
      <t>ヒガシ</t>
    </rPh>
    <rPh sb="8" eb="10">
      <t>ホウコク</t>
    </rPh>
    <rPh sb="10" eb="11">
      <t>ヨウ</t>
    </rPh>
    <phoneticPr fontId="3"/>
  </si>
  <si>
    <r>
      <t>FLR-03842 ( 1300VV )</t>
    </r>
    <r>
      <rPr>
        <sz val="10"/>
        <rFont val="ＭＳ Ｐゴシック"/>
        <family val="3"/>
        <charset val="128"/>
      </rPr>
      <t xml:space="preserve">　
</t>
    </r>
    <r>
      <rPr>
        <sz val="10"/>
        <rFont val="Arial  "/>
        <family val="2"/>
      </rPr>
      <t>Color : # Black x # 5138BK Gold(Alpure)</t>
    </r>
  </si>
  <si>
    <t>FLR-85053 (as is) / DTM</t>
    <phoneticPr fontId="3"/>
  </si>
  <si>
    <t xml:space="preserve">Air Fabric Color-sputtering  100% Polyester </t>
    <phoneticPr fontId="3"/>
  </si>
  <si>
    <t>EXW JAPAN /m 
based on 2 rolls/col or 4 rolls/col</t>
    <phoneticPr fontId="162"/>
  </si>
  <si>
    <t>2 ROLLS/COL</t>
    <phoneticPr fontId="162"/>
  </si>
  <si>
    <t>4 ROLLS/COL</t>
    <phoneticPr fontId="162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</si>
  <si>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1050/m up</t>
    </r>
    <phoneticPr fontId="3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</si>
  <si>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720/m up</t>
    </r>
    <phoneticPr fontId="3"/>
  </si>
  <si>
    <t xml:space="preserve">For  FLR-85053 in double scale </t>
    <phoneticPr fontId="3"/>
  </si>
  <si>
    <t xml:space="preserve">Development  fee </t>
    <phoneticPr fontId="3"/>
  </si>
  <si>
    <t xml:space="preserve">Pruduction price </t>
    <phoneticPr fontId="3"/>
  </si>
  <si>
    <r>
      <rPr>
        <sz val="12"/>
        <rFont val="ＭＳ Ｐゴシック"/>
        <family val="3"/>
        <charset val="128"/>
      </rPr>
      <t>パンチ代</t>
    </r>
    <r>
      <rPr>
        <sz val="12"/>
        <rFont val="Arial  "/>
        <family val="2"/>
      </rPr>
      <t xml:space="preserve"> 15000 - 20000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>/</t>
    </r>
    <r>
      <rPr>
        <sz val="12"/>
        <rFont val="ＭＳ Ｐゴシック"/>
        <family val="3"/>
        <charset val="128"/>
      </rPr>
      <t>柄</t>
    </r>
    <r>
      <rPr>
        <sz val="12"/>
        <rFont val="Arial  "/>
        <family val="2"/>
      </rPr>
      <t/>
    </r>
    <phoneticPr fontId="3"/>
  </si>
  <si>
    <t>仕入金額</t>
    <rPh sb="0" eb="2">
      <t>シイレ</t>
    </rPh>
    <rPh sb="2" eb="4">
      <t>キンガク</t>
    </rPh>
    <phoneticPr fontId="3"/>
  </si>
  <si>
    <t>5437</t>
    <phoneticPr fontId="3"/>
  </si>
  <si>
    <t>OVERDUE</t>
  </si>
  <si>
    <t>5468</t>
    <phoneticPr fontId="3"/>
  </si>
  <si>
    <t>5640</t>
    <phoneticPr fontId="3"/>
  </si>
  <si>
    <t>5794</t>
    <phoneticPr fontId="3"/>
  </si>
  <si>
    <t xml:space="preserve">Dion Lee open invoice </t>
    <phoneticPr fontId="3"/>
  </si>
  <si>
    <t>Invoice No</t>
    <phoneticPr fontId="3"/>
  </si>
  <si>
    <t>Invoice Date</t>
    <phoneticPr fontId="3"/>
  </si>
  <si>
    <t>Due Date</t>
    <phoneticPr fontId="3"/>
  </si>
  <si>
    <t>Over Due</t>
    <phoneticPr fontId="3"/>
  </si>
  <si>
    <t>NN007-CSP</t>
    <phoneticPr fontId="3"/>
  </si>
  <si>
    <t xml:space="preserve">Air Fabric  100% Polyester </t>
    <phoneticPr fontId="3"/>
  </si>
  <si>
    <t>NN007</t>
    <phoneticPr fontId="3"/>
  </si>
  <si>
    <t># FB</t>
    <phoneticPr fontId="3"/>
  </si>
  <si>
    <t>Sub-total</t>
    <phoneticPr fontId="3"/>
  </si>
  <si>
    <t xml:space="preserve">Total Amount </t>
    <phoneticPr fontId="3"/>
  </si>
  <si>
    <t>Coach 20240524</t>
    <phoneticPr fontId="3"/>
  </si>
  <si>
    <t>4141</t>
    <phoneticPr fontId="3"/>
  </si>
  <si>
    <t>E3721</t>
    <phoneticPr fontId="3"/>
  </si>
  <si>
    <t>仕入れ価格</t>
    <rPh sb="0" eb="2">
      <t>シイ</t>
    </rPh>
    <rPh sb="3" eb="5">
      <t>カカク</t>
    </rPh>
    <phoneticPr fontId="3"/>
  </si>
  <si>
    <t>TI-7150</t>
    <phoneticPr fontId="3"/>
  </si>
  <si>
    <t>1 roll (30m/roll)</t>
    <phoneticPr fontId="3"/>
  </si>
  <si>
    <t>1 roll (20m/roll)</t>
    <phoneticPr fontId="3"/>
  </si>
  <si>
    <t>TI-1034</t>
    <phoneticPr fontId="3"/>
  </si>
  <si>
    <t>E3703</t>
    <phoneticPr fontId="3"/>
  </si>
  <si>
    <t>FLR-72540</t>
    <phoneticPr fontId="3"/>
  </si>
  <si>
    <t>D/#</t>
    <phoneticPr fontId="3"/>
  </si>
  <si>
    <t>Color</t>
    <phoneticPr fontId="3"/>
  </si>
  <si>
    <t>RU20-21</t>
  </si>
  <si>
    <t xml:space="preserve">4568DIA </t>
    <phoneticPr fontId="3"/>
  </si>
  <si>
    <t xml:space="preserve">7110-quilting </t>
    <phoneticPr fontId="3"/>
  </si>
  <si>
    <t xml:space="preserve">90Box-xx </t>
    <phoneticPr fontId="3"/>
  </si>
  <si>
    <t>7110-quilting</t>
    <phoneticPr fontId="3"/>
  </si>
  <si>
    <t xml:space="preserve">90Box  </t>
    <phoneticPr fontId="3"/>
  </si>
  <si>
    <t>1380-silk quilting</t>
    <phoneticPr fontId="3"/>
  </si>
  <si>
    <t>Dia shirring silver thread</t>
    <phoneticPr fontId="3"/>
  </si>
  <si>
    <t>MC2403</t>
    <phoneticPr fontId="3"/>
  </si>
  <si>
    <t>1380-815</t>
    <phoneticPr fontId="3"/>
  </si>
  <si>
    <t>1380-quilting (silk)</t>
    <phoneticPr fontId="3"/>
  </si>
  <si>
    <t>QT</t>
    <phoneticPr fontId="3"/>
  </si>
  <si>
    <t>7500JS</t>
    <phoneticPr fontId="3"/>
  </si>
  <si>
    <t>7500SS</t>
    <phoneticPr fontId="3"/>
  </si>
  <si>
    <t>7500-006</t>
    <phoneticPr fontId="3"/>
  </si>
  <si>
    <t>Bordaux</t>
    <phoneticPr fontId="3"/>
  </si>
  <si>
    <t>7120NP→(=7120)</t>
    <phoneticPr fontId="3"/>
  </si>
  <si>
    <t>QT-2</t>
    <phoneticPr fontId="3"/>
  </si>
  <si>
    <t>111-0052</t>
    <phoneticPr fontId="3"/>
  </si>
  <si>
    <r>
      <rPr>
        <sz val="11"/>
        <rFont val="MS UI Gothic"/>
        <family val="3"/>
        <charset val="128"/>
      </rPr>
      <t>東京都台東区柳橋</t>
    </r>
    <r>
      <rPr>
        <sz val="11"/>
        <rFont val="Times New Roman"/>
        <family val="3"/>
      </rPr>
      <t>2-16-14</t>
    </r>
    <r>
      <rPr>
        <sz val="11"/>
        <rFont val="游ゴシック"/>
        <family val="3"/>
        <charset val="128"/>
      </rPr>
      <t>バッグ会館</t>
    </r>
    <r>
      <rPr>
        <sz val="11"/>
        <rFont val="Times New Roman"/>
        <family val="3"/>
      </rPr>
      <t>5</t>
    </r>
    <r>
      <rPr>
        <sz val="11"/>
        <rFont val="游ゴシック"/>
        <family val="3"/>
        <charset val="128"/>
      </rPr>
      <t>階</t>
    </r>
    <phoneticPr fontId="3"/>
  </si>
  <si>
    <t>Article / Qty</t>
    <phoneticPr fontId="3"/>
  </si>
  <si>
    <t>仕入れ単価 price valid : March 31st 2025</t>
    <rPh sb="0" eb="2">
      <t>シイ</t>
    </rPh>
    <rPh sb="3" eb="5">
      <t>タンカ</t>
    </rPh>
    <phoneticPr fontId="3"/>
  </si>
  <si>
    <r>
      <t>KFUT5116 D#F3445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</si>
  <si>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 xml:space="preserve">梱包費用 +30 </t>
    <rPh sb="0" eb="2">
      <t>コンポウ</t>
    </rPh>
    <rPh sb="2" eb="4">
      <t>ヒヨウ</t>
    </rPh>
    <phoneticPr fontId="3"/>
  </si>
  <si>
    <t xml:space="preserve">20241111 3.1 PL   20% レート120 </t>
    <phoneticPr fontId="3"/>
  </si>
  <si>
    <t>KFUT5116 D#F3445 (Mill's color) 
based on Regular price</t>
    <phoneticPr fontId="3"/>
  </si>
  <si>
    <t>KFUT5116 D#F3445 (Mill's color) 
based on 1000m/order</t>
    <phoneticPr fontId="3"/>
  </si>
  <si>
    <t>KFUT5116 D#F3445 (Mill's color) 
based on 2000m/order</t>
    <phoneticPr fontId="3"/>
  </si>
  <si>
    <t>KFUT5116 D#F3445 (Mill's color) 
based on 3000m/order</t>
    <phoneticPr fontId="3"/>
  </si>
  <si>
    <t>EXW JAPAN /m (price valid : March 25th 2025)</t>
    <phoneticPr fontId="3"/>
  </si>
  <si>
    <t>KFUT5116 D#F3445</t>
    <phoneticPr fontId="3"/>
  </si>
  <si>
    <t># 20BK Black</t>
    <phoneticPr fontId="3"/>
  </si>
  <si>
    <t># 118OW White</t>
    <phoneticPr fontId="3"/>
  </si>
  <si>
    <r>
      <rPr>
        <sz val="11"/>
        <rFont val="ＭＳ Ｐゴシック"/>
        <family val="1"/>
        <charset val="128"/>
      </rPr>
      <t>加栄レース株式会社</t>
    </r>
    <phoneticPr fontId="3"/>
  </si>
  <si>
    <t>376-0013</t>
    <phoneticPr fontId="3"/>
  </si>
  <si>
    <r>
      <rPr>
        <sz val="11"/>
        <rFont val="ＭＳ Ｐゴシック"/>
        <family val="1"/>
        <charset val="128"/>
      </rPr>
      <t>群馬県桐生市広沢町</t>
    </r>
    <r>
      <rPr>
        <sz val="11"/>
        <rFont val="Times New Roman"/>
        <family val="1"/>
      </rPr>
      <t>7-5281-1</t>
    </r>
    <phoneticPr fontId="3"/>
  </si>
  <si>
    <t>0277-52-5652</t>
    <phoneticPr fontId="3"/>
  </si>
  <si>
    <t>0277-52-5651</t>
    <phoneticPr fontId="3"/>
  </si>
  <si>
    <t>Black x Gold</t>
    <phoneticPr fontId="3"/>
  </si>
  <si>
    <t>Black x Silver</t>
    <phoneticPr fontId="3"/>
  </si>
  <si>
    <t>6019</t>
    <phoneticPr fontId="3"/>
  </si>
  <si>
    <r>
      <t>Amount (</t>
    </r>
    <r>
      <rPr>
        <sz val="11"/>
        <rFont val="ＭＳ Ｐゴシック"/>
        <family val="2"/>
        <charset val="128"/>
      </rPr>
      <t>顧客請求）</t>
    </r>
    <rPh sb="8" eb="10">
      <t>コキャク</t>
    </rPh>
    <rPh sb="10" eb="12">
      <t>セイキュウ</t>
    </rPh>
    <phoneticPr fontId="3"/>
  </si>
  <si>
    <r>
      <t>Cost (Osaka</t>
    </r>
    <r>
      <rPr>
        <sz val="11"/>
        <rFont val="游ゴシック Medium"/>
        <family val="3"/>
        <charset val="128"/>
      </rPr>
      <t>→</t>
    </r>
    <r>
      <rPr>
        <sz val="11"/>
        <rFont val="Arial  "/>
        <family val="2"/>
      </rPr>
      <t xml:space="preserve">SF USA) </t>
    </r>
    <phoneticPr fontId="3"/>
  </si>
  <si>
    <r>
      <rPr>
        <sz val="11"/>
        <rFont val="游ゴシック Medium"/>
        <family val="3"/>
        <charset val="128"/>
      </rPr>
      <t>仕入金額
（合計）</t>
    </r>
    <rPh sb="0" eb="2">
      <t>シイレ</t>
    </rPh>
    <rPh sb="2" eb="4">
      <t>キンガク</t>
    </rPh>
    <rPh sb="6" eb="8">
      <t>ゴウケイ</t>
    </rPh>
    <phoneticPr fontId="3"/>
  </si>
  <si>
    <r>
      <rPr>
        <sz val="11"/>
        <rFont val="ＭＳ Ｐゴシック"/>
        <family val="3"/>
        <charset val="128"/>
      </rPr>
      <t>出荷保留分合計</t>
    </r>
    <rPh sb="0" eb="2">
      <t>シュッカ</t>
    </rPh>
    <rPh sb="2" eb="4">
      <t>ホリュウ</t>
    </rPh>
    <rPh sb="4" eb="5">
      <t>ブン</t>
    </rPh>
    <rPh sb="5" eb="7">
      <t>ゴウケイ</t>
    </rPh>
    <phoneticPr fontId="3"/>
  </si>
  <si>
    <t>(出荷保留分ロゴ別注)</t>
    <rPh sb="1" eb="3">
      <t>シュッカ</t>
    </rPh>
    <rPh sb="3" eb="5">
      <t>ホリュウ</t>
    </rPh>
    <rPh sb="5" eb="6">
      <t>ブン</t>
    </rPh>
    <rPh sb="8" eb="10">
      <t>ベッチュウ</t>
    </rPh>
    <phoneticPr fontId="3"/>
  </si>
  <si>
    <t>KS9315</t>
  </si>
  <si>
    <t>Knit Tape</t>
  </si>
  <si>
    <t>Polyester-100%</t>
  </si>
  <si>
    <t>20241204 Coach</t>
    <phoneticPr fontId="3"/>
  </si>
  <si>
    <t>KS-9625</t>
    <phoneticPr fontId="3"/>
  </si>
  <si>
    <t>1 roll (=50m/roll)</t>
    <phoneticPr fontId="3"/>
  </si>
  <si>
    <t>1 roll (=30m/roll)</t>
    <phoneticPr fontId="3"/>
  </si>
  <si>
    <t>Wool Knit Tapes</t>
    <phoneticPr fontId="3"/>
  </si>
  <si>
    <t>Wool-100%</t>
    <phoneticPr fontId="3"/>
  </si>
  <si>
    <t>1 roll (=15m/roll)</t>
    <phoneticPr fontId="3"/>
  </si>
  <si>
    <t>Knit Stretch Binder Tapes</t>
    <phoneticPr fontId="3"/>
  </si>
  <si>
    <t>Polyester-100%</t>
    <phoneticPr fontId="3"/>
  </si>
  <si>
    <r>
      <t>Polyester-90%</t>
    </r>
    <r>
      <rPr>
        <sz val="10"/>
        <rFont val="ＭＳ Ｐゴシック"/>
        <family val="3"/>
        <charset val="128"/>
      </rPr>
      <t>，</t>
    </r>
    <r>
      <rPr>
        <sz val="10"/>
        <rFont val="Arial  "/>
        <family val="2"/>
      </rPr>
      <t>Polyurethane-10%</t>
    </r>
    <phoneticPr fontId="3"/>
  </si>
  <si>
    <r>
      <t>20mm(10mm×2</t>
    </r>
    <r>
      <rPr>
        <sz val="10"/>
        <rFont val="ＭＳ Ｐゴシック"/>
        <family val="3"/>
        <charset val="128"/>
      </rPr>
      <t>）</t>
    </r>
    <phoneticPr fontId="3"/>
  </si>
  <si>
    <r>
      <t>24mm(12mm×2</t>
    </r>
    <r>
      <rPr>
        <sz val="10"/>
        <rFont val="ＭＳ Ｐゴシック"/>
        <family val="3"/>
        <charset val="128"/>
      </rPr>
      <t>）</t>
    </r>
    <phoneticPr fontId="3"/>
  </si>
  <si>
    <r>
      <t>30mm(15mm×2</t>
    </r>
    <r>
      <rPr>
        <sz val="10"/>
        <rFont val="ＭＳ Ｐゴシック"/>
        <family val="3"/>
        <charset val="128"/>
      </rPr>
      <t>）</t>
    </r>
    <phoneticPr fontId="3"/>
  </si>
  <si>
    <t>Based on Qty below</t>
    <phoneticPr fontId="3"/>
  </si>
  <si>
    <t>EXW JAPAN price/m</t>
    <phoneticPr fontId="3"/>
  </si>
  <si>
    <t>NOTE</t>
    <phoneticPr fontId="3"/>
  </si>
  <si>
    <t>仕入</t>
    <rPh sb="0" eb="2">
      <t>シイレ</t>
    </rPh>
    <phoneticPr fontId="3"/>
  </si>
  <si>
    <t>利益率</t>
    <rPh sb="0" eb="3">
      <t>リエキリツ</t>
    </rPh>
    <phoneticPr fontId="3"/>
  </si>
  <si>
    <t>sample cut( when in stock)</t>
    <phoneticPr fontId="3"/>
  </si>
  <si>
    <t>アップチャージ +300円/m</t>
    <rPh sb="12" eb="13">
      <t>エン</t>
    </rPh>
    <phoneticPr fontId="3"/>
  </si>
  <si>
    <t>20241211 Carolina Herrera</t>
    <phoneticPr fontId="3"/>
  </si>
  <si>
    <t>SAG-7570 Mill's Standard color</t>
    <phoneticPr fontId="3"/>
  </si>
  <si>
    <t>SAG-7540 Mill's Standard color</t>
    <phoneticPr fontId="3"/>
  </si>
  <si>
    <t>105/108cm</t>
    <phoneticPr fontId="3"/>
  </si>
  <si>
    <t>Width</t>
    <phoneticPr fontId="3"/>
  </si>
  <si>
    <t>92/95cm</t>
    <phoneticPr fontId="3"/>
  </si>
  <si>
    <t xml:space="preserve">1 roll/col (abt 44m/col) - </t>
    <phoneticPr fontId="3"/>
  </si>
  <si>
    <t>P20932</t>
    <phoneticPr fontId="3"/>
  </si>
  <si>
    <t>Custom Logo</t>
    <phoneticPr fontId="3"/>
  </si>
  <si>
    <t>Custom Logo Print set-up fee</t>
    <phoneticPr fontId="3"/>
  </si>
  <si>
    <t>合計金額</t>
    <rPh sb="0" eb="2">
      <t>ゴウケイ</t>
    </rPh>
    <rPh sb="2" eb="4">
      <t>キンガク</t>
    </rPh>
    <phoneticPr fontId="3"/>
  </si>
  <si>
    <t>20241213 Erik Barshai</t>
    <phoneticPr fontId="3"/>
  </si>
  <si>
    <t>バルクミニマム：4 roll/col (abt 84m/col)</t>
    <phoneticPr fontId="3"/>
  </si>
  <si>
    <t>SAG-7120NP</t>
    <phoneticPr fontId="3"/>
  </si>
  <si>
    <t xml:space="preserve">FUT9936 D#3 </t>
    <phoneticPr fontId="3"/>
  </si>
  <si>
    <t xml:space="preserve">1 roll/col (abt 50m/col) - </t>
    <phoneticPr fontId="3"/>
  </si>
  <si>
    <r>
      <t xml:space="preserve">Sample cut up to 10m ( less than </t>
    </r>
    <r>
      <rPr>
        <sz val="10"/>
        <rFont val="Arial  "/>
        <family val="2"/>
      </rPr>
      <t>2.9m</t>
    </r>
    <r>
      <rPr>
        <sz val="10"/>
        <rFont val="Arial  "/>
        <family val="2"/>
        <charset val="128"/>
      </rPr>
      <t>→</t>
    </r>
    <r>
      <rPr>
        <sz val="10"/>
        <rFont val="Arial  "/>
        <family val="2"/>
      </rPr>
      <t xml:space="preserve"> + US$15/cut)</t>
    </r>
    <phoneticPr fontId="3"/>
  </si>
  <si>
    <t>Made to order : 1 roll/col (abt 21m/col)</t>
    <phoneticPr fontId="3"/>
  </si>
  <si>
    <t>Made to order : 4 roll/col (abt 84m/col)</t>
    <phoneticPr fontId="3"/>
  </si>
  <si>
    <t>FLR-72586</t>
    <phoneticPr fontId="3"/>
  </si>
  <si>
    <t>Made to order : 6 rolls/col (abt 82.2m/col)</t>
    <phoneticPr fontId="3"/>
  </si>
  <si>
    <t>Made to order : 1 roll/col (abt 13.7m/col)</t>
    <phoneticPr fontId="3"/>
  </si>
  <si>
    <t xml:space="preserve">20241219 Kelly Faetanini   20% レート120 </t>
    <phoneticPr fontId="3"/>
  </si>
  <si>
    <r>
      <t>KFUT5116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</si>
  <si>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*D#F3444 &amp; D#F3407 &amp; D#F3431</t>
    <phoneticPr fontId="3"/>
  </si>
  <si>
    <t>EXW JAPAN /m (price valid : February 15th,2025)</t>
    <phoneticPr fontId="3"/>
  </si>
  <si>
    <t xml:space="preserve">仕入れ単価 </t>
    <rPh sb="0" eb="2">
      <t>シイ</t>
    </rPh>
    <rPh sb="3" eb="5">
      <t>タンカ</t>
    </rPh>
    <phoneticPr fontId="3"/>
  </si>
  <si>
    <t>COL. 9-BLACK</t>
    <phoneticPr fontId="3"/>
  </si>
  <si>
    <r>
      <t>FUT3536F3Y-W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</si>
  <si>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FUT3536F3Y-W (Mill's color) 
based on Regular price</t>
    <phoneticPr fontId="3"/>
  </si>
  <si>
    <t>T9000</t>
  </si>
  <si>
    <t>160×50</t>
  </si>
  <si>
    <t>Varca Bridal 20250127</t>
    <phoneticPr fontId="3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</si>
  <si>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</rPr>
      <t>30</t>
    </r>
    <r>
      <rPr>
        <b/>
        <sz val="10"/>
        <color theme="1"/>
        <rFont val="Malgun Gothic"/>
        <family val="2"/>
        <charset val="129"/>
      </rPr>
      <t>円</t>
    </r>
    <r>
      <rPr>
        <b/>
        <sz val="10"/>
        <color theme="1"/>
        <rFont val="Microsoft JhengHei"/>
        <family val="2"/>
        <charset val="136"/>
      </rPr>
      <t>込）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3"/>
  </si>
  <si>
    <t>T9000RE</t>
    <phoneticPr fontId="3"/>
  </si>
  <si>
    <t>150×50</t>
    <phoneticPr fontId="3"/>
  </si>
  <si>
    <r>
      <t>FUT3341 D/#2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</si>
  <si>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FUT3341 D/#2 (Mill's color)  
based on Regular price</t>
    <phoneticPr fontId="3"/>
  </si>
  <si>
    <t>105/110×50</t>
    <phoneticPr fontId="3"/>
  </si>
  <si>
    <t>Up to 25m with 
Cut Fee : US$ 12/cut</t>
    <phoneticPr fontId="162"/>
  </si>
  <si>
    <t>up to TBC</t>
    <phoneticPr fontId="3"/>
  </si>
  <si>
    <t>-</t>
    <phoneticPr fontId="3"/>
  </si>
  <si>
    <r>
      <t>POLYESTER 100</t>
    </r>
    <r>
      <rPr>
        <sz val="10"/>
        <color rgb="FF000000"/>
        <rFont val="ＭＳ Ｐゴシック"/>
        <family val="3"/>
        <charset val="128"/>
      </rPr>
      <t>％</t>
    </r>
  </si>
  <si>
    <r>
      <t>RECYCLED POLYESTER 100</t>
    </r>
    <r>
      <rPr>
        <sz val="10"/>
        <color rgb="FF000000"/>
        <rFont val="ＭＳ Ｐゴシック"/>
        <family val="3"/>
        <charset val="128"/>
      </rPr>
      <t>％</t>
    </r>
    <phoneticPr fontId="3"/>
  </si>
  <si>
    <r>
      <t>NYLON 100</t>
    </r>
    <r>
      <rPr>
        <sz val="10"/>
        <color rgb="FF000000"/>
        <rFont val="ＭＳ Ｐゴシック"/>
        <family val="3"/>
        <charset val="128"/>
      </rPr>
      <t>％</t>
    </r>
    <phoneticPr fontId="3"/>
  </si>
  <si>
    <t>濵田</t>
    <rPh sb="0" eb="1">
      <t>ハマ</t>
    </rPh>
    <rPh sb="1" eb="2">
      <t>タ</t>
    </rPh>
    <phoneticPr fontId="3"/>
  </si>
  <si>
    <r>
      <t>2440</t>
    </r>
    <r>
      <rPr>
        <sz val="10"/>
        <rFont val="ＭＳ Ｐゴシック"/>
        <family val="2"/>
        <charset val="128"/>
      </rPr>
      <t>　在庫抜取</t>
    </r>
    <rPh sb="5" eb="7">
      <t>ザイコ</t>
    </rPh>
    <rPh sb="7" eb="8">
      <t>ヌ</t>
    </rPh>
    <rPh sb="8" eb="9">
      <t>ト</t>
    </rPh>
    <phoneticPr fontId="3"/>
  </si>
  <si>
    <r>
      <t>2440</t>
    </r>
    <r>
      <rPr>
        <sz val="10"/>
        <rFont val="ＭＳ Ｐゴシック"/>
        <family val="2"/>
        <charset val="128"/>
      </rPr>
      <t>　新規生産</t>
    </r>
    <rPh sb="5" eb="7">
      <t>シンキ</t>
    </rPh>
    <rPh sb="7" eb="9">
      <t>セイサン</t>
    </rPh>
    <phoneticPr fontId="3"/>
  </si>
  <si>
    <r>
      <t>5521</t>
    </r>
    <r>
      <rPr>
        <sz val="10"/>
        <rFont val="ＭＳ Ｐゴシック"/>
        <family val="2"/>
        <charset val="128"/>
      </rPr>
      <t>　新規生産分</t>
    </r>
    <rPh sb="5" eb="7">
      <t>シンキ</t>
    </rPh>
    <rPh sb="7" eb="9">
      <t>セイサン</t>
    </rPh>
    <rPh sb="9" eb="10">
      <t>ブン</t>
    </rPh>
    <phoneticPr fontId="3"/>
  </si>
  <si>
    <r>
      <t xml:space="preserve">5521 </t>
    </r>
    <r>
      <rPr>
        <sz val="10"/>
        <rFont val="ＭＳ Ｐゴシック"/>
        <family val="2"/>
        <charset val="128"/>
      </rPr>
      <t>在庫抜取</t>
    </r>
    <rPh sb="5" eb="7">
      <t>ザイコ</t>
    </rPh>
    <rPh sb="7" eb="9">
      <t>ヌキトリ</t>
    </rPh>
    <phoneticPr fontId="3"/>
  </si>
  <si>
    <t>Vera Wang 20250203</t>
    <phoneticPr fontId="3"/>
  </si>
  <si>
    <t>6120-FT</t>
    <phoneticPr fontId="3"/>
  </si>
  <si>
    <t>145×58</t>
    <phoneticPr fontId="3"/>
  </si>
  <si>
    <t>POLYESTER 100％</t>
    <phoneticPr fontId="3"/>
  </si>
  <si>
    <t>Cut Fee : US$ 12/cut</t>
    <phoneticPr fontId="162"/>
  </si>
  <si>
    <t xml:space="preserve">   package</t>
    <phoneticPr fontId="3"/>
  </si>
  <si>
    <t xml:space="preserve">    x    x    cm</t>
    <phoneticPr fontId="3"/>
  </si>
  <si>
    <t xml:space="preserve">    KG</t>
    <phoneticPr fontId="3"/>
  </si>
  <si>
    <t>Danielle Frankel  20250214</t>
    <phoneticPr fontId="3"/>
  </si>
  <si>
    <t>Mill's Off White (undyed)</t>
    <phoneticPr fontId="3"/>
  </si>
  <si>
    <r>
      <t>20250225  3.1 PL 40% 120</t>
    </r>
    <r>
      <rPr>
        <b/>
        <sz val="10"/>
        <rFont val="ＭＳ Ｐゴシック"/>
        <family val="3"/>
        <charset val="128"/>
      </rPr>
      <t>円</t>
    </r>
    <rPh sb="24" eb="25">
      <t>エン</t>
    </rPh>
    <phoneticPr fontId="3"/>
  </si>
  <si>
    <t>FWL-21404</t>
    <phoneticPr fontId="3"/>
  </si>
  <si>
    <t>FWL-22055</t>
    <phoneticPr fontId="3"/>
  </si>
  <si>
    <t>FWL-21963</t>
    <phoneticPr fontId="3"/>
  </si>
  <si>
    <t>FWL-21907</t>
    <phoneticPr fontId="3"/>
  </si>
  <si>
    <t>FWL-21571</t>
    <phoneticPr fontId="3"/>
  </si>
  <si>
    <t>FWL-21967</t>
    <phoneticPr fontId="3"/>
  </si>
  <si>
    <t>KYL-25172</t>
    <phoneticPr fontId="3"/>
  </si>
  <si>
    <t>MOQ/col</t>
    <phoneticPr fontId="3"/>
  </si>
  <si>
    <t>DTM (piece dye)</t>
    <phoneticPr fontId="3"/>
  </si>
  <si>
    <t>-</t>
    <phoneticPr fontId="3"/>
  </si>
  <si>
    <r>
      <rPr>
        <b/>
        <sz val="10"/>
        <rFont val="ＭＳ Ｐゴシック"/>
        <family val="3"/>
        <charset val="128"/>
      </rPr>
      <t>単価</t>
    </r>
    <rPh sb="0" eb="2">
      <t>タンカ</t>
    </rPh>
    <phoneticPr fontId="3"/>
  </si>
  <si>
    <r>
      <t>DTM (piece dye)</t>
    </r>
    <r>
      <rPr>
        <sz val="10"/>
        <rFont val="ＭＳ Ｐゴシック"/>
        <family val="2"/>
        <charset val="128"/>
      </rPr>
      <t>　別注色</t>
    </r>
    <rPh sb="16" eb="19">
      <t>ベッチュウイロ</t>
    </rPh>
    <phoneticPr fontId="3"/>
  </si>
  <si>
    <r>
      <t>Mill's Off White (undyed)</t>
    </r>
    <r>
      <rPr>
        <sz val="10"/>
        <rFont val="ＭＳ Ｐゴシック"/>
        <family val="2"/>
        <charset val="128"/>
      </rPr>
      <t>　オフ白</t>
    </r>
    <rPh sb="28" eb="29">
      <t>シロ</t>
    </rPh>
    <phoneticPr fontId="3"/>
  </si>
  <si>
    <t>現在庫</t>
    <rPh sb="0" eb="1">
      <t>ゲン</t>
    </rPh>
    <rPh sb="1" eb="3">
      <t>ザイコ</t>
    </rPh>
    <phoneticPr fontId="3"/>
  </si>
  <si>
    <t>染色代？</t>
    <rPh sb="0" eb="3">
      <t>センショクダイ</t>
    </rPh>
    <phoneticPr fontId="3"/>
  </si>
  <si>
    <t>FWL-21975</t>
    <phoneticPr fontId="3"/>
  </si>
  <si>
    <t>染色代 80</t>
    <rPh sb="0" eb="3">
      <t>センショクダイ</t>
    </rPh>
    <phoneticPr fontId="3"/>
  </si>
  <si>
    <t>染色代 90</t>
    <phoneticPr fontId="3"/>
  </si>
  <si>
    <t>染色代 70</t>
    <phoneticPr fontId="3"/>
  </si>
  <si>
    <t>染色代 80</t>
    <phoneticPr fontId="3"/>
  </si>
  <si>
    <t>-</t>
    <phoneticPr fontId="3"/>
  </si>
  <si>
    <t>1,000m</t>
    <phoneticPr fontId="3"/>
  </si>
  <si>
    <t>200m</t>
    <phoneticPr fontId="3"/>
  </si>
  <si>
    <t>1,100m</t>
    <phoneticPr fontId="3"/>
  </si>
  <si>
    <t>2,000m</t>
    <phoneticPr fontId="3"/>
  </si>
  <si>
    <t>1,200m</t>
    <phoneticPr fontId="3"/>
  </si>
  <si>
    <t>137m</t>
  </si>
  <si>
    <t>137m</t>
    <phoneticPr fontId="3"/>
  </si>
  <si>
    <r>
      <rPr>
        <sz val="10"/>
        <rFont val="ＭＳ ゴシック"/>
        <family val="3"/>
        <charset val="128"/>
      </rPr>
      <t>染色代</t>
    </r>
    <r>
      <rPr>
        <sz val="10"/>
        <rFont val="Arial  "/>
        <family val="2"/>
      </rPr>
      <t xml:space="preserve"> 40</t>
    </r>
    <phoneticPr fontId="3"/>
  </si>
  <si>
    <t>13.7m</t>
    <phoneticPr fontId="3"/>
  </si>
  <si>
    <t>Stock in Mill's Off White as of Feb 25th, 2025</t>
    <phoneticPr fontId="3"/>
  </si>
  <si>
    <r>
      <rPr>
        <sz val="10"/>
        <rFont val="ＭＳ Ｐゴシック"/>
        <family val="3"/>
        <charset val="128"/>
      </rPr>
      <t>染色小口代</t>
    </r>
    <r>
      <rPr>
        <sz val="10"/>
        <rFont val="Arial"/>
        <family val="2"/>
      </rPr>
      <t xml:space="preserve"> 7000 </t>
    </r>
    <r>
      <rPr>
        <sz val="10"/>
        <rFont val="ＭＳ Ｐゴシック"/>
        <family val="3"/>
        <charset val="128"/>
      </rPr>
      <t>～</t>
    </r>
    <r>
      <rPr>
        <sz val="10"/>
        <rFont val="Arial"/>
        <family val="2"/>
      </rPr>
      <t>12000</t>
    </r>
    <r>
      <rPr>
        <sz val="10"/>
        <rFont val="ＭＳ Ｐゴシック"/>
        <family val="3"/>
        <charset val="128"/>
      </rPr>
      <t>円→</t>
    </r>
    <r>
      <rPr>
        <sz val="10"/>
        <rFont val="Arial"/>
        <family val="2"/>
      </rPr>
      <t>$ 75 - $ 125 per art&amp;col&amp;order</t>
    </r>
    <rPh sb="0" eb="2">
      <t>センショク</t>
    </rPh>
    <rPh sb="2" eb="4">
      <t>コグチ</t>
    </rPh>
    <rPh sb="4" eb="5">
      <t>ダイ</t>
    </rPh>
    <rPh sb="17" eb="18">
      <t>エン</t>
    </rPh>
    <phoneticPr fontId="3"/>
  </si>
  <si>
    <t>20250226 Morilee   20% レート</t>
    <phoneticPr fontId="3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</si>
  <si>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</rPr>
      <t>30</t>
    </r>
    <r>
      <rPr>
        <b/>
        <sz val="10"/>
        <color theme="1"/>
        <rFont val="Malgun Gothic"/>
        <family val="2"/>
        <charset val="129"/>
      </rPr>
      <t>円</t>
    </r>
    <r>
      <rPr>
        <b/>
        <sz val="10"/>
        <color theme="1"/>
        <rFont val="Microsoft JhengHei"/>
        <family val="2"/>
        <charset val="136"/>
      </rPr>
      <t xml:space="preserve">込）
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3"/>
  </si>
  <si>
    <r>
      <t>KFUT5116 D#F3431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</si>
  <si>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KFUT5116 D#F3431 (Mill's color) 
based on Regular price</t>
    <phoneticPr fontId="3"/>
  </si>
  <si>
    <t>US$31.57/m + US$12/cut</t>
    <phoneticPr fontId="3"/>
  </si>
  <si>
    <t>NN007-CB (Mill's color)  
based on Regular price</t>
    <phoneticPr fontId="3"/>
  </si>
  <si>
    <t>NN007-CB (Mill's color)  
sample cut</t>
    <phoneticPr fontId="3"/>
  </si>
  <si>
    <t>KLS-M20932-2
sample cut price</t>
    <phoneticPr fontId="3"/>
  </si>
  <si>
    <t>US$25/m + US$5/cut</t>
    <phoneticPr fontId="3"/>
  </si>
  <si>
    <t>KLS-M20932-2 (*1)
Production price based on 180m/col</t>
    <phoneticPr fontId="3"/>
  </si>
  <si>
    <t>*1→Due to the use of Lame thread, the rayon parts are dyed with direct dyes. As a result, the wet rubbing fastness for dark colors is rated as Grade 2-3.</t>
    <phoneticPr fontId="3"/>
  </si>
  <si>
    <t>6120-FT</t>
    <phoneticPr fontId="3"/>
  </si>
  <si>
    <t>3.1 PL 20250303</t>
    <phoneticPr fontId="3"/>
  </si>
  <si>
    <t>バルクプライス</t>
    <phoneticPr fontId="3"/>
  </si>
  <si>
    <t>order qty</t>
    <phoneticPr fontId="3"/>
  </si>
  <si>
    <t>58m/col</t>
    <phoneticPr fontId="3"/>
  </si>
  <si>
    <t>580m/col</t>
    <phoneticPr fontId="3"/>
  </si>
  <si>
    <t>1,160m/col</t>
    <phoneticPr fontId="3"/>
  </si>
  <si>
    <t>2,800m/col</t>
    <phoneticPr fontId="3"/>
  </si>
  <si>
    <t># 64 CLOUD</t>
    <phoneticPr fontId="3"/>
  </si>
  <si>
    <t># 31 OFF WHITE</t>
    <phoneticPr fontId="3"/>
  </si>
  <si>
    <t>12272 (03/11/25)</t>
    <phoneticPr fontId="3"/>
  </si>
  <si>
    <r>
      <t xml:space="preserve">12272 (03/11/25) </t>
    </r>
    <r>
      <rPr>
        <sz val="12"/>
        <color rgb="FF0070C0"/>
        <rFont val="Arial"/>
        <family val="2"/>
      </rPr>
      <t>ship to Maxwell</t>
    </r>
    <phoneticPr fontId="3"/>
  </si>
  <si>
    <r>
      <t xml:space="preserve">12272 (03/11/25) </t>
    </r>
    <r>
      <rPr>
        <sz val="12"/>
        <color rgb="FF0070C0"/>
        <rFont val="Arial"/>
        <family val="2"/>
      </rPr>
      <t>ship to NY</t>
    </r>
    <phoneticPr fontId="3"/>
  </si>
  <si>
    <t>PO# / ship to</t>
    <phoneticPr fontId="3"/>
  </si>
  <si>
    <r>
      <t xml:space="preserve">12272 (03/11/25) </t>
    </r>
    <r>
      <rPr>
        <sz val="12"/>
        <color rgb="FF0070C0"/>
        <rFont val="Arial"/>
        <family val="2"/>
      </rPr>
      <t>ship to HK</t>
    </r>
    <phoneticPr fontId="3"/>
  </si>
  <si>
    <t>REF# / ship to</t>
    <phoneticPr fontId="3"/>
  </si>
  <si>
    <r>
      <t>KYL-T25109-1</t>
    </r>
    <r>
      <rPr>
        <sz val="11"/>
        <rFont val="ＭＳ Ｐ明朝"/>
        <family val="1"/>
        <charset val="128"/>
      </rPr>
      <t>　→</t>
    </r>
    <r>
      <rPr>
        <sz val="11"/>
        <rFont val="Times New Roman"/>
        <family val="1"/>
      </rPr>
      <t>special dye fee $</t>
    </r>
    <r>
      <rPr>
        <sz val="11"/>
        <rFont val="ＭＳ Ｐ明朝"/>
        <family val="1"/>
        <charset val="128"/>
      </rPr>
      <t>　125 → $ 95</t>
    </r>
    <phoneticPr fontId="3"/>
  </si>
  <si>
    <r>
      <t>FWL-21571→special dye fee $</t>
    </r>
    <r>
      <rPr>
        <sz val="10"/>
        <rFont val="ＭＳ Ｐ明朝"/>
        <family val="3"/>
        <charset val="128"/>
      </rPr>
      <t>　85</t>
    </r>
    <r>
      <rPr>
        <sz val="10"/>
        <rFont val="Arial"/>
        <family val="3"/>
        <charset val="128"/>
      </rPr>
      <t xml:space="preserve"> → $ 65</t>
    </r>
    <phoneticPr fontId="3"/>
  </si>
  <si>
    <r>
      <t xml:space="preserve">20250319 </t>
    </r>
    <r>
      <rPr>
        <sz val="10"/>
        <rFont val="ＭＳ Ｐゴシック"/>
        <family val="3"/>
        <charset val="128"/>
      </rPr>
      <t>提案</t>
    </r>
    <rPh sb="9" eb="11">
      <t>テイアン</t>
    </rPh>
    <phoneticPr fontId="3"/>
  </si>
  <si>
    <t>20250321更新</t>
    <rPh sb="8" eb="10">
      <t>コウシン</t>
    </rPh>
    <phoneticPr fontId="3"/>
  </si>
  <si>
    <r>
      <t xml:space="preserve">KFUT5116 D#F3445 (Mill's color) 
based on 2850m/order </t>
    </r>
    <r>
      <rPr>
        <sz val="10"/>
        <rFont val="ＭＳ Ｐゴシック"/>
        <family val="2"/>
        <charset val="128"/>
      </rPr>
      <t>確定数量</t>
    </r>
    <rPh sb="54" eb="56">
      <t>カクテイ</t>
    </rPh>
    <rPh sb="56" eb="58">
      <t>スウリョウ</t>
    </rPh>
    <phoneticPr fontId="3"/>
  </si>
  <si>
    <t>Pattern#</t>
  </si>
  <si>
    <t>WIDTHCM</t>
  </si>
  <si>
    <t>inch</t>
  </si>
  <si>
    <t>ZKC2061</t>
  </si>
  <si>
    <t>Nylon:100%</t>
  </si>
  <si>
    <t>over 10m</t>
    <phoneticPr fontId="3"/>
  </si>
  <si>
    <t>over 100m</t>
    <phoneticPr fontId="3"/>
  </si>
  <si>
    <t>over 300m</t>
    <phoneticPr fontId="3"/>
  </si>
  <si>
    <t>over 1000m</t>
    <phoneticPr fontId="3"/>
  </si>
  <si>
    <r>
      <rPr>
        <b/>
        <i/>
        <sz val="12"/>
        <rFont val="ＭＳ Ｐゴシック"/>
        <family val="2"/>
        <scheme val="minor"/>
      </rPr>
      <t>USD (FOB)</t>
    </r>
    <r>
      <rPr>
        <b/>
        <sz val="12"/>
        <rFont val="ＭＳ Ｐゴシック"/>
        <family val="2"/>
        <scheme val="minor"/>
      </rPr>
      <t xml:space="preserve">  Per </t>
    </r>
    <r>
      <rPr>
        <b/>
        <u/>
        <sz val="12"/>
        <rFont val="ＭＳ Ｐゴシック"/>
        <family val="2"/>
        <scheme val="minor"/>
      </rPr>
      <t>METER</t>
    </r>
    <r>
      <rPr>
        <b/>
        <sz val="12"/>
        <rFont val="ＭＳ Ｐゴシック"/>
        <family val="2"/>
        <scheme val="minor"/>
      </rPr>
      <t xml:space="preserve"> </t>
    </r>
    <phoneticPr fontId="3"/>
  </si>
  <si>
    <t>20250321 Monse  20% レート</t>
    <phoneticPr fontId="3"/>
  </si>
  <si>
    <r>
      <t>FUT3428 D/#1 (Mill's color) 
Sample cut price (up tp 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</si>
  <si>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FUT3428 D/#1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</si>
  <si>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r>
      <t xml:space="preserve">GS-NS3472T (Mill's Off &amp; Black)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  "/>
        <family val="2"/>
      </rPr>
      <t xml:space="preserve"> (1 roll=abt 50m)</t>
    </r>
    <phoneticPr fontId="3"/>
  </si>
  <si>
    <t>135/138cm×abt 50m</t>
    <phoneticPr fontId="3"/>
  </si>
  <si>
    <t>140/145cm×abt 50m</t>
    <phoneticPr fontId="3"/>
  </si>
  <si>
    <t>DTM STONE#12-4301TCX</t>
    <phoneticPr fontId="3"/>
  </si>
  <si>
    <t>DTM OXFORD BLUE#16-4030TCX</t>
    <phoneticPr fontId="3"/>
  </si>
  <si>
    <t>DTM MIDNIGHT#19-4015TCX</t>
    <phoneticPr fontId="3"/>
  </si>
  <si>
    <r>
      <t xml:space="preserve">GS-NS3472T (Mill's Off &amp; Black) 
Sample cut price (up to </t>
    </r>
    <r>
      <rPr>
        <sz val="10"/>
        <color rgb="FF000000"/>
        <rFont val="Arial  "/>
        <family val="2"/>
      </rPr>
      <t>10m</t>
    </r>
    <r>
      <rPr>
        <sz val="10"/>
        <color rgb="FF000000"/>
        <rFont val="Arial  "/>
        <family val="2"/>
        <charset val="1"/>
      </rPr>
      <t>→</t>
    </r>
    <r>
      <rPr>
        <sz val="10"/>
        <color rgb="FF000000"/>
        <rFont val="Arial  "/>
        <family val="2"/>
      </rPr>
      <t>US$10/cut)</t>
    </r>
    <phoneticPr fontId="3"/>
  </si>
  <si>
    <t>PRICE (BULK):</t>
  </si>
  <si>
    <t>0-100 YDS/MTS:</t>
  </si>
  <si>
    <t> JPY810/m</t>
  </si>
  <si>
    <t>100-300 YRDS/MTS</t>
  </si>
  <si>
    <t>300-500 YDS/MTS:</t>
  </si>
  <si>
    <t> JPY790/m　</t>
  </si>
  <si>
    <t>500-1K YDS/MTS:</t>
  </si>
  <si>
    <t> JPY760/m　</t>
  </si>
  <si>
    <t>20250325 バルク見積もり FUT3428</t>
    <rPh sb="12" eb="14">
      <t>ミツ</t>
    </rPh>
    <phoneticPr fontId="3"/>
  </si>
  <si>
    <t>20250325 バルク見積もり GS-NS3472T</t>
    <rPh sb="12" eb="14">
      <t>ミツ</t>
    </rPh>
    <phoneticPr fontId="3"/>
  </si>
  <si>
    <t>通常単価@580円/mでのキバタ生産ロットは20反です。
1〜9反での生産は@100円/mアップ
10〜19反だと@50円/mアップとなります。</t>
    <phoneticPr fontId="3"/>
  </si>
  <si>
    <t># 20BK Black / # 118OW White</t>
    <phoneticPr fontId="3"/>
  </si>
  <si>
    <t>Monique Lhuillier Inc.</t>
    <phoneticPr fontId="3"/>
  </si>
  <si>
    <r>
      <t>PO</t>
    </r>
    <r>
      <rPr>
        <sz val="24"/>
        <color indexed="8"/>
        <rFont val="ＭＳ Ｐゴシック"/>
        <family val="3"/>
        <charset val="128"/>
      </rPr>
      <t>　</t>
    </r>
    <r>
      <rPr>
        <sz val="24"/>
        <color indexed="8"/>
        <rFont val="Arial"/>
        <family val="2"/>
      </rPr>
      <t>No.</t>
    </r>
    <phoneticPr fontId="3"/>
  </si>
  <si>
    <t>228614  ship to LA&amp;228710 LA</t>
    <phoneticPr fontId="3"/>
  </si>
  <si>
    <t>Article No. :</t>
  </si>
  <si>
    <t>T3500C</t>
  </si>
  <si>
    <t>Country of Origin : China</t>
    <phoneticPr fontId="3"/>
  </si>
  <si>
    <t>Carton NO. 1</t>
    <phoneticPr fontId="3"/>
  </si>
  <si>
    <t>228701 LA</t>
    <phoneticPr fontId="3"/>
  </si>
  <si>
    <t>Country of Origin : Japan</t>
    <phoneticPr fontId="3"/>
  </si>
  <si>
    <t>Carton NO. 2</t>
    <phoneticPr fontId="3"/>
  </si>
  <si>
    <t>抜き取り単価 @ 1,420/m</t>
  </si>
  <si>
    <t>1k/order@1340/m</t>
  </si>
  <si>
    <t>2k/order@1290/m </t>
  </si>
  <si>
    <t>3k/order@1210/m</t>
  </si>
  <si>
    <t xml:space="preserve">20250401 Morilee   20% レート120 </t>
    <phoneticPr fontId="3"/>
  </si>
  <si>
    <t>KF4005 D#F-3407</t>
    <phoneticPr fontId="3"/>
  </si>
  <si>
    <r>
      <t xml:space="preserve">KFUT5116 D#F3407 (Mill's color) 
Based on 1 roll </t>
    </r>
    <r>
      <rPr>
        <sz val="10"/>
        <rFont val="游ゴシック"/>
        <family val="2"/>
        <charset val="128"/>
      </rPr>
      <t>～</t>
    </r>
    <r>
      <rPr>
        <sz val="10"/>
        <rFont val="Arial"/>
        <family val="2"/>
      </rPr>
      <t xml:space="preserve"> (1 roll=abt 58m)</t>
    </r>
    <phoneticPr fontId="3"/>
  </si>
  <si>
    <t>KFUT5116 D#F3407 (Mill's color) 
based on 1000m/order</t>
    <phoneticPr fontId="3"/>
  </si>
  <si>
    <t>KFUT5116 D#F3407 (Mill's color) 
based on 2000m/order</t>
    <phoneticPr fontId="3"/>
  </si>
  <si>
    <t>KFUT5116 D#F3407 (Mill's color) 
based on 3000m/order</t>
    <phoneticPr fontId="3"/>
  </si>
  <si>
    <t>数量別単価 (※厳しければご相談ください/ 単価オファー期限 2025/8/31迄)</t>
    <phoneticPr fontId="3"/>
  </si>
  <si>
    <t>仕入れ単価 単価オファー期限 2025/8/31迄</t>
    <rPh sb="0" eb="2">
      <t>シイ</t>
    </rPh>
    <rPh sb="3" eb="5">
      <t>タンカ</t>
    </rPh>
    <phoneticPr fontId="3"/>
  </si>
  <si>
    <t>EXW JAPAN /m (price valid : End of June, 2025)</t>
    <phoneticPr fontId="3"/>
  </si>
  <si>
    <t>KFUT5116 D#F-3407 (Mill's color) 
Sample cut price (up to 2m→US$15/cut)</t>
    <phoneticPr fontId="3"/>
  </si>
  <si>
    <t>col.118OW - 1反(56m) + 7m(要検尺小反) ございます。</t>
    <phoneticPr fontId="3"/>
  </si>
  <si>
    <t xml:space="preserve">2020A-WS  </t>
    <phoneticPr fontId="162"/>
  </si>
  <si>
    <t xml:space="preserve">ONMA035  </t>
    <phoneticPr fontId="162"/>
  </si>
  <si>
    <t xml:space="preserve">Col.OF </t>
    <phoneticPr fontId="3"/>
  </si>
  <si>
    <t>Col.OF</t>
    <phoneticPr fontId="3"/>
  </si>
  <si>
    <t>3468A-2</t>
    <phoneticPr fontId="162"/>
  </si>
  <si>
    <t>Silk Mix Fabric  POLYESTER 90%, SILK 100%</t>
    <phoneticPr fontId="3"/>
  </si>
  <si>
    <r>
      <t>Polyester Fabric  POLYESTER 100</t>
    </r>
    <r>
      <rPr>
        <sz val="10"/>
        <rFont val="游ゴシック"/>
        <family val="2"/>
        <charset val="128"/>
      </rPr>
      <t>％</t>
    </r>
    <phoneticPr fontId="3"/>
  </si>
  <si>
    <t>Sub total</t>
    <phoneticPr fontId="3"/>
  </si>
  <si>
    <r>
      <t>20250411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</si>
  <si>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FWL-22510</t>
    <phoneticPr fontId="3"/>
  </si>
  <si>
    <r>
      <rPr>
        <b/>
        <sz val="10"/>
        <rFont val="ＭＳ Ｐゴシック"/>
        <family val="3"/>
        <charset val="128"/>
      </rPr>
      <t>仕入れ</t>
    </r>
    <rPh sb="0" eb="2">
      <t>シイ</t>
    </rPh>
    <phoneticPr fontId="3"/>
  </si>
  <si>
    <t>1,800m</t>
    <phoneticPr fontId="3"/>
  </si>
  <si>
    <t>Stock in Mill's Off White as of April 10th, 2025</t>
    <phoneticPr fontId="3"/>
  </si>
  <si>
    <t>20250422 Edgardo Bonilla  20% レート</t>
    <phoneticPr fontId="3"/>
  </si>
  <si>
    <r>
      <t>FUT0336 D/#1 (Mill's color) 
Sample cut price (up tp 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</si>
  <si>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FUT0336 D/#1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</si>
  <si>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r>
      <t>FUT3428 D#1 D/#1 (Mill's color) 
Sample cut price (up tp 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</si>
  <si>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FUT3428 D#1 D/#1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</si>
  <si>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r>
      <t>20250422 Tory Burch 40% 120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3"/>
  </si>
  <si>
    <t>FWL-23803</t>
    <phoneticPr fontId="3"/>
  </si>
  <si>
    <t>FWL-21507</t>
    <phoneticPr fontId="3"/>
  </si>
  <si>
    <t>FWL-22508</t>
    <phoneticPr fontId="3"/>
  </si>
  <si>
    <t>FWL-69023</t>
    <phoneticPr fontId="3"/>
  </si>
  <si>
    <t>Mill's Standard colors</t>
    <phoneticPr fontId="3"/>
  </si>
  <si>
    <t>Stock in Mill's Off White as of April 23rd, 2025</t>
    <phoneticPr fontId="3"/>
  </si>
  <si>
    <r>
      <rPr>
        <b/>
        <sz val="10"/>
        <rFont val="ＭＳ Ｐゴシック"/>
        <family val="3"/>
        <charset val="128"/>
      </rPr>
      <t>仕入れ</t>
    </r>
    <r>
      <rPr>
        <b/>
        <sz val="10"/>
        <rFont val="Arial"/>
        <family val="2"/>
      </rPr>
      <t xml:space="preserve"> (</t>
    </r>
    <r>
      <rPr>
        <b/>
        <sz val="10"/>
        <rFont val="ＭＳ Ｐゴシック"/>
        <family val="2"/>
        <charset val="128"/>
      </rPr>
      <t>円/</t>
    </r>
    <r>
      <rPr>
        <b/>
        <sz val="10"/>
        <rFont val="Arial"/>
        <family val="2"/>
      </rPr>
      <t>m)</t>
    </r>
    <rPh sb="0" eb="2">
      <t>シイ</t>
    </rPh>
    <rPh sb="5" eb="6">
      <t>エン</t>
    </rPh>
    <phoneticPr fontId="3"/>
  </si>
  <si>
    <t>??</t>
    <phoneticPr fontId="3"/>
  </si>
  <si>
    <t xml:space="preserve">Mill's 3 Standard colors
ecru / ecru x 402 green / 
ecru x 160 light green </t>
    <phoneticPr fontId="3"/>
  </si>
  <si>
    <t>1,800m</t>
    <phoneticPr fontId="3"/>
  </si>
  <si>
    <t>200m</t>
    <phoneticPr fontId="3"/>
  </si>
  <si>
    <t>500m</t>
    <phoneticPr fontId="3"/>
  </si>
  <si>
    <t>2,000m</t>
    <phoneticPr fontId="3"/>
  </si>
  <si>
    <t>only sample swatches</t>
    <phoneticPr fontId="3"/>
  </si>
  <si>
    <t># 10</t>
    <phoneticPr fontId="3"/>
  </si>
  <si>
    <t># 15</t>
    <phoneticPr fontId="3"/>
  </si>
  <si>
    <t>5356</t>
  </si>
  <si>
    <t>20250429 Tory Burch</t>
    <phoneticPr fontId="3"/>
  </si>
  <si>
    <t>Size</t>
    <phoneticPr fontId="3"/>
  </si>
  <si>
    <t>T1500</t>
    <phoneticPr fontId="3"/>
  </si>
  <si>
    <t>#OF</t>
    <phoneticPr fontId="3"/>
  </si>
  <si>
    <t>#BK</t>
    <phoneticPr fontId="3"/>
  </si>
  <si>
    <t xml:space="preserve"> FWL-22559 </t>
    <phoneticPr fontId="3"/>
  </si>
  <si>
    <t>80m</t>
    <phoneticPr fontId="3"/>
  </si>
  <si>
    <t>Stock in Mill's Off White as of May 9th, 2025</t>
    <phoneticPr fontId="3"/>
  </si>
  <si>
    <r>
      <t>20250509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</si>
  <si>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r>
      <t>20250509  3.1 Phillip Lim 40% 120</t>
    </r>
    <r>
      <rPr>
        <b/>
        <sz val="10"/>
        <rFont val="ＭＳ Ｐゴシック"/>
        <family val="3"/>
        <charset val="128"/>
      </rPr>
      <t>円</t>
    </r>
    <rPh sb="33" eb="34">
      <t>エン</t>
    </rPh>
    <phoneticPr fontId="3"/>
  </si>
  <si>
    <t>FWL-71194</t>
    <phoneticPr fontId="3"/>
  </si>
  <si>
    <t>100 m/ art&amp;col&amp;order</t>
    <phoneticPr fontId="3"/>
  </si>
  <si>
    <r>
      <t>200</t>
    </r>
    <r>
      <rPr>
        <sz val="10"/>
        <rFont val="游ゴシック"/>
        <family val="2"/>
        <charset val="128"/>
      </rPr>
      <t>ｍ</t>
    </r>
    <phoneticPr fontId="3"/>
  </si>
  <si>
    <t>FWL-71097</t>
    <phoneticPr fontId="3"/>
  </si>
  <si>
    <t>only sample qty(abt 10m)</t>
    <phoneticPr fontId="3"/>
  </si>
  <si>
    <t xml:space="preserve">FWL-71194 </t>
    <phoneticPr fontId="3"/>
  </si>
  <si>
    <t>Ship to</t>
    <phoneticPr fontId="3"/>
  </si>
  <si>
    <t xml:space="preserve">ship to A &amp; FENG </t>
    <phoneticPr fontId="3"/>
  </si>
  <si>
    <t>ship to NY</t>
    <phoneticPr fontId="3"/>
  </si>
  <si>
    <r>
      <t>20250519 Tory Burch 40% 120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3"/>
  </si>
  <si>
    <t>1,800m</t>
    <phoneticPr fontId="3"/>
  </si>
  <si>
    <t>1,000m</t>
    <phoneticPr fontId="3"/>
  </si>
  <si>
    <t>120m</t>
    <phoneticPr fontId="3"/>
  </si>
  <si>
    <t>200m</t>
    <phoneticPr fontId="3"/>
  </si>
  <si>
    <t>400m</t>
    <phoneticPr fontId="3"/>
  </si>
  <si>
    <t>750m</t>
    <phoneticPr fontId="3"/>
  </si>
  <si>
    <t>2,000m</t>
    <phoneticPr fontId="3"/>
  </si>
  <si>
    <t>500m</t>
    <phoneticPr fontId="3"/>
  </si>
  <si>
    <t>600m</t>
    <phoneticPr fontId="3"/>
  </si>
  <si>
    <t>FWL-21510</t>
    <phoneticPr fontId="3"/>
  </si>
  <si>
    <t>FWL-21506</t>
    <phoneticPr fontId="3"/>
  </si>
  <si>
    <t>FWL-24019</t>
    <phoneticPr fontId="3"/>
  </si>
  <si>
    <t>FWL-24014</t>
    <phoneticPr fontId="3"/>
  </si>
  <si>
    <t>FWL-22785</t>
    <phoneticPr fontId="3"/>
  </si>
  <si>
    <t>FWL-23604</t>
    <phoneticPr fontId="3"/>
  </si>
  <si>
    <t>FWL-2509</t>
    <phoneticPr fontId="3"/>
  </si>
  <si>
    <t>FWL-21524</t>
    <phoneticPr fontId="3"/>
  </si>
  <si>
    <t>FWL-21503</t>
    <phoneticPr fontId="3"/>
  </si>
  <si>
    <t>FWL-23166</t>
    <phoneticPr fontId="3"/>
  </si>
  <si>
    <t>Stock in Mill's Off White as of May 19, 2025</t>
    <phoneticPr fontId="3"/>
  </si>
  <si>
    <t>FWL-22559</t>
    <phoneticPr fontId="3"/>
  </si>
  <si>
    <t>DTM Buttery Yellow (piece dye)</t>
    <phoneticPr fontId="3"/>
  </si>
  <si>
    <t xml:space="preserve">Art Description </t>
    <phoneticPr fontId="3"/>
  </si>
  <si>
    <r>
      <t xml:space="preserve">SIZE
</t>
    </r>
    <r>
      <rPr>
        <b/>
        <sz val="10"/>
        <rFont val="ＭＳ Ｐゴシック"/>
        <family val="3"/>
        <charset val="128"/>
      </rPr>
      <t/>
    </r>
    <phoneticPr fontId="3"/>
  </si>
  <si>
    <t>MOQ for Mill's 
Standard colors</t>
    <phoneticPr fontId="3"/>
  </si>
  <si>
    <t>EXW JAPAN USD /m for Mill's Standard colors</t>
    <phoneticPr fontId="3"/>
  </si>
  <si>
    <t>14552</t>
    <phoneticPr fontId="3"/>
  </si>
  <si>
    <t>Petersham Ribbon</t>
  </si>
  <si>
    <t xml:space="preserve">20250521 Cinq a Sept vendor </t>
    <phoneticPr fontId="3"/>
  </si>
  <si>
    <t>Total Amount</t>
    <phoneticPr fontId="3"/>
  </si>
  <si>
    <t>EXW(JAPAN) /m</t>
  </si>
  <si>
    <t>MOQ / sample when fabric in stock </t>
    <phoneticPr fontId="3"/>
  </si>
  <si>
    <r>
      <rPr>
        <b/>
        <sz val="10"/>
        <rFont val="ＭＳ Ｐゴシック"/>
        <family val="3"/>
        <charset val="128"/>
      </rPr>
      <t>梱包費用</t>
    </r>
    <r>
      <rPr>
        <b/>
        <sz val="10"/>
        <rFont val="Arial  "/>
        <family val="2"/>
      </rPr>
      <t>+10</t>
    </r>
    <r>
      <rPr>
        <b/>
        <sz val="10"/>
        <rFont val="ＭＳ Ｐゴシック"/>
        <family val="3"/>
        <charset val="128"/>
      </rPr>
      <t>円?　30円？</t>
    </r>
    <rPh sb="0" eb="2">
      <t>コンポウ</t>
    </rPh>
    <rPh sb="2" eb="4">
      <t>ヒヨウ</t>
    </rPh>
    <rPh sb="7" eb="8">
      <t>エン</t>
    </rPh>
    <rPh sb="12" eb="13">
      <t>エン</t>
    </rPh>
    <phoneticPr fontId="3"/>
  </si>
  <si>
    <t xml:space="preserve">20250529 NEVAEH INTIMATES </t>
    <phoneticPr fontId="3"/>
  </si>
  <si>
    <t>SV-7052</t>
    <phoneticPr fontId="3"/>
  </si>
  <si>
    <r>
      <t xml:space="preserve">MOQ : 1 roll (abt 55-57m/roll) -
*sample cut available </t>
    </r>
    <r>
      <rPr>
        <sz val="10"/>
        <rFont val="ＭＳ Ｐゴシック"/>
        <family val="3"/>
        <charset val="128"/>
      </rPr>
      <t xml:space="preserve">→
</t>
    </r>
    <r>
      <rPr>
        <sz val="10"/>
        <rFont val="Arial"/>
        <family val="2"/>
      </rPr>
      <t xml:space="preserve"> 1M up to 20M with cut fee 
US$ 25/cut </t>
    </r>
    <phoneticPr fontId="3"/>
  </si>
  <si>
    <t>COL. 09 (black)</t>
    <phoneticPr fontId="3"/>
  </si>
  <si>
    <t>COL. 618 (nude)</t>
    <phoneticPr fontId="3"/>
  </si>
  <si>
    <t>COL. 329 (Ivory)</t>
    <phoneticPr fontId="3"/>
  </si>
  <si>
    <t>Status</t>
    <phoneticPr fontId="3"/>
  </si>
  <si>
    <t>Tory Burch: Pre-book 100m in process (50m will be allocated to you ) 
Currently revising the color based on TB's comment</t>
    <phoneticPr fontId="3"/>
  </si>
  <si>
    <t xml:space="preserve">In process, will be ready around June 11th </t>
    <phoneticPr fontId="3"/>
  </si>
  <si>
    <t xml:space="preserve">in stock </t>
    <phoneticPr fontId="3"/>
  </si>
  <si>
    <t>COL. GP1 (Blush)</t>
    <phoneticPr fontId="3"/>
  </si>
  <si>
    <t>20250609 Claudia Li  20% レート</t>
    <phoneticPr fontId="3"/>
  </si>
  <si>
    <r>
      <t xml:space="preserve">CUT995-W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</si>
  <si>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T3000 (Mill's color)  
sample cut</t>
    <phoneticPr fontId="3"/>
  </si>
  <si>
    <r>
      <t xml:space="preserve">T3000 (Mill's color) 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"/>
        <family val="2"/>
      </rPr>
      <t xml:space="preserve"> (1 roll=abt 50m)</t>
    </r>
    <phoneticPr fontId="3"/>
  </si>
  <si>
    <t>US$4.73/m + US$12/cut</t>
    <phoneticPr fontId="3"/>
  </si>
  <si>
    <r>
      <t xml:space="preserve">CUT995-W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</si>
  <si>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 xml:space="preserve"># 641 (Pastel Mint) </t>
    <phoneticPr fontId="3"/>
  </si>
  <si>
    <t># 642 (Pastel Peach)</t>
    <phoneticPr fontId="3"/>
  </si>
  <si>
    <t># 9(BK) Black</t>
    <phoneticPr fontId="3"/>
  </si>
  <si>
    <t># 12 (Cream)</t>
    <phoneticPr fontId="3"/>
  </si>
  <si>
    <t xml:space="preserve">CUT995-W </t>
    <phoneticPr fontId="3"/>
  </si>
  <si>
    <t># 11 (Ivory)</t>
    <phoneticPr fontId="3"/>
  </si>
  <si>
    <t># 20 (Black)</t>
    <phoneticPr fontId="3"/>
  </si>
  <si>
    <t>20250620 Coach  20% レート</t>
    <phoneticPr fontId="3"/>
  </si>
  <si>
    <r>
      <t xml:space="preserve">GS-NS7-195T , GS-NS3464T
GS-NS19-207T , GS-NS14-204TJ
 (Mill's Off &amp; Mill's Black) 
Sample cut price (up to </t>
    </r>
    <r>
      <rPr>
        <sz val="10"/>
        <color rgb="FF000000"/>
        <rFont val="Arial  "/>
        <family val="2"/>
      </rPr>
      <t>10m</t>
    </r>
    <r>
      <rPr>
        <sz val="10"/>
        <color rgb="FF000000"/>
        <rFont val="Arial  "/>
        <family val="2"/>
        <charset val="1"/>
      </rPr>
      <t>→</t>
    </r>
    <r>
      <rPr>
        <sz val="10"/>
        <color rgb="FF000000"/>
        <rFont val="Arial  "/>
        <family val="2"/>
      </rPr>
      <t>US$10/cut)</t>
    </r>
    <phoneticPr fontId="3"/>
  </si>
  <si>
    <r>
      <t xml:space="preserve">GS-NS7-195T , GS-NS3464T
GS-NS19-207T , GS-NS14-204TJ
 (Mill's Off &amp; Mill's Black)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  "/>
        <family val="2"/>
      </rPr>
      <t xml:space="preserve"> (1 roll=abt 50m)</t>
    </r>
    <phoneticPr fontId="3"/>
  </si>
  <si>
    <t>Size &amp; Composition</t>
    <phoneticPr fontId="3"/>
  </si>
  <si>
    <t>140/145cm×abt 50m
Recycled Polyester 100%</t>
    <phoneticPr fontId="3"/>
  </si>
  <si>
    <r>
      <t xml:space="preserve">GS-NS5-145T2 (Mill's Off &amp; Mill's Black) 
Sample cut price (up to </t>
    </r>
    <r>
      <rPr>
        <sz val="10"/>
        <color rgb="FF000000"/>
        <rFont val="Arial  "/>
        <family val="2"/>
      </rPr>
      <t>10m</t>
    </r>
    <r>
      <rPr>
        <sz val="10"/>
        <color rgb="FF000000"/>
        <rFont val="Arial  "/>
        <family val="2"/>
        <charset val="1"/>
      </rPr>
      <t>→</t>
    </r>
    <r>
      <rPr>
        <sz val="10"/>
        <color rgb="FF000000"/>
        <rFont val="Arial  "/>
        <family val="2"/>
      </rPr>
      <t>US$10/cut)</t>
    </r>
    <phoneticPr fontId="3"/>
  </si>
  <si>
    <r>
      <t xml:space="preserve">GS-NS5-145T2 (Mill's Off &amp; Mill's Black)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  "/>
        <family val="2"/>
      </rPr>
      <t xml:space="preserve"> (1 roll=abt 50m)</t>
    </r>
    <phoneticPr fontId="3"/>
  </si>
  <si>
    <t xml:space="preserve">DB5200   </t>
    <phoneticPr fontId="3"/>
  </si>
  <si>
    <t>FWL-71140</t>
  </si>
  <si>
    <t>FWL-41070S</t>
  </si>
  <si>
    <t>FWL-63014S</t>
  </si>
  <si>
    <t>FWL-66193S</t>
  </si>
  <si>
    <t>FWL-22418S</t>
  </si>
  <si>
    <t>FWL-81164S</t>
  </si>
  <si>
    <t>FWL-22349S</t>
  </si>
  <si>
    <t>FWL-81195S</t>
  </si>
  <si>
    <t>FWL-81194S</t>
  </si>
  <si>
    <t>FWL-81723</t>
  </si>
  <si>
    <t>CLEAR/GREIGE</t>
  </si>
  <si>
    <t>KYL-25266</t>
    <phoneticPr fontId="3"/>
  </si>
  <si>
    <t>?</t>
    <phoneticPr fontId="3"/>
  </si>
  <si>
    <t xml:space="preserve">Trim Lace  94% Cotton, 6% Polyurethane </t>
    <phoneticPr fontId="3"/>
  </si>
  <si>
    <t xml:space="preserve">Trim Lace  68% Rayon, 32% N.P </t>
    <phoneticPr fontId="3"/>
  </si>
  <si>
    <t xml:space="preserve">Trim Lace  88% Rayon, 12% N.P </t>
    <phoneticPr fontId="3"/>
  </si>
  <si>
    <t xml:space="preserve">Trim Lace  80% Nylon, 20% N.P </t>
    <phoneticPr fontId="3"/>
  </si>
  <si>
    <t>Trim Lace  81% Cotton, 19% R.P</t>
    <phoneticPr fontId="3"/>
  </si>
  <si>
    <t>Trim Lace  57% Rayon, 40% Cotton, 3% Polyurethane</t>
    <phoneticPr fontId="3"/>
  </si>
  <si>
    <t>FWL-22350S</t>
    <phoneticPr fontId="3"/>
  </si>
  <si>
    <t xml:space="preserve">Trim Lace  70% Cotton, 30% N.P </t>
    <phoneticPr fontId="3"/>
  </si>
  <si>
    <t>Trim Lace  50% Cotton, 45% Polyester, 5% R.P</t>
    <phoneticPr fontId="3"/>
  </si>
  <si>
    <t>MILL'S OFF-WHITE/ # 695 BLUE</t>
    <phoneticPr fontId="3"/>
  </si>
  <si>
    <t>MILL'S OFF-WHITE/# 84 GREEN</t>
    <phoneticPr fontId="3"/>
  </si>
  <si>
    <t>MILL'S OFF-WHITE ??</t>
    <phoneticPr fontId="3"/>
  </si>
  <si>
    <t>Trim Lace  60% Cotton, 35% Polyester, 5% R.P</t>
    <phoneticPr fontId="3"/>
  </si>
  <si>
    <t>TORY BURCH 20250626</t>
    <phoneticPr fontId="3"/>
  </si>
  <si>
    <t>品番・混率</t>
    <rPh sb="0" eb="2">
      <t>ヒンバン</t>
    </rPh>
    <rPh sb="3" eb="5">
      <t>コンリツ</t>
    </rPh>
    <phoneticPr fontId="3"/>
  </si>
  <si>
    <r>
      <t>FWL-</t>
    </r>
    <r>
      <rPr>
        <sz val="10"/>
        <color rgb="FF0070C0"/>
        <rFont val="Yu Gothic"/>
        <family val="2"/>
        <charset val="128"/>
      </rPr>
      <t>63013</t>
    </r>
    <r>
      <rPr>
        <sz val="10"/>
        <color rgb="FF0070C0"/>
        <rFont val="Arial"/>
        <family val="2"/>
      </rPr>
      <t xml:space="preserve">S </t>
    </r>
    <phoneticPr fontId="3"/>
  </si>
  <si>
    <t>カラー</t>
    <phoneticPr fontId="3"/>
  </si>
  <si>
    <t>GREIGE (undyed)</t>
    <phoneticPr fontId="3"/>
  </si>
  <si>
    <t>数量</t>
    <rPh sb="0" eb="2">
      <t>スウリョウ</t>
    </rPh>
    <phoneticPr fontId="3"/>
  </si>
  <si>
    <t xml:space="preserve">単価（円)/m </t>
    <rPh sb="0" eb="2">
      <t>タンカ</t>
    </rPh>
    <rPh sb="3" eb="4">
      <t>エン</t>
    </rPh>
    <phoneticPr fontId="3"/>
  </si>
  <si>
    <t>Stock Colour Price</t>
  </si>
  <si>
    <t>Custom Colour Price</t>
  </si>
  <si>
    <t>Surcharge (if any)</t>
  </si>
  <si>
    <t>MOQ</t>
  </si>
  <si>
    <t>Leadtime</t>
  </si>
  <si>
    <t>Ready Date</t>
  </si>
  <si>
    <t>Comments (if any)</t>
  </si>
  <si>
    <t>染色条件（ミニマム・染色代・小口代）</t>
    <rPh sb="0" eb="2">
      <t>センショク</t>
    </rPh>
    <rPh sb="2" eb="4">
      <t>ジョウケン</t>
    </rPh>
    <rPh sb="10" eb="12">
      <t>センショク</t>
    </rPh>
    <rPh sb="12" eb="13">
      <t>ダイ</t>
    </rPh>
    <rPh sb="14" eb="17">
      <t>コグチダイ</t>
    </rPh>
    <phoneticPr fontId="3"/>
  </si>
  <si>
    <r>
      <t xml:space="preserve">Trim Lace  </t>
    </r>
    <r>
      <rPr>
        <sz val="10"/>
        <color rgb="FFFF0000"/>
        <rFont val="ＭＳ Ｐゴシック"/>
        <family val="2"/>
        <charset val="128"/>
      </rPr>
      <t>（混率？）</t>
    </r>
    <rPh sb="12" eb="14">
      <t>コンリツ</t>
    </rPh>
    <phoneticPr fontId="3"/>
  </si>
  <si>
    <t>FWL-81164S</t>
    <phoneticPr fontId="3"/>
  </si>
  <si>
    <t>MILL'S OFF-WHITE x ??</t>
    <phoneticPr fontId="3"/>
  </si>
  <si>
    <t>Stock in Mill's Colors as of 
June 26th, 2025</t>
    <phoneticPr fontId="3"/>
  </si>
  <si>
    <r>
      <t>染色代（</t>
    </r>
    <r>
      <rPr>
        <sz val="10"/>
        <color rgb="FF1F497D"/>
        <rFont val="Arial"/>
        <family val="2"/>
      </rPr>
      <t>7</t>
    </r>
    <r>
      <rPr>
        <sz val="10"/>
        <color rgb="FF1F497D"/>
        <rFont val="ＭＳ ゴシック"/>
        <family val="3"/>
        <charset val="128"/>
      </rPr>
      <t>月より</t>
    </r>
    <r>
      <rPr>
        <sz val="10"/>
        <color rgb="FF1F497D"/>
        <rFont val="Arial"/>
        <family val="2"/>
      </rPr>
      <t>1</t>
    </r>
    <r>
      <rPr>
        <sz val="10"/>
        <color rgb="FF1F497D"/>
        <rFont val="ＭＳ ゴシック"/>
        <family val="3"/>
        <charset val="128"/>
      </rPr>
      <t>釜料金が値上がりします。）</t>
    </r>
  </si>
  <si>
    <r>
      <t>1</t>
    </r>
    <r>
      <rPr>
        <sz val="10"/>
        <color rgb="FF1F497D"/>
        <rFont val="ＭＳ ゴシック"/>
        <family val="3"/>
        <charset val="128"/>
      </rPr>
      <t>～</t>
    </r>
    <r>
      <rPr>
        <sz val="10"/>
        <color rgb="FF1F497D"/>
        <rFont val="Arial"/>
        <family val="2"/>
      </rPr>
      <t>100m</t>
    </r>
    <r>
      <rPr>
        <sz val="10"/>
        <color rgb="FF1F497D"/>
        <rFont val="ＭＳ ゴシック"/>
        <family val="3"/>
        <charset val="128"/>
      </rPr>
      <t>　　＠</t>
    </r>
    <r>
      <rPr>
        <sz val="10"/>
        <color rgb="FF1F497D"/>
        <rFont val="Arial"/>
        <family val="2"/>
      </rPr>
      <t>12,000</t>
    </r>
    <r>
      <rPr>
        <sz val="10"/>
        <color rgb="FF1F497D"/>
        <rFont val="ＭＳ ゴシック"/>
        <family val="3"/>
        <charset val="128"/>
      </rPr>
      <t>円</t>
    </r>
    <r>
      <rPr>
        <sz val="10"/>
        <color rgb="FF1F497D"/>
        <rFont val="Arial"/>
        <family val="2"/>
      </rPr>
      <t>/</t>
    </r>
    <r>
      <rPr>
        <sz val="10"/>
        <color rgb="FF1F497D"/>
        <rFont val="ＭＳ ゴシック"/>
        <family val="3"/>
        <charset val="128"/>
      </rPr>
      <t>釜代</t>
    </r>
  </si>
  <si>
    <r>
      <t>101</t>
    </r>
    <r>
      <rPr>
        <sz val="10"/>
        <color rgb="FF1F497D"/>
        <rFont val="ＭＳ ゴシック"/>
        <family val="3"/>
        <charset val="128"/>
      </rPr>
      <t>～</t>
    </r>
    <r>
      <rPr>
        <sz val="10"/>
        <color rgb="FF1F497D"/>
        <rFont val="Arial"/>
        <family val="2"/>
      </rPr>
      <t>375m</t>
    </r>
    <r>
      <rPr>
        <sz val="10"/>
        <color rgb="FF1F497D"/>
        <rFont val="ＭＳ ゴシック"/>
        <family val="3"/>
        <charset val="128"/>
      </rPr>
      <t>　＠</t>
    </r>
    <r>
      <rPr>
        <sz val="10"/>
        <color rgb="FF1F497D"/>
        <rFont val="Arial"/>
        <family val="2"/>
      </rPr>
      <t>15,000</t>
    </r>
    <r>
      <rPr>
        <sz val="10"/>
        <color rgb="FF1F497D"/>
        <rFont val="ＭＳ ゴシック"/>
        <family val="3"/>
        <charset val="128"/>
      </rPr>
      <t>円</t>
    </r>
    <r>
      <rPr>
        <sz val="10"/>
        <color rgb="FF1F497D"/>
        <rFont val="Arial"/>
        <family val="2"/>
      </rPr>
      <t>/</t>
    </r>
    <r>
      <rPr>
        <sz val="10"/>
        <color rgb="FF1F497D"/>
        <rFont val="ＭＳ ゴシック"/>
        <family val="3"/>
        <charset val="128"/>
      </rPr>
      <t>釜代</t>
    </r>
  </si>
  <si>
    <r>
      <t>376m</t>
    </r>
    <r>
      <rPr>
        <sz val="10"/>
        <color rgb="FF1F497D"/>
        <rFont val="ＭＳ ゴシック"/>
        <family val="3"/>
        <charset val="128"/>
      </rPr>
      <t>～　　　＠</t>
    </r>
    <r>
      <rPr>
        <sz val="10"/>
        <color rgb="FF1F497D"/>
        <rFont val="Arial"/>
        <family val="2"/>
      </rPr>
      <t>40</t>
    </r>
    <r>
      <rPr>
        <sz val="10"/>
        <color rgb="FF1F497D"/>
        <rFont val="ＭＳ ゴシック"/>
        <family val="3"/>
        <charset val="128"/>
      </rPr>
      <t>円</t>
    </r>
    <r>
      <rPr>
        <sz val="10"/>
        <color rgb="FF1F497D"/>
        <rFont val="Arial"/>
        <family val="2"/>
      </rPr>
      <t>/m</t>
    </r>
  </si>
  <si>
    <t>協和レース</t>
    <rPh sb="0" eb="2">
      <t>キョウワ</t>
    </rPh>
    <phoneticPr fontId="3"/>
  </si>
  <si>
    <t>1,900m</t>
    <phoneticPr fontId="3"/>
  </si>
  <si>
    <t>3,500m</t>
    <phoneticPr fontId="3"/>
  </si>
  <si>
    <t>600m</t>
    <phoneticPr fontId="3"/>
  </si>
  <si>
    <t xml:space="preserve">FWL-63013S </t>
    <phoneticPr fontId="3"/>
  </si>
  <si>
    <t>3,600m</t>
    <phoneticPr fontId="3"/>
  </si>
  <si>
    <t>400m</t>
    <phoneticPr fontId="3"/>
  </si>
  <si>
    <t>200m</t>
    <phoneticPr fontId="3"/>
  </si>
  <si>
    <t>60m</t>
    <phoneticPr fontId="3"/>
  </si>
  <si>
    <r>
      <t>no stock, L/T</t>
    </r>
    <r>
      <rPr>
        <sz val="10"/>
        <rFont val="ＭＳ Ｐゴシック"/>
        <family val="2"/>
        <charset val="128"/>
      </rPr>
      <t>→</t>
    </r>
    <r>
      <rPr>
        <sz val="10"/>
        <rFont val="Arial"/>
        <family val="2"/>
      </rPr>
      <t>abt 10 working days</t>
    </r>
    <phoneticPr fontId="3"/>
  </si>
  <si>
    <t>80m</t>
    <phoneticPr fontId="3"/>
  </si>
  <si>
    <t>10m</t>
    <phoneticPr fontId="3"/>
  </si>
  <si>
    <t>Blue 200m, Green 300m, Pink 150m</t>
    <phoneticPr fontId="3"/>
  </si>
  <si>
    <t>40m</t>
    <phoneticPr fontId="3"/>
  </si>
  <si>
    <r>
      <rPr>
        <sz val="10"/>
        <rFont val="ＭＳ Ｐゴシック"/>
        <family val="3"/>
        <charset val="128"/>
      </rPr>
      <t>染色小口代</t>
    </r>
    <r>
      <rPr>
        <sz val="10"/>
        <rFont val="Arial"/>
        <family val="2"/>
      </rPr>
      <t xml:space="preserve"> 8000 </t>
    </r>
    <r>
      <rPr>
        <sz val="10"/>
        <rFont val="ＭＳ Ｐゴシック"/>
        <family val="3"/>
        <charset val="128"/>
      </rPr>
      <t>～</t>
    </r>
    <r>
      <rPr>
        <sz val="10"/>
        <rFont val="Arial"/>
        <family val="2"/>
      </rPr>
      <t>15000</t>
    </r>
    <r>
      <rPr>
        <sz val="10"/>
        <rFont val="ＭＳ Ｐゴシック"/>
        <family val="3"/>
        <charset val="128"/>
      </rPr>
      <t>円→</t>
    </r>
    <r>
      <rPr>
        <sz val="10"/>
        <rFont val="Arial"/>
        <family val="2"/>
      </rPr>
      <t>US$ 85 – 160 per art&amp;col&amp;order (varies by article)</t>
    </r>
    <rPh sb="0" eb="2">
      <t>センショク</t>
    </rPh>
    <rPh sb="2" eb="4">
      <t>コグチ</t>
    </rPh>
    <rPh sb="4" eb="5">
      <t>ダイ</t>
    </rPh>
    <rPh sb="15" eb="16">
      <t>エン</t>
    </rPh>
    <phoneticPr fontId="3"/>
  </si>
  <si>
    <r>
      <t>FWL-</t>
    </r>
    <r>
      <rPr>
        <sz val="10"/>
        <rFont val="Arial  "/>
        <family val="2"/>
      </rPr>
      <t>63013S</t>
    </r>
    <phoneticPr fontId="3"/>
  </si>
  <si>
    <t>FH26 RTW Embellishments</t>
    <phoneticPr fontId="3"/>
  </si>
  <si>
    <t>FWL-23803</t>
  </si>
  <si>
    <t>FWL-24089</t>
  </si>
  <si>
    <t>FWL-21525</t>
  </si>
  <si>
    <t>FWL-24238</t>
  </si>
  <si>
    <t>FWL-23406</t>
  </si>
  <si>
    <t>FWL-23218</t>
  </si>
  <si>
    <t>FWL-22504</t>
  </si>
  <si>
    <t>FWL-71675</t>
  </si>
  <si>
    <t>FWL-22231</t>
  </si>
  <si>
    <t>FWL-22236S</t>
  </si>
  <si>
    <t>FWL-23539</t>
  </si>
  <si>
    <t>FWL-2679</t>
  </si>
  <si>
    <t>FWL-92904 x E3703</t>
  </si>
  <si>
    <t>FWL-75083</t>
  </si>
  <si>
    <t>FWL-71177</t>
  </si>
  <si>
    <t>FWL-71030</t>
  </si>
  <si>
    <t>FWL-21242S</t>
  </si>
  <si>
    <t>FWL-23109</t>
  </si>
  <si>
    <t>FWL-69051S</t>
  </si>
  <si>
    <t>FWL-81150S</t>
  </si>
  <si>
    <t>FWL-69135S</t>
  </si>
  <si>
    <t>FWL-81789</t>
  </si>
  <si>
    <t>MILL'S OFF WHITE/#5BLK</t>
  </si>
  <si>
    <t>690 BLUE/GREIGE</t>
  </si>
  <si>
    <t>BLACK/GOLD</t>
  </si>
  <si>
    <t>GREIGE/GREIGE</t>
  </si>
  <si>
    <t>CLEAR/AW269 BEIGE</t>
  </si>
  <si>
    <t xml:space="preserve">Trim Lace  96% Cotton, 3% Rayon, 1% Polyurethane </t>
    <phoneticPr fontId="3"/>
  </si>
  <si>
    <t xml:space="preserve">Trim Lace  93% Cotton, 5% Rayon, 2% Polyurethane </t>
    <phoneticPr fontId="3"/>
  </si>
  <si>
    <t>Trim Lace  92% Polyester, 5% Nylon, 3% Polyurethane</t>
    <phoneticPr fontId="3"/>
  </si>
  <si>
    <t>Trim Lace  44% Acrylic, 29% Nylon, 12% Wool, 10% Cupro, 4% Polyester, 1% Polyurethane</t>
    <phoneticPr fontId="3"/>
  </si>
  <si>
    <t xml:space="preserve">Trim Lace  67% Nylon66, 31% Rayon, 1% Nylon, 1% Polyurethane </t>
    <phoneticPr fontId="3"/>
  </si>
  <si>
    <t>84 x 70 GREEN</t>
    <phoneticPr fontId="3"/>
  </si>
  <si>
    <t>Trim Lace  97% Polyester, 2% Rayon, 1% Polyurethane</t>
    <phoneticPr fontId="3"/>
  </si>
  <si>
    <t xml:space="preserve">Trim Tulle Lace  Base: 100% Nylon /  Front &amp; Back yarn :  100% Cotton </t>
    <phoneticPr fontId="3"/>
  </si>
  <si>
    <t>Trim Lace  100% Silk</t>
    <phoneticPr fontId="3"/>
  </si>
  <si>
    <t>FWL-92879 x 12740</t>
    <phoneticPr fontId="3"/>
  </si>
  <si>
    <t>Lace Trim with Ribbon insertion 100% Polyester</t>
    <phoneticPr fontId="3"/>
  </si>
  <si>
    <t>Lace Trim with Ribbon insertion 100% Cotton lace x  100% Nylon Ribbon</t>
    <phoneticPr fontId="3"/>
  </si>
  <si>
    <t>FWL-81400S</t>
    <phoneticPr fontId="3"/>
  </si>
  <si>
    <t>KYL-24219</t>
    <phoneticPr fontId="3"/>
  </si>
  <si>
    <t>KYL-25266</t>
    <phoneticPr fontId="3"/>
  </si>
  <si>
    <t>KYL-25431</t>
    <phoneticPr fontId="3"/>
  </si>
  <si>
    <t>KYL-25343</t>
    <phoneticPr fontId="3"/>
  </si>
  <si>
    <t>Stock in Mill's Colors as of 
July 1st, 2025</t>
    <phoneticPr fontId="3"/>
  </si>
  <si>
    <t>600m</t>
    <phoneticPr fontId="3"/>
  </si>
  <si>
    <t>900m</t>
    <phoneticPr fontId="3"/>
  </si>
  <si>
    <t>1,000m</t>
    <phoneticPr fontId="3"/>
  </si>
  <si>
    <t>only sample yds,  1,500m will be replenished in the End of July</t>
    <phoneticPr fontId="3"/>
  </si>
  <si>
    <t>2,300m</t>
    <phoneticPr fontId="3"/>
  </si>
  <si>
    <t>FWL-71558</t>
    <phoneticPr fontId="3"/>
  </si>
  <si>
    <t>JAPAN</t>
    <phoneticPr fontId="3"/>
  </si>
  <si>
    <t>JAPAN</t>
    <phoneticPr fontId="3"/>
  </si>
  <si>
    <t>Trim Lace  63% Nylon, 26%Acrylic,11% Wool</t>
    <phoneticPr fontId="3"/>
  </si>
  <si>
    <t>FWL-75083</t>
    <phoneticPr fontId="3"/>
  </si>
  <si>
    <t>only sample yds, made to order</t>
    <phoneticPr fontId="3"/>
  </si>
  <si>
    <t>200m</t>
    <phoneticPr fontId="3"/>
  </si>
  <si>
    <t>20m</t>
    <phoneticPr fontId="3"/>
  </si>
  <si>
    <t>2,100m</t>
    <phoneticPr fontId="3"/>
  </si>
  <si>
    <t>1,000m</t>
    <phoneticPr fontId="3"/>
  </si>
  <si>
    <t>300m</t>
    <phoneticPr fontId="3"/>
  </si>
  <si>
    <t>1,700m</t>
    <phoneticPr fontId="3"/>
  </si>
  <si>
    <t>30m</t>
    <phoneticPr fontId="3"/>
  </si>
  <si>
    <t>50m</t>
    <phoneticPr fontId="3"/>
  </si>
  <si>
    <t>500m</t>
    <phoneticPr fontId="3"/>
  </si>
  <si>
    <t>350m</t>
    <phoneticPr fontId="3"/>
  </si>
  <si>
    <t>600m</t>
    <phoneticPr fontId="3"/>
  </si>
  <si>
    <t>60m</t>
    <phoneticPr fontId="3"/>
  </si>
  <si>
    <t>2,200m</t>
    <phoneticPr fontId="3"/>
  </si>
  <si>
    <t>2m</t>
    <phoneticPr fontId="3"/>
  </si>
  <si>
    <t>100m</t>
    <phoneticPr fontId="3"/>
  </si>
  <si>
    <t>40m</t>
    <phoneticPr fontId="3"/>
  </si>
  <si>
    <t>TORY BURCH  20250702</t>
    <phoneticPr fontId="3"/>
  </si>
  <si>
    <t>FWL-71164</t>
    <phoneticPr fontId="3"/>
  </si>
  <si>
    <t>FWL-71164</t>
    <phoneticPr fontId="3"/>
  </si>
  <si>
    <t>Stock in Mill's Colors as of 
July 2nd, 2025</t>
    <phoneticPr fontId="3"/>
  </si>
  <si>
    <t>Total Amount</t>
    <phoneticPr fontId="3"/>
  </si>
  <si>
    <t>Ulla Johnson 20250722</t>
    <phoneticPr fontId="3"/>
  </si>
  <si>
    <t>2040RE-FT</t>
    <phoneticPr fontId="3"/>
  </si>
  <si>
    <t xml:space="preserve">2440(W) </t>
    <phoneticPr fontId="3"/>
  </si>
  <si>
    <t>20250725 Claudia Li  20% レート</t>
    <phoneticPr fontId="3"/>
  </si>
  <si>
    <r>
      <t xml:space="preserve">FUT0496-W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</si>
  <si>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FUT0496-W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</si>
  <si>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FUT0496-W</t>
    <phoneticPr fontId="3"/>
  </si>
  <si>
    <t>128cm</t>
    <phoneticPr fontId="3"/>
  </si>
  <si>
    <t>Col. 12 (Camel)</t>
    <phoneticPr fontId="3"/>
  </si>
  <si>
    <t>20250730 Claudia Li  20% レート</t>
    <phoneticPr fontId="3"/>
  </si>
  <si>
    <r>
      <t xml:space="preserve">CUT219-W with C6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</si>
  <si>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CUT219-W with C6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</si>
  <si>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CUT219-W with C0 - PFAS FREE (Mill's color) 
Based on 300m/col</t>
    <phoneticPr fontId="3"/>
  </si>
  <si>
    <t>CUT219-W with C0 - PFAS FREE (Mill's color) 
Based on 500m/col</t>
    <phoneticPr fontId="3"/>
  </si>
  <si>
    <r>
      <t>KKC108-W with C0</t>
    </r>
    <r>
      <rPr>
        <b/>
        <u/>
        <sz val="10"/>
        <rFont val="BIZ UDPゴシック"/>
        <family val="3"/>
        <charset val="128"/>
      </rPr>
      <t>撥水バージョン</t>
    </r>
  </si>
  <si>
    <t>試験 MOQ : 20m/col</t>
  </si>
  <si>
    <t>試験単価 : \1,980/m </t>
  </si>
  <si>
    <t>納期：お盆前の指図条件で９中アップ予定（急ぎであれば納期頑張ってつめます！）</t>
  </si>
  <si>
    <t>バルクMOQ ; 500m/col </t>
  </si>
  <si>
    <t>バルク単価 : \1,680/m</t>
  </si>
  <si>
    <t>納期 : about 8 weeks</t>
  </si>
  <si>
    <t>バルクMOQ以下 (*100mは加工工程の問題上進行不可)</t>
  </si>
  <si>
    <t>300m/col : \1,780/m</t>
    <phoneticPr fontId="3"/>
  </si>
  <si>
    <t>CUT219-W with C0 - PFAS FREE (Mill's color) 
Test sample MOQ 20m/col</t>
    <phoneticPr fontId="3"/>
  </si>
  <si>
    <t>Lead time</t>
    <phoneticPr fontId="3"/>
  </si>
  <si>
    <t>abt 8 weeks based on working days in JAPAN</t>
    <phoneticPr fontId="3"/>
  </si>
  <si>
    <r>
      <t xml:space="preserve">FUT8822-58 with NO water-repellent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</si>
  <si>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FUT8822-58 with NO water-repellent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45m)</t>
    </r>
    <phoneticPr fontId="3"/>
  </si>
  <si>
    <t>FWL-31019s</t>
    <phoneticPr fontId="3"/>
  </si>
  <si>
    <t>FWL-24020</t>
  </si>
  <si>
    <t>FWL-24085</t>
  </si>
  <si>
    <t>FWL-22395</t>
  </si>
  <si>
    <t>TORY BURCH 20250807</t>
    <phoneticPr fontId="3"/>
  </si>
  <si>
    <t>Stock in Mill's Colors as of 
August 7th, 2025</t>
    <phoneticPr fontId="3"/>
  </si>
  <si>
    <t>1,300m</t>
    <phoneticPr fontId="3"/>
  </si>
  <si>
    <t>20250901 Vera Wang  20% レート</t>
    <phoneticPr fontId="3"/>
  </si>
  <si>
    <r>
      <t xml:space="preserve">FUT8822-58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</si>
  <si>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FUT8822-58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45m)</t>
    </r>
    <phoneticPr fontId="3"/>
  </si>
  <si>
    <r>
      <t xml:space="preserve">FUT7222-58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</si>
  <si>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Size/Composition/Weight</t>
    <phoneticPr fontId="3"/>
  </si>
  <si>
    <t>146/148cm x approx. 45m
100% Polyester, abt 141g/m2</t>
    <phoneticPr fontId="3"/>
  </si>
  <si>
    <t>148cm x approx. 50m
60% Cotton x 40% Polyester, 
abt 147g/m2</t>
    <phoneticPr fontId="3"/>
  </si>
  <si>
    <r>
      <t xml:space="preserve">SUT3897K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</si>
  <si>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112/114cm x approx. 46m
70% Cotton x 30% Silk, 
abt 128g/m2</t>
    <phoneticPr fontId="3"/>
  </si>
  <si>
    <r>
      <t xml:space="preserve">SUT3897K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46m)</t>
    </r>
    <phoneticPr fontId="3"/>
  </si>
  <si>
    <r>
      <t xml:space="preserve">FUT7222-58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</si>
  <si>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22604s</t>
  </si>
  <si>
    <t>3147s</t>
  </si>
  <si>
    <t>22382s</t>
  </si>
  <si>
    <t>41032s</t>
  </si>
  <si>
    <t>41102s</t>
  </si>
  <si>
    <t>41142s</t>
  </si>
  <si>
    <t>41064s</t>
  </si>
  <si>
    <t>41099s</t>
  </si>
  <si>
    <t>202509011 出張用サンプル依頼</t>
    <rPh sb="10" eb="12">
      <t>シュッチョウ</t>
    </rPh>
    <rPh sb="12" eb="13">
      <t>ヨウ</t>
    </rPh>
    <rPh sb="17" eb="19">
      <t>イライ</t>
    </rPh>
    <phoneticPr fontId="3"/>
  </si>
  <si>
    <r>
      <rPr>
        <sz val="10"/>
        <rFont val="ＭＳ Ｐゴシック"/>
        <family val="3"/>
        <charset val="128"/>
      </rPr>
      <t>単価</t>
    </r>
    <rPh sb="0" eb="2">
      <t>タンカ</t>
    </rPh>
    <phoneticPr fontId="3"/>
  </si>
  <si>
    <t>2m 小計</t>
    <rPh sb="3" eb="5">
      <t>ショウケイ</t>
    </rPh>
    <phoneticPr fontId="3"/>
  </si>
  <si>
    <r>
      <rPr>
        <sz val="10"/>
        <rFont val="ＭＳ Ｐゴシック"/>
        <family val="3"/>
        <charset val="128"/>
      </rPr>
      <t>品番</t>
    </r>
    <r>
      <rPr>
        <sz val="10"/>
        <rFont val="Arial  "/>
      </rPr>
      <t xml:space="preserve"> FWL-</t>
    </r>
    <rPh sb="0" eb="2">
      <t>ヒンバン</t>
    </rPh>
    <phoneticPr fontId="3"/>
  </si>
  <si>
    <t>T8074-1</t>
  </si>
  <si>
    <t>T23217-1</t>
  </si>
  <si>
    <t>T8333-1</t>
  </si>
  <si>
    <t>T23419-1</t>
  </si>
  <si>
    <t>62284-1</t>
  </si>
  <si>
    <t>62454-1</t>
  </si>
  <si>
    <t>8258-1</t>
    <phoneticPr fontId="3"/>
  </si>
  <si>
    <r>
      <rPr>
        <sz val="10"/>
        <rFont val="ＭＳ Ｐゴシック"/>
        <family val="3"/>
        <charset val="128"/>
      </rPr>
      <t>品番</t>
    </r>
    <r>
      <rPr>
        <sz val="10"/>
        <rFont val="Arial  "/>
        <family val="2"/>
      </rPr>
      <t xml:space="preserve"> KYL-</t>
    </r>
    <rPh sb="0" eb="2">
      <t>ヒンバン</t>
    </rPh>
    <phoneticPr fontId="3"/>
  </si>
  <si>
    <r>
      <t xml:space="preserve">2m </t>
    </r>
    <r>
      <rPr>
        <sz val="10"/>
        <rFont val="Arial  "/>
      </rPr>
      <t>小計</t>
    </r>
    <rPh sb="3" eb="5">
      <t>ショウケイ</t>
    </rPh>
    <phoneticPr fontId="3"/>
  </si>
  <si>
    <r>
      <rPr>
        <sz val="10"/>
        <rFont val="ＭＳ Ｐゴシック"/>
        <family val="3"/>
        <charset val="128"/>
      </rPr>
      <t>品番</t>
    </r>
    <r>
      <rPr>
        <sz val="10"/>
        <rFont val="Arial  "/>
        <family val="2"/>
      </rPr>
      <t xml:space="preserve"> OL-</t>
    </r>
    <rPh sb="0" eb="2">
      <t>ヒンバン</t>
    </rPh>
    <phoneticPr fontId="3"/>
  </si>
  <si>
    <t>Ulla Johnson 20250912</t>
    <phoneticPr fontId="3"/>
  </si>
  <si>
    <t xml:space="preserve">T4100 </t>
    <phoneticPr fontId="3"/>
  </si>
  <si>
    <t xml:space="preserve">T1500 </t>
    <phoneticPr fontId="3"/>
  </si>
  <si>
    <t>Jason Wu 20250916 FDS 用バルク単価</t>
    <rPh sb="22" eb="23">
      <t>ヨウ</t>
    </rPh>
    <rPh sb="26" eb="28">
      <t>タンカ</t>
    </rPh>
    <phoneticPr fontId="3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</si>
  <si>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  <charset val="128"/>
      </rPr>
      <t>15円</t>
    </r>
    <r>
      <rPr>
        <b/>
        <sz val="10"/>
        <color theme="1"/>
        <rFont val="Microsoft JhengHei"/>
        <family val="2"/>
        <charset val="136"/>
      </rPr>
      <t>込）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3"/>
  </si>
  <si>
    <t>T3500C (based on 1 roll/color - )</t>
    <phoneticPr fontId="3"/>
  </si>
  <si>
    <t xml:space="preserve">T3500C (based on 12 rolls/color - ) </t>
    <phoneticPr fontId="3"/>
  </si>
  <si>
    <t>FWL-22395</t>
    <phoneticPr fontId="3"/>
  </si>
  <si>
    <t>200 m/ art&amp;col&amp;order</t>
    <phoneticPr fontId="3"/>
  </si>
  <si>
    <t>Stock in Mill's Colors as of 
September 18th, 2025</t>
    <phoneticPr fontId="3"/>
  </si>
  <si>
    <t>FWL-22418S</t>
    <phoneticPr fontId="3"/>
  </si>
  <si>
    <t>FWL-71030</t>
    <phoneticPr fontId="3"/>
  </si>
  <si>
    <t>Development fee</t>
    <phoneticPr fontId="3"/>
  </si>
  <si>
    <t>DTM (piece-dye)</t>
    <phoneticPr fontId="3"/>
  </si>
  <si>
    <t>Mill's Black (yarn-dye)</t>
    <phoneticPr fontId="3"/>
  </si>
  <si>
    <t>Mill's Off White (undyed) or Mill's Black (yarn-dye)</t>
    <phoneticPr fontId="3"/>
  </si>
  <si>
    <t>Mill's Black (yarn-dyed)</t>
    <phoneticPr fontId="3"/>
  </si>
  <si>
    <t>FWL-93065(FWL-71030 with fringe on one side)</t>
    <phoneticPr fontId="3"/>
  </si>
  <si>
    <t>Minimum surcharge for below yarn-dyed black minimum (yarn-dye)</t>
    <phoneticPr fontId="3"/>
  </si>
  <si>
    <t xml:space="preserve">PO# / SHIP TO </t>
    <phoneticPr fontId="3"/>
  </si>
  <si>
    <r>
      <t>2025_10.07_SP26_PR_SUN FASHION</t>
    </r>
    <r>
      <rPr>
        <b/>
        <sz val="12"/>
        <rFont val="Arial"/>
        <family val="2"/>
      </rPr>
      <t>(NYO)</t>
    </r>
    <phoneticPr fontId="3"/>
  </si>
  <si>
    <r>
      <t>2025_10.07_SP26_PR_SUN FASHION</t>
    </r>
    <r>
      <rPr>
        <b/>
        <sz val="12"/>
        <rFont val="Arial"/>
        <family val="2"/>
      </rPr>
      <t>(Factory)</t>
    </r>
    <phoneticPr fontId="3"/>
  </si>
  <si>
    <t>2025_09.19_SP26_PR_SUN FASHION (NYO)</t>
    <phoneticPr fontId="3"/>
  </si>
  <si>
    <t>lace trim  Development fee</t>
    <phoneticPr fontId="3"/>
  </si>
  <si>
    <t># 01 Ivory</t>
    <phoneticPr fontId="3"/>
  </si>
  <si>
    <t># 163 Peachy Nude</t>
    <phoneticPr fontId="3"/>
  </si>
  <si>
    <t>SHINDO</t>
  </si>
  <si>
    <r>
      <rPr>
        <b/>
        <sz val="10"/>
        <rFont val="BIZ UDPゴシック"/>
        <family val="3"/>
        <charset val="128"/>
      </rPr>
      <t>生地系</t>
    </r>
  </si>
  <si>
    <r>
      <rPr>
        <sz val="10"/>
        <rFont val="BIZ UDPゴシック"/>
        <family val="3"/>
        <charset val="128"/>
      </rPr>
      <t>栄レース</t>
    </r>
  </si>
  <si>
    <r>
      <rPr>
        <sz val="10"/>
        <rFont val="BIZ UDPゴシック"/>
        <family val="3"/>
        <charset val="128"/>
      </rPr>
      <t>サンコロナ</t>
    </r>
  </si>
  <si>
    <r>
      <rPr>
        <sz val="10"/>
        <rFont val="BIZ UDPゴシック"/>
        <family val="3"/>
        <charset val="128"/>
      </rPr>
      <t>アゲハラベルベット</t>
    </r>
  </si>
  <si>
    <r>
      <rPr>
        <sz val="10"/>
        <rFont val="BIZ UDPゴシック"/>
        <family val="3"/>
        <charset val="128"/>
      </rPr>
      <t>宇仁繊維</t>
    </r>
    <r>
      <rPr>
        <sz val="10"/>
        <rFont val="Arial  "/>
        <family val="2"/>
      </rPr>
      <t>(</t>
    </r>
    <r>
      <rPr>
        <sz val="10"/>
        <rFont val="BIZ UDPゴシック"/>
        <family val="3"/>
        <charset val="128"/>
      </rPr>
      <t>品番振替・カード作り替えで販促しています</t>
    </r>
    <r>
      <rPr>
        <sz val="10"/>
        <rFont val="Arial  "/>
        <family val="2"/>
      </rPr>
      <t>)</t>
    </r>
  </si>
  <si>
    <r>
      <rPr>
        <sz val="10"/>
        <rFont val="BIZ UDPゴシック"/>
        <family val="3"/>
        <charset val="128"/>
      </rPr>
      <t>加栄レース</t>
    </r>
    <r>
      <rPr>
        <sz val="10"/>
        <rFont val="Arial  "/>
        <family val="2"/>
      </rPr>
      <t> </t>
    </r>
  </si>
  <si>
    <r>
      <rPr>
        <b/>
        <sz val="10"/>
        <rFont val="BIZ UDPゴシック"/>
        <family val="3"/>
        <charset val="128"/>
      </rPr>
      <t>レーストリム系</t>
    </r>
  </si>
  <si>
    <r>
      <rPr>
        <sz val="10"/>
        <rFont val="BIZ UDPゴシック"/>
        <family val="3"/>
        <charset val="128"/>
      </rPr>
      <t>二渡レース</t>
    </r>
  </si>
  <si>
    <r>
      <rPr>
        <sz val="10"/>
        <rFont val="BIZ UDPゴシック"/>
        <family val="3"/>
        <charset val="128"/>
      </rPr>
      <t>協和レース</t>
    </r>
  </si>
  <si>
    <r>
      <rPr>
        <sz val="10"/>
        <rFont val="BIZ UDPゴシック"/>
        <family val="3"/>
        <charset val="128"/>
      </rPr>
      <t>落合レース</t>
    </r>
  </si>
  <si>
    <r>
      <rPr>
        <sz val="10"/>
        <rFont val="BIZ UDPゴシック"/>
        <family val="3"/>
        <charset val="128"/>
      </rPr>
      <t>ファニー</t>
    </r>
  </si>
  <si>
    <r>
      <rPr>
        <b/>
        <sz val="10"/>
        <rFont val="BIZ UDPゴシック"/>
        <family val="3"/>
        <charset val="128"/>
      </rPr>
      <t>リボン系</t>
    </r>
  </si>
  <si>
    <r>
      <rPr>
        <sz val="10"/>
        <rFont val="BIZ UDPゴシック"/>
        <family val="3"/>
        <charset val="128"/>
      </rPr>
      <t>高島リボン</t>
    </r>
  </si>
  <si>
    <r>
      <rPr>
        <sz val="10"/>
        <rFont val="BIZ UDPゴシック"/>
        <family val="3"/>
        <charset val="128"/>
      </rPr>
      <t>井上リボン</t>
    </r>
  </si>
  <si>
    <r>
      <rPr>
        <sz val="10"/>
        <rFont val="BIZ UDPゴシック"/>
        <family val="3"/>
        <charset val="128"/>
      </rPr>
      <t>他多数　</t>
    </r>
  </si>
  <si>
    <t>Hanger #</t>
  </si>
  <si>
    <t>Piece Length</t>
  </si>
  <si>
    <t>Weaving min.</t>
  </si>
  <si>
    <t>X Stock color</t>
  </si>
  <si>
    <t>X Dye to match</t>
  </si>
  <si>
    <t>Vera Wang 20251016</t>
    <phoneticPr fontId="3"/>
  </si>
  <si>
    <t>ZES0194</t>
  </si>
  <si>
    <t>A1958</t>
  </si>
  <si>
    <t>Cotton:65%,Nylon:35%</t>
  </si>
  <si>
    <t>ZES0063</t>
  </si>
  <si>
    <t>AX341</t>
  </si>
  <si>
    <t>Cotton:70%,Nylon:30%</t>
  </si>
  <si>
    <t>ZEG2331</t>
  </si>
  <si>
    <t>A1092</t>
  </si>
  <si>
    <t>Cotton:60%,Nylon:40%</t>
  </si>
  <si>
    <t>ZES2422</t>
  </si>
  <si>
    <t>ZES0053</t>
  </si>
  <si>
    <t>Nylon 39% Cotton 61%</t>
  </si>
  <si>
    <t>ZES0073</t>
  </si>
  <si>
    <t>AX342</t>
  </si>
  <si>
    <t>ZES0152</t>
  </si>
  <si>
    <t>AX378</t>
  </si>
  <si>
    <t>ZE10732</t>
  </si>
  <si>
    <t>AX257</t>
  </si>
  <si>
    <t>ZE96532</t>
  </si>
  <si>
    <t>AX309</t>
  </si>
  <si>
    <t>ZET2641</t>
  </si>
  <si>
    <t>A1354</t>
  </si>
  <si>
    <t>ZET5601</t>
  </si>
  <si>
    <t>A1898</t>
  </si>
  <si>
    <t>ZUT6362</t>
  </si>
  <si>
    <t>A2102</t>
  </si>
  <si>
    <t>ZEK0331</t>
  </si>
  <si>
    <t>ZMT6551</t>
  </si>
  <si>
    <t>Nylon 100%</t>
  </si>
  <si>
    <t>ZKC8101</t>
  </si>
  <si>
    <t>P224</t>
  </si>
  <si>
    <t>Nylon:90%,Cationic Polyester:10%</t>
  </si>
  <si>
    <t>ZET4351</t>
  </si>
  <si>
    <t>P165</t>
  </si>
  <si>
    <t>ZE95522</t>
  </si>
  <si>
    <t>A1601</t>
  </si>
  <si>
    <t>Nylon:55%,Rayon:45%</t>
  </si>
  <si>
    <t>ZE11221</t>
  </si>
  <si>
    <t>AX242</t>
  </si>
  <si>
    <t>ZEA4042</t>
  </si>
  <si>
    <t>P239</t>
  </si>
  <si>
    <t>ZE11231</t>
  </si>
  <si>
    <t>AX243</t>
  </si>
  <si>
    <t>ZEK0061</t>
  </si>
  <si>
    <t>A1906</t>
  </si>
  <si>
    <r>
      <rPr>
        <b/>
        <i/>
        <sz val="10"/>
        <rFont val="Arial  "/>
        <family val="2"/>
      </rPr>
      <t>USD (FOB)</t>
    </r>
    <r>
      <rPr>
        <b/>
        <sz val="10"/>
        <rFont val="Arial  "/>
        <family val="2"/>
      </rPr>
      <t xml:space="preserve">  Per </t>
    </r>
    <r>
      <rPr>
        <b/>
        <u/>
        <sz val="10"/>
        <rFont val="Arial  "/>
        <family val="2"/>
      </rPr>
      <t>METER</t>
    </r>
    <r>
      <rPr>
        <b/>
        <sz val="10"/>
        <rFont val="Arial  "/>
        <family val="2"/>
      </rPr>
      <t xml:space="preserve"> OR </t>
    </r>
    <r>
      <rPr>
        <b/>
        <u/>
        <sz val="10"/>
        <rFont val="Arial  "/>
        <family val="2"/>
      </rPr>
      <t>PIECE</t>
    </r>
    <r>
      <rPr>
        <b/>
        <sz val="10"/>
        <rFont val="Arial  "/>
        <family val="2"/>
      </rPr>
      <t xml:space="preserve"> in USD</t>
    </r>
    <phoneticPr fontId="3"/>
  </si>
  <si>
    <t>over 10m</t>
    <phoneticPr fontId="3"/>
  </si>
  <si>
    <t>over 100m</t>
    <phoneticPr fontId="3"/>
  </si>
  <si>
    <t>over 300m</t>
    <phoneticPr fontId="3"/>
  </si>
  <si>
    <t>over 1000m</t>
    <phoneticPr fontId="3"/>
  </si>
  <si>
    <t>REF# 22227-5889 based on your inspiration images</t>
    <phoneticPr fontId="3"/>
  </si>
  <si>
    <t>REF# 22227-5889 the other selections</t>
    <phoneticPr fontId="3"/>
  </si>
  <si>
    <t>6789</t>
    <phoneticPr fontId="3"/>
  </si>
  <si>
    <t>6972</t>
    <phoneticPr fontId="3"/>
  </si>
  <si>
    <t>6980</t>
    <phoneticPr fontId="3"/>
  </si>
  <si>
    <t>Invoice No</t>
  </si>
  <si>
    <t xml:space="preserve">Total Payment Amount </t>
    <phoneticPr fontId="3"/>
  </si>
  <si>
    <r>
      <t>20251028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</si>
  <si>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FWL-23740</t>
    <phoneticPr fontId="3"/>
  </si>
  <si>
    <t>FWL-23806</t>
    <phoneticPr fontId="3"/>
  </si>
  <si>
    <t>-</t>
    <phoneticPr fontId="3"/>
  </si>
  <si>
    <t>Stock in Mill's Off White as of 
October 28th, 2025</t>
    <phoneticPr fontId="3"/>
  </si>
  <si>
    <t>50m</t>
    <phoneticPr fontId="3"/>
  </si>
  <si>
    <t>FWL-71287(100/3 version of FWL-71030)</t>
    <phoneticPr fontId="3"/>
  </si>
  <si>
    <t>Art. #</t>
    <phoneticPr fontId="242"/>
  </si>
  <si>
    <t xml:space="preserve">Size </t>
    <phoneticPr fontId="242"/>
  </si>
  <si>
    <t>Art description</t>
    <phoneticPr fontId="3"/>
  </si>
  <si>
    <t>MOQ for Mill's Standard colors</t>
    <phoneticPr fontId="3"/>
  </si>
  <si>
    <t>TI-5400-WH</t>
    <phoneticPr fontId="162"/>
  </si>
  <si>
    <t>Knit Grip</t>
  </si>
  <si>
    <t>Polyester-52.5%/Polyurethane-47.5%</t>
  </si>
  <si>
    <t>Polyester-53.5%/Polyurethane-46.5%</t>
  </si>
  <si>
    <t>TI-5400-BK</t>
    <phoneticPr fontId="162"/>
  </si>
  <si>
    <t>TI-1410</t>
    <phoneticPr fontId="162"/>
  </si>
  <si>
    <t>Chiffon Stretch Tape</t>
  </si>
  <si>
    <t>Polyurethane-55%/Nylon-45%</t>
  </si>
  <si>
    <t>Polyurethane-56%/Nylon-44%</t>
  </si>
  <si>
    <t>Polyurethane-59%/Nylon-41%</t>
  </si>
  <si>
    <t>Polyurethane-60%/Nylon-40%</t>
  </si>
  <si>
    <t>Polyurethane-51.5%/Nylon-48.5%</t>
  </si>
  <si>
    <t>Polyurethane-50%/Nylon-50%</t>
  </si>
  <si>
    <t>Fine Grip Tape</t>
  </si>
  <si>
    <t>Polyester-72%/Nylon-28%</t>
  </si>
  <si>
    <t>Polyester-71.5%/Nylon-28.5%</t>
  </si>
  <si>
    <t>Polyester-70.5%/Nylon-29.5%</t>
  </si>
  <si>
    <r>
      <t>20251029  Vera Wang 45% 120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3"/>
  </si>
  <si>
    <t>EXW JAPAN US$ / meter</t>
    <phoneticPr fontId="3"/>
  </si>
  <si>
    <t xml:space="preserve">Color </t>
  </si>
  <si>
    <t>Mill's Black (yarn-dye)</t>
  </si>
  <si>
    <t>FWL-71287(100/3 version of FWL-71030)</t>
  </si>
  <si>
    <t>FWL-93065(FWL-71030 with fringe on one side)</t>
  </si>
  <si>
    <t xml:space="preserve">ship to TBNYO </t>
    <phoneticPr fontId="3"/>
  </si>
  <si>
    <t>FWL-22418S</t>
    <phoneticPr fontId="3"/>
  </si>
  <si>
    <t>Testing sample</t>
    <phoneticPr fontId="3"/>
  </si>
  <si>
    <t>6m already shipped</t>
    <phoneticPr fontId="3"/>
  </si>
  <si>
    <t>10m to be shipped</t>
    <phoneticPr fontId="3"/>
  </si>
  <si>
    <t>20m to be shipped</t>
    <phoneticPr fontId="3"/>
  </si>
  <si>
    <t>ship to HS Fashion ( Jessie/Chid/Maggie)</t>
    <phoneticPr fontId="3"/>
  </si>
  <si>
    <t>we may have to reproduce this, checking with Jessie(TBNY)</t>
    <phoneticPr fontId="3"/>
  </si>
  <si>
    <t>44m left</t>
    <phoneticPr fontId="3"/>
  </si>
  <si>
    <t>74m left</t>
    <phoneticPr fontId="3"/>
  </si>
  <si>
    <t>44m  left</t>
    <phoneticPr fontId="3"/>
  </si>
  <si>
    <t>FWL-93065(FWL-71030 with fringe on one side*hand-cut)</t>
    <phoneticPr fontId="3"/>
  </si>
  <si>
    <t>Stock in Mill's Off White 
as of October 30th, 2025</t>
    <phoneticPr fontId="3"/>
  </si>
  <si>
    <r>
      <t>20251030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</si>
  <si>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FWL-71140</t>
    <phoneticPr fontId="3"/>
  </si>
  <si>
    <t>FWL-71287 (updated from FWL-71030)</t>
    <phoneticPr fontId="3"/>
  </si>
  <si>
    <t>FWL-24086</t>
    <phoneticPr fontId="3"/>
  </si>
  <si>
    <t>FWL-24238</t>
    <phoneticPr fontId="3"/>
  </si>
  <si>
    <t>FFWL- 21525</t>
    <phoneticPr fontId="3"/>
  </si>
  <si>
    <t>FWL- 22510</t>
    <phoneticPr fontId="3"/>
  </si>
  <si>
    <t>Total qty to HS Fashion</t>
  </si>
  <si>
    <t>Total qty to HS Fashion</t>
    <phoneticPr fontId="3"/>
  </si>
  <si>
    <t>85 m</t>
  </si>
  <si>
    <t>44 m</t>
  </si>
  <si>
    <t>FWL-93065(FWL-71030 with fringe on one side*hand-cut)</t>
  </si>
  <si>
    <t>115 m</t>
  </si>
  <si>
    <t>Mill's Off White (undyed)</t>
  </si>
  <si>
    <t>194 m</t>
  </si>
  <si>
    <t>390 m</t>
  </si>
  <si>
    <t>166 m</t>
  </si>
  <si>
    <t>527 m</t>
  </si>
  <si>
    <t>Status</t>
    <phoneticPr fontId="3"/>
  </si>
  <si>
    <t>44 m including Maggie’s sample</t>
    <phoneticPr fontId="3"/>
  </si>
  <si>
    <t>10m for Maggie will be ready on Nov.7th, and the balance will be ready on the 1st week of December</t>
    <phoneticPr fontId="3"/>
  </si>
  <si>
    <t xml:space="preserve">Under packing, will be ready early next week </t>
    <phoneticPr fontId="3"/>
  </si>
  <si>
    <t>Will be ready on the 1st week of December</t>
    <phoneticPr fontId="3"/>
  </si>
  <si>
    <t>Chiffon Stretch Tape</t>
    <phoneticPr fontId="3"/>
  </si>
  <si>
    <t>20251105 Carolina Herrera</t>
    <phoneticPr fontId="3"/>
  </si>
  <si>
    <t>20251110 Claudia Li   20% レート</t>
    <phoneticPr fontId="3"/>
  </si>
  <si>
    <r>
      <t xml:space="preserve">CUT737-W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</si>
  <si>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CUT737-W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</si>
  <si>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145/147cm x approx. 50m
100% Cotton 
abt 114g/m2</t>
    <phoneticPr fontId="3"/>
  </si>
  <si>
    <t xml:space="preserve">MOQ / col for standard colors </t>
  </si>
  <si>
    <t>abt 25m/roll</t>
  </si>
  <si>
    <t>NOTE:</t>
  </si>
  <si>
    <t>-There may be a joint on each roll, therefore 1 roll can be 2 pieces.</t>
  </si>
  <si>
    <t xml:space="preserve">-Inland Freight Charge in Japan will be added </t>
  </si>
  <si>
    <t>-The term of validity: end of November, 2023</t>
  </si>
  <si>
    <t>Double-fold flat cut tape : finished 30mm</t>
    <phoneticPr fontId="3"/>
  </si>
  <si>
    <t># 5000 (Mayfair) / non-metallic colors</t>
    <phoneticPr fontId="3"/>
  </si>
  <si>
    <t># 5000 (Mayfair) / metallic colors</t>
    <phoneticPr fontId="3"/>
  </si>
  <si>
    <t>レート</t>
    <phoneticPr fontId="3"/>
  </si>
  <si>
    <t>3.1 Phillip Lim  20251114  ３５% 120円</t>
    <rPh sb="34" eb="35">
      <t>エン</t>
    </rPh>
    <phoneticPr fontId="3"/>
  </si>
  <si>
    <t>20251117   20% レート</t>
    <phoneticPr fontId="3"/>
  </si>
  <si>
    <t>NN007 (Mill's color)  
sample cut</t>
    <phoneticPr fontId="3"/>
  </si>
  <si>
    <t>NN007 (Mill's color)  
based on Regular price</t>
    <phoneticPr fontId="3"/>
  </si>
  <si>
    <t>US$24.28/m + US$12/cut</t>
    <phoneticPr fontId="3"/>
  </si>
  <si>
    <t>利益率(regular)</t>
    <rPh sb="0" eb="2">
      <t>リエキ</t>
    </rPh>
    <rPh sb="2" eb="3">
      <t>リツ</t>
    </rPh>
    <phoneticPr fontId="3"/>
  </si>
  <si>
    <r>
      <rPr>
        <b/>
        <sz val="12"/>
        <color rgb="FF0070C0"/>
        <rFont val="ＭＳ Ｐゴシック"/>
        <family val="3"/>
        <charset val="128"/>
      </rPr>
      <t>レート</t>
    </r>
    <phoneticPr fontId="3"/>
  </si>
  <si>
    <t>E2250</t>
    <phoneticPr fontId="3"/>
  </si>
  <si>
    <t>E3030</t>
  </si>
  <si>
    <t xml:space="preserve">Jenny Yoo 20251118 50% </t>
    <phoneticPr fontId="3"/>
  </si>
  <si>
    <t>EXW JAPAN US$ / meter 
Regular Price</t>
    <phoneticPr fontId="3"/>
  </si>
  <si>
    <t>仕入メーター単価</t>
    <rPh sb="0" eb="2">
      <t>シイレ</t>
    </rPh>
    <rPh sb="6" eb="8">
      <t>タンカ</t>
    </rPh>
    <phoneticPr fontId="3"/>
  </si>
  <si>
    <t>20251121 Honor   20% レート</t>
    <phoneticPr fontId="3"/>
  </si>
  <si>
    <r>
      <t xml:space="preserve">FUT5110-W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</si>
  <si>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140cm x approx. 46m
100% Polyester
abt 16g/m2</t>
    <phoneticPr fontId="3"/>
  </si>
  <si>
    <r>
      <t xml:space="preserve">FUT5110-W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46m)</t>
    </r>
    <phoneticPr fontId="3"/>
  </si>
  <si>
    <t>JAPAN</t>
  </si>
  <si>
    <t>CO-CCF01A</t>
    <phoneticPr fontId="3"/>
  </si>
  <si>
    <t xml:space="preserve">Col.10C </t>
    <phoneticPr fontId="3"/>
  </si>
  <si>
    <t>Col.51C</t>
    <phoneticPr fontId="3"/>
  </si>
  <si>
    <t>Col.50C</t>
    <phoneticPr fontId="3"/>
  </si>
  <si>
    <t>こるどん 株式会社</t>
  </si>
  <si>
    <t>CO-CCF01A</t>
  </si>
  <si>
    <t>L size</t>
  </si>
  <si>
    <t xml:space="preserve">Col.10C </t>
  </si>
  <si>
    <t>Col.51C</t>
  </si>
  <si>
    <t>Col.50C</t>
  </si>
  <si>
    <t>M MO-EO 251130</t>
    <phoneticPr fontId="3"/>
  </si>
  <si>
    <t>CCF01A(L)</t>
    <phoneticPr fontId="3"/>
  </si>
  <si>
    <t>MO-EO 251130</t>
  </si>
  <si>
    <t>Cotton Cords  Cotton-100%</t>
  </si>
  <si>
    <t>008517 (12/04/25) to Chinamine</t>
    <phoneticPr fontId="3"/>
  </si>
  <si>
    <t># 709 CHARCOAL</t>
    <phoneticPr fontId="3"/>
  </si>
  <si>
    <t>#187 PÊCHE</t>
    <phoneticPr fontId="3"/>
  </si>
  <si>
    <t>008517 (12/04/25)  to Litus</t>
    <phoneticPr fontId="3"/>
  </si>
  <si>
    <t xml:space="preserve">PO# / ship to </t>
    <phoneticPr fontId="3"/>
  </si>
  <si>
    <r>
      <t>20251208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</si>
  <si>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Stock in Mill's Off White 
as of December 8th, 2025</t>
    <phoneticPr fontId="3"/>
  </si>
  <si>
    <t xml:space="preserve"> By T/T or ACH only (Check:N/A)</t>
    <phoneticPr fontId="3"/>
  </si>
  <si>
    <t xml:space="preserve">20251209 Alexander Wang </t>
    <phoneticPr fontId="3"/>
  </si>
  <si>
    <t>ZE11812</t>
  </si>
  <si>
    <t>A1788</t>
  </si>
  <si>
    <t>ZET4602</t>
  </si>
  <si>
    <t>P238</t>
  </si>
  <si>
    <t>ZE11843</t>
  </si>
  <si>
    <t>AX258</t>
  </si>
  <si>
    <t>ZMT3391</t>
  </si>
  <si>
    <t>P98</t>
  </si>
  <si>
    <t>ZEG0284</t>
  </si>
  <si>
    <t>A647</t>
  </si>
  <si>
    <t>ZET3152</t>
  </si>
  <si>
    <t>A2080</t>
  </si>
  <si>
    <t>Cotton:55%,Polyester:45%</t>
  </si>
  <si>
    <t>ZEG0485</t>
  </si>
  <si>
    <t>AX277</t>
  </si>
  <si>
    <t>ZET0082</t>
  </si>
  <si>
    <t>AX362</t>
  </si>
  <si>
    <t>ZET4281</t>
  </si>
  <si>
    <t>P164</t>
  </si>
  <si>
    <t>AX415</t>
  </si>
  <si>
    <t>Nylon:65%,Cationic Polyester:35%</t>
  </si>
  <si>
    <t>ZMT2401</t>
  </si>
  <si>
    <t>P1</t>
  </si>
  <si>
    <t>ZKC2262</t>
  </si>
  <si>
    <t>A1819</t>
  </si>
  <si>
    <t>Nylon:60%,Cationic Polyester:40%</t>
  </si>
  <si>
    <t>ZMA3841</t>
  </si>
  <si>
    <t>AX439</t>
  </si>
  <si>
    <r>
      <rPr>
        <b/>
        <i/>
        <sz val="10"/>
        <rFont val="Arial  "/>
        <family val="2"/>
      </rPr>
      <t>USD (FOB) Thailand or China</t>
    </r>
    <r>
      <rPr>
        <b/>
        <sz val="10"/>
        <rFont val="Arial  "/>
        <family val="2"/>
      </rPr>
      <t xml:space="preserve">  Per </t>
    </r>
    <r>
      <rPr>
        <b/>
        <u/>
        <sz val="10"/>
        <rFont val="Arial  "/>
        <family val="2"/>
      </rPr>
      <t>METER</t>
    </r>
    <phoneticPr fontId="3"/>
  </si>
  <si>
    <t>7400</t>
    <phoneticPr fontId="3"/>
  </si>
  <si>
    <t>3950</t>
    <phoneticPr fontId="3"/>
  </si>
  <si>
    <t>Coach 20251211</t>
    <phoneticPr fontId="3"/>
  </si>
  <si>
    <t>2021/10</t>
  </si>
  <si>
    <t>2018/12</t>
  </si>
  <si>
    <t>カット制限あり
25Mまで</t>
    <rPh sb="3" eb="5">
      <t>セイゲン</t>
    </rPh>
    <phoneticPr fontId="3"/>
  </si>
  <si>
    <t>5049</t>
    <phoneticPr fontId="3"/>
  </si>
  <si>
    <t xml:space="preserve">152cm×abt 50m (1roll= abt 50m) </t>
    <phoneticPr fontId="3"/>
  </si>
  <si>
    <t xml:space="preserve">160cm×abt 50m (1roll= abt 50m) </t>
    <phoneticPr fontId="3"/>
  </si>
  <si>
    <t xml:space="preserve">148cm×abt 46m  (1roll= abt 46m) </t>
    <phoneticPr fontId="3"/>
  </si>
  <si>
    <t>Comment</t>
    <phoneticPr fontId="3"/>
  </si>
  <si>
    <t>Made in China</t>
    <phoneticPr fontId="3"/>
  </si>
  <si>
    <t>Made in Japan</t>
    <phoneticPr fontId="3"/>
  </si>
  <si>
    <t>Made in China, sample cut up to 25m</t>
    <phoneticPr fontId="3"/>
  </si>
  <si>
    <t>仕入れ単価 単価</t>
    <rPh sb="0" eb="2">
      <t>シイ</t>
    </rPh>
    <rPh sb="3" eb="5">
      <t>タンカ</t>
    </rPh>
    <phoneticPr fontId="3"/>
  </si>
  <si>
    <t xml:space="preserve">20251217 Varca Bridal  20% レート120 </t>
    <phoneticPr fontId="3"/>
  </si>
  <si>
    <t>2440W ( art.# updated, wider version of 2440 ) Mill's color 
sample cut</t>
    <phoneticPr fontId="3"/>
  </si>
  <si>
    <r>
      <t xml:space="preserve">2440W ( art.# updated, wider version of 2440 ) Mill's color 
Based on 1 roll </t>
    </r>
    <r>
      <rPr>
        <sz val="10"/>
        <rFont val="Arial"/>
        <family val="2"/>
      </rPr>
      <t xml:space="preserve"> (1 roll=abt 58m)</t>
    </r>
    <phoneticPr fontId="3"/>
  </si>
  <si>
    <t>US$3.88/m + US$12/cut</t>
    <phoneticPr fontId="3"/>
  </si>
  <si>
    <t>216-002(August 8, 2024) ship to China</t>
    <phoneticPr fontId="3"/>
  </si>
  <si>
    <t>DOEN</t>
    <phoneticPr fontId="3"/>
  </si>
  <si>
    <t>Leavers Lace 100% Nylon</t>
    <phoneticPr fontId="3"/>
  </si>
  <si>
    <t>ZMT1791</t>
    <phoneticPr fontId="3"/>
  </si>
  <si>
    <t>DTM WILD HONEYSUCKLE (13-0822)</t>
    <phoneticPr fontId="3"/>
  </si>
  <si>
    <t>24SPR09012</t>
    <phoneticPr fontId="3"/>
  </si>
  <si>
    <t>A&amp;Feng Fashion Limited (A.L.C.)</t>
    <phoneticPr fontId="3"/>
  </si>
  <si>
    <t>ZMT5831</t>
    <phoneticPr fontId="3"/>
  </si>
  <si>
    <t xml:space="preserve"> SAKAE Black </t>
    <phoneticPr fontId="3"/>
  </si>
  <si>
    <t>Thailand</t>
    <phoneticPr fontId="3"/>
  </si>
  <si>
    <t>例</t>
    <rPh sb="0" eb="1">
      <t>レイ</t>
    </rPh>
    <phoneticPr fontId="3"/>
  </si>
  <si>
    <t>Leavers Lace</t>
    <phoneticPr fontId="3"/>
  </si>
  <si>
    <t>W20251028-8 (2025/10/28)</t>
    <phoneticPr fontId="3"/>
  </si>
  <si>
    <r>
      <t>SHENZHEN WCX GARMENT CO.</t>
    </r>
    <r>
      <rPr>
        <sz val="12"/>
        <rFont val="游ゴシック"/>
        <family val="2"/>
        <charset val="128"/>
      </rPr>
      <t>，</t>
    </r>
    <r>
      <rPr>
        <sz val="12"/>
        <rFont val="Arial"/>
        <family val="2"/>
      </rPr>
      <t>LTD. (DOEN)</t>
    </r>
    <phoneticPr fontId="3"/>
  </si>
  <si>
    <t>ZKC2062</t>
    <phoneticPr fontId="3"/>
  </si>
  <si>
    <t>DTM SEA  SALT (matching self fabric)L/D:A</t>
    <phoneticPr fontId="3"/>
  </si>
  <si>
    <t>キャンセル</t>
    <phoneticPr fontId="3"/>
  </si>
  <si>
    <t>14470 (17/12/25)</t>
    <phoneticPr fontId="3"/>
  </si>
  <si>
    <t>MODARTIS S.r.l.(Monique Lhuillier)</t>
    <phoneticPr fontId="3"/>
  </si>
  <si>
    <t>BLK BLACK C/C</t>
    <phoneticPr fontId="3"/>
  </si>
  <si>
    <t>WHT WHITE C/C</t>
    <phoneticPr fontId="3"/>
  </si>
  <si>
    <t>ZEA252M</t>
    <phoneticPr fontId="3"/>
  </si>
  <si>
    <t>155cm</t>
    <phoneticPr fontId="3"/>
  </si>
  <si>
    <t>SL-112525 (11/25/2025)</t>
    <phoneticPr fontId="3"/>
  </si>
  <si>
    <t>Katherine Tash</t>
    <phoneticPr fontId="3"/>
  </si>
  <si>
    <t>W115101</t>
    <phoneticPr fontId="3"/>
  </si>
  <si>
    <t>White</t>
    <phoneticPr fontId="3"/>
  </si>
  <si>
    <t>ZEA3853</t>
    <phoneticPr fontId="3"/>
  </si>
  <si>
    <t>ZET5971</t>
    <phoneticPr fontId="3"/>
  </si>
  <si>
    <t>ZH89981</t>
    <phoneticPr fontId="3"/>
  </si>
  <si>
    <t>ZH88231</t>
    <phoneticPr fontId="3"/>
  </si>
  <si>
    <t>ZH89411</t>
    <phoneticPr fontId="3"/>
  </si>
  <si>
    <t>W275101</t>
    <phoneticPr fontId="3"/>
  </si>
  <si>
    <t>W262101</t>
    <phoneticPr fontId="3"/>
  </si>
  <si>
    <t>W279101</t>
    <phoneticPr fontId="3"/>
  </si>
  <si>
    <t>ZH89681(pair)</t>
    <phoneticPr fontId="3"/>
  </si>
  <si>
    <t>Charge</t>
    <phoneticPr fontId="3"/>
  </si>
  <si>
    <t>A &amp; Feng Fashion Ltd. (Revolve)</t>
    <phoneticPr fontId="3"/>
  </si>
  <si>
    <t>AF-251229</t>
    <phoneticPr fontId="3"/>
  </si>
  <si>
    <t>ZET6802</t>
    <phoneticPr fontId="3"/>
  </si>
  <si>
    <t>4304 (2025/12/29)</t>
    <phoneticPr fontId="3"/>
  </si>
  <si>
    <t>Frankies Bikinis, LLC</t>
    <phoneticPr fontId="3"/>
  </si>
  <si>
    <t>ZH89591</t>
    <phoneticPr fontId="3"/>
  </si>
  <si>
    <t>Orchid Smoke 15-2210 TCX</t>
    <phoneticPr fontId="3"/>
  </si>
  <si>
    <t>Pot-Dye fee</t>
    <phoneticPr fontId="3"/>
  </si>
  <si>
    <t>REVOLVE</t>
    <phoneticPr fontId="3"/>
  </si>
  <si>
    <t>ZEA4042</t>
    <phoneticPr fontId="3"/>
  </si>
  <si>
    <t>Black</t>
    <phoneticPr fontId="3"/>
  </si>
  <si>
    <t>REV-251225</t>
    <phoneticPr fontId="3"/>
  </si>
  <si>
    <t xml:space="preserve">holding </t>
    <phoneticPr fontId="3"/>
  </si>
  <si>
    <t xml:space="preserve">Jan. 5th </t>
    <phoneticPr fontId="3"/>
  </si>
  <si>
    <t>Chinamine Trading Limited (REVOLVE)</t>
    <phoneticPr fontId="3"/>
  </si>
  <si>
    <t>CKL049078</t>
    <phoneticPr fontId="3"/>
  </si>
  <si>
    <t>no charge</t>
    <phoneticPr fontId="3"/>
  </si>
  <si>
    <t>010926_43 6RR</t>
    <phoneticPr fontId="3"/>
  </si>
  <si>
    <t>WHITE CAPS LLC DBA LeSuperbe</t>
    <phoneticPr fontId="3"/>
  </si>
  <si>
    <t>ZKC4172</t>
    <phoneticPr fontId="3"/>
  </si>
  <si>
    <t>ZKC4121</t>
    <phoneticPr fontId="3"/>
  </si>
  <si>
    <t>DTM LT PEACH</t>
    <phoneticPr fontId="3"/>
  </si>
  <si>
    <t>FOB /m</t>
    <phoneticPr fontId="3"/>
  </si>
  <si>
    <t>ZMG2441</t>
  </si>
  <si>
    <t>A1360</t>
  </si>
  <si>
    <t>Nylon:50%,Cotton:50%</t>
  </si>
  <si>
    <t>AX360</t>
  </si>
  <si>
    <t>ZMA2751</t>
  </si>
  <si>
    <t>A868</t>
  </si>
  <si>
    <t>Nylon:70%,Cotton:30%</t>
  </si>
  <si>
    <t>ZMT1761</t>
  </si>
  <si>
    <t>A1178</t>
  </si>
  <si>
    <t>Revolve</t>
    <phoneticPr fontId="3"/>
  </si>
  <si>
    <r>
      <t xml:space="preserve">shipping cut </t>
    </r>
    <r>
      <rPr>
        <sz val="10"/>
        <color rgb="FFFF0000"/>
        <rFont val="ＭＳ Ｐゴシック"/>
        <family val="2"/>
        <charset val="128"/>
      </rPr>
      <t>先発</t>
    </r>
    <rPh sb="13" eb="15">
      <t>センパツ</t>
    </rPh>
    <phoneticPr fontId="3"/>
  </si>
  <si>
    <t>Marie Herrera</t>
    <phoneticPr fontId="3"/>
  </si>
  <si>
    <t>MH-260115</t>
    <phoneticPr fontId="3"/>
  </si>
  <si>
    <t>ZET0951</t>
    <phoneticPr fontId="3"/>
  </si>
  <si>
    <t>ZKC4241</t>
    <phoneticPr fontId="3"/>
  </si>
  <si>
    <r>
      <rPr>
        <b/>
        <sz val="12"/>
        <rFont val="Times New Roman"/>
        <family val="1"/>
      </rPr>
      <t>SUN FASHION AMERICA, INC.</t>
    </r>
    <r>
      <rPr>
        <sz val="10"/>
        <rFont val="Times New Roman"/>
        <family val="1"/>
      </rPr>
      <t xml:space="preserve">
Suite 716, 15 West 38th Street,
New York, NY 10018, U.S.A.
TEL: 81-80-4860-0203
&lt;Shipper: Sun Fashion Corp. in Japan&gt;</t>
    </r>
    <phoneticPr fontId="3"/>
  </si>
  <si>
    <t>ZMT3442</t>
  </si>
  <si>
    <t>A1511</t>
  </si>
  <si>
    <t>131704 (1/30/26)</t>
    <phoneticPr fontId="3"/>
  </si>
  <si>
    <t>Sablyn</t>
    <phoneticPr fontId="3"/>
  </si>
  <si>
    <t>ZH89281</t>
    <phoneticPr fontId="3"/>
  </si>
  <si>
    <t>??</t>
    <phoneticPr fontId="3"/>
  </si>
  <si>
    <t>A &amp; Feng Fashion Ltd.(Revolve)</t>
    <phoneticPr fontId="3"/>
  </si>
  <si>
    <t>AF-260201</t>
    <phoneticPr fontId="3"/>
  </si>
  <si>
    <t>FM PS27 SMS (2026/2/2)</t>
    <phoneticPr fontId="3"/>
  </si>
  <si>
    <t>PROTEX INDUSTRIAL (H.K.) LIMITED(Frame)</t>
    <phoneticPr fontId="3"/>
  </si>
  <si>
    <t>ZMT3442(A1511)</t>
    <phoneticPr fontId="3"/>
  </si>
  <si>
    <t xml:space="preserve">BLACK </t>
    <phoneticPr fontId="3"/>
  </si>
  <si>
    <t>CREAM -Arctic Wolf 12-0602TCX</t>
    <phoneticPr fontId="3"/>
  </si>
  <si>
    <t>WHITE</t>
    <phoneticPr fontId="3"/>
  </si>
  <si>
    <t>DEEP GARNET 19-1724TCX</t>
    <phoneticPr fontId="3"/>
  </si>
  <si>
    <t>WHITE or deep garnet ?</t>
    <phoneticPr fontId="3"/>
  </si>
  <si>
    <t>Customer</t>
    <phoneticPr fontId="3"/>
  </si>
  <si>
    <t>PROTEX (Frame)</t>
    <phoneticPr fontId="3"/>
  </si>
  <si>
    <t>Chinamine Trading Limited (Frame)</t>
    <phoneticPr fontId="3"/>
  </si>
  <si>
    <t>AF-260201-1</t>
    <phoneticPr fontId="3"/>
  </si>
  <si>
    <t>131707</t>
    <phoneticPr fontId="3"/>
  </si>
  <si>
    <t>ORANGE CICLE</t>
    <phoneticPr fontId="3"/>
  </si>
  <si>
    <t>SWISS BROWN</t>
    <phoneticPr fontId="3"/>
  </si>
  <si>
    <t>COAST BLUE</t>
    <phoneticPr fontId="3"/>
  </si>
  <si>
    <t>CABERNET</t>
    <phoneticPr fontId="3"/>
  </si>
  <si>
    <t>SEASHELL HEATHER</t>
    <phoneticPr fontId="3"/>
  </si>
  <si>
    <t>MOONSTONE</t>
    <phoneticPr fontId="3"/>
  </si>
  <si>
    <t>14539 (6/02/26)</t>
    <phoneticPr fontId="3"/>
  </si>
  <si>
    <t>ZEA252E</t>
    <phoneticPr fontId="3"/>
  </si>
  <si>
    <t>MATRIX INTERNATIONAL FASHION LIMITED(Revolve)</t>
    <phoneticPr fontId="3"/>
  </si>
  <si>
    <t>MIFL-260204</t>
    <phoneticPr fontId="3"/>
  </si>
  <si>
    <t>FOB Price /m</t>
    <phoneticPr fontId="3"/>
  </si>
  <si>
    <t>Estimated ready date</t>
    <phoneticPr fontId="3"/>
  </si>
  <si>
    <t>in stock</t>
    <phoneticPr fontId="3"/>
  </si>
  <si>
    <t>Mid - Late March (urgent)</t>
    <phoneticPr fontId="3"/>
  </si>
  <si>
    <t>4.5m in stock, Mid - Late March (urgent)</t>
    <phoneticPr fontId="3"/>
  </si>
  <si>
    <t>SKL049235</t>
    <phoneticPr fontId="3"/>
  </si>
  <si>
    <t>ALC</t>
    <phoneticPr fontId="3"/>
  </si>
  <si>
    <t>W071101</t>
    <phoneticPr fontId="3"/>
  </si>
  <si>
    <t>SY-SA-2610-A (2/12/26) A&amp;Feng</t>
    <phoneticPr fontId="3"/>
  </si>
  <si>
    <t>BLK BLACK</t>
    <phoneticPr fontId="3"/>
  </si>
  <si>
    <t>WHT WHITE</t>
    <phoneticPr fontId="3"/>
  </si>
  <si>
    <t>ODYLYNE THE CEREMONY  20260217</t>
    <phoneticPr fontId="3"/>
  </si>
  <si>
    <t>ZET5382</t>
  </si>
  <si>
    <t>P302</t>
  </si>
  <si>
    <t>W225101</t>
  </si>
  <si>
    <t>ZET5472</t>
  </si>
  <si>
    <t>P297</t>
  </si>
  <si>
    <t>Cotton:80%,Nylon:20%</t>
  </si>
  <si>
    <t>ZMT6231</t>
  </si>
  <si>
    <t>A2057</t>
  </si>
  <si>
    <t>ZMG2631</t>
  </si>
  <si>
    <t>A1866</t>
  </si>
  <si>
    <t>W008101</t>
  </si>
  <si>
    <t>FX5</t>
  </si>
  <si>
    <t>Polyester:40%,Cotton:35%,Nylon:25%</t>
  </si>
  <si>
    <t>ZH89571 (pair)</t>
    <phoneticPr fontId="3"/>
  </si>
  <si>
    <t>Greige ( White dyeable)</t>
    <phoneticPr fontId="3"/>
  </si>
  <si>
    <t>White Greige</t>
    <phoneticPr fontId="3"/>
  </si>
  <si>
    <t>キャンセル</t>
    <phoneticPr fontId="3"/>
  </si>
  <si>
    <t>ZKC4221</t>
    <phoneticPr fontId="3"/>
  </si>
  <si>
    <t>ZUT2371 (ZMT2371)</t>
    <phoneticPr fontId="3"/>
  </si>
  <si>
    <t>Frame</t>
    <phoneticPr fontId="3"/>
  </si>
  <si>
    <t>L893911</t>
    <phoneticPr fontId="3"/>
  </si>
  <si>
    <t>Cancel</t>
    <phoneticPr fontId="3"/>
  </si>
  <si>
    <t>14585 (24/02/26)</t>
    <phoneticPr fontId="3"/>
  </si>
  <si>
    <t>Sakae Black</t>
    <phoneticPr fontId="3"/>
  </si>
  <si>
    <t>Shalom B(Asher LA)</t>
    <phoneticPr fontId="3"/>
  </si>
  <si>
    <t>R17278-Feb 26 26</t>
    <phoneticPr fontId="3"/>
  </si>
  <si>
    <t>ZH89681</t>
    <phoneticPr fontId="3"/>
  </si>
  <si>
    <t>internal PO# (12/02/2026)</t>
    <phoneticPr fontId="3"/>
  </si>
  <si>
    <t>SL-022726 (2.27.2026)</t>
    <phoneticPr fontId="3"/>
  </si>
  <si>
    <t>0801231JW</t>
    <phoneticPr fontId="3"/>
  </si>
  <si>
    <t>SL-030326 (3.3.2026)</t>
    <phoneticPr fontId="3"/>
  </si>
  <si>
    <t>W074101</t>
    <phoneticPr fontId="3"/>
  </si>
  <si>
    <t xml:space="preserve"> </t>
    <phoneticPr fontId="3"/>
  </si>
  <si>
    <t>ZK01151</t>
    <phoneticPr fontId="3"/>
  </si>
  <si>
    <t>ZMT3442(ZUT3442-A1511)</t>
    <phoneticPr fontId="3"/>
  </si>
  <si>
    <t>C/# 063276</t>
    <phoneticPr fontId="3"/>
  </si>
  <si>
    <t>Mail Order 260310</t>
    <phoneticPr fontId="3"/>
  </si>
  <si>
    <t>3009425-09</t>
    <phoneticPr fontId="3"/>
  </si>
  <si>
    <t>SAMPLE ORDER MONIQUE LHUILLIER  - SS 27(31/03/2026)</t>
    <phoneticPr fontId="3"/>
  </si>
  <si>
    <t xml:space="preserve">DTM Tender Touch </t>
    <phoneticPr fontId="3"/>
  </si>
  <si>
    <t>AT26PF04001</t>
    <phoneticPr fontId="3"/>
  </si>
  <si>
    <r>
      <t>4.27</t>
    </r>
    <r>
      <rPr>
        <sz val="10"/>
        <color rgb="FFFF0000"/>
        <rFont val="ＭＳ Ｐゴシック"/>
        <family val="2"/>
        <charset val="128"/>
      </rPr>
      <t>出荷見本・</t>
    </r>
    <r>
      <rPr>
        <sz val="10"/>
        <color rgb="FFFF0000"/>
        <rFont val="Arial"/>
        <family val="2"/>
      </rPr>
      <t>5.08~5.13</t>
    </r>
    <r>
      <rPr>
        <sz val="10"/>
        <color rgb="FFFF0000"/>
        <rFont val="ＭＳ Ｐゴシック"/>
        <family val="2"/>
        <charset val="128"/>
      </rPr>
      <t>出荷</t>
    </r>
    <rPh sb="4" eb="6">
      <t>シュッカ</t>
    </rPh>
    <rPh sb="6" eb="8">
      <t>ミホン</t>
    </rPh>
    <rPh sb="18" eb="20">
      <t>シュッカ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</si>
</sst>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3">
    <numFmt numFmtId="5" formatCode="&quot;¥&quot;#,##0;&quot;¥&quot;\-#,##0"/>
    <numFmt numFmtId="6" formatCode="&quot;¥&quot;#,##0;[Red]&quot;¥&quot;\-#,##0"/>
    <numFmt numFmtId="176" formatCode="#,##0&quot;mm&quot;"/>
    <numFmt numFmtId="177" formatCode="&quot;#&quot;General"/>
    <numFmt numFmtId="178" formatCode="#,##0&quot; m&quot;"/>
    <numFmt numFmtId="179" formatCode="[$-409]d\-mmm;@"/>
    <numFmt numFmtId="180" formatCode="#,##0&quot; rolls&quot;"/>
    <numFmt numFmtId="181" formatCode="&quot;S-&quot;General"/>
    <numFmt numFmtId="182" formatCode="&quot;SF-&quot;General"/>
    <numFmt numFmtId="183" formatCode="#,##0.0&quot; m&quot;"/>
    <numFmt numFmtId="184" formatCode="#,##0&quot; set&quot;"/>
    <numFmt numFmtId="185" formatCode="&quot;@US$&quot;#,##0.00\-"/>
    <numFmt numFmtId="186" formatCode="#,##0&quot;cm&quot;"/>
    <numFmt numFmtId="187" formatCode="#,##0\ &quot;mm&quot;"/>
    <numFmt numFmtId="188" formatCode="#,##0\ &quot;cm&quot;"/>
    <numFmt numFmtId="189" formatCode="&quot;US$&quot;#,##0.00"/>
    <numFmt numFmtId="190" formatCode="&quot;&quot;General"/>
    <numFmt numFmtId="191" formatCode="General&quot; m&quot;"/>
    <numFmt numFmtId="192" formatCode="General&quot; rolls&quot;"/>
    <numFmt numFmtId="193" formatCode="&quot;US$&quot;#,##0.00;\-&quot;US$&quot;#,##0.00"/>
    <numFmt numFmtId="194" formatCode="###0.0\ &quot;m&quot;"/>
    <numFmt numFmtId="195" formatCode="&quot;KYL-&quot;General&quot;-1&quot;"/>
    <numFmt numFmtId="196" formatCode="###0\ &quot;m&quot;"/>
    <numFmt numFmtId="197" formatCode="[$¥-411]#,##0;[Red]\-[$¥-411]#,##0"/>
    <numFmt numFmtId="198" formatCode="0&quot;mm&quot;"/>
    <numFmt numFmtId="199" formatCode="00&quot;m/roll&quot;"/>
    <numFmt numFmtId="200" formatCode="&quot;@&quot;#,###.00&quot;-&quot;"/>
    <numFmt numFmtId="201" formatCode="&quot;@&quot;#,###.#&quot;-&quot;"/>
    <numFmt numFmtId="202" formatCode="#,##0\ &quot;m&quot;"/>
    <numFmt numFmtId="203" formatCode="&quot;US$&quot;#,##0.00_);\(&quot;US$&quot;#,##0.00\)"/>
    <numFmt numFmtId="204" formatCode="#,##0&quot; pcs&quot;"/>
    <numFmt numFmtId="205" formatCode="&quot;¥&quot;#,##0_);[Red]\(&quot;¥&quot;#,##0\)"/>
    <numFmt numFmtId="206" formatCode="&quot;US$&quot;#,##0.00;[Red]\-&quot;US$&quot;#,##0.00"/>
    <numFmt numFmtId="207" formatCode="#,##0&quot; sets&quot;"/>
    <numFmt numFmtId="208" formatCode="#,##0&quot;m&quot;"/>
    <numFmt numFmtId="209" formatCode="&quot;@US$&quot;#,##0.00\-&quot;/roll&quot;"/>
    <numFmt numFmtId="210" formatCode="General&quot; pcs&quot;"/>
    <numFmt numFmtId="211" formatCode="_-* #,##0_-;\-* #,##0_-;_-* &quot;-&quot;_-;_-@_-"/>
    <numFmt numFmtId="212" formatCode="[$$-409]#,##0.00_);\([$$-409]#,##0.00\)"/>
    <numFmt numFmtId="213" formatCode="[$-409]d\-mmm\-yyyy;@"/>
    <numFmt numFmtId="214" formatCode="###0.0&quot; m&quot;"/>
    <numFmt numFmtId="215" formatCode="###0&quot; roll(s)&quot;"/>
    <numFmt numFmtId="216" formatCode="[$$-409]#,##0.00;[$$-409]#,##0.00"/>
    <numFmt numFmtId="217" formatCode="[$-F800]dddd\,\ mmmm\ dd\,\ yyyy"/>
    <numFmt numFmtId="218" formatCode="[$¥-411]#,##0_);\([$¥-411]#,##0\)"/>
    <numFmt numFmtId="219" formatCode="&quot;開始行: &quot;#"/>
    <numFmt numFmtId="220" formatCode="&quot;終了行: &quot;#"/>
    <numFmt numFmtId="221" formatCode="[$¥-411]#,##0.0;[Red]\-[$¥-411]#,##0.0"/>
    <numFmt numFmtId="222" formatCode="General\ &quot;rolls&quot;"/>
    <numFmt numFmtId="223" formatCode="#,##0&quot; yds&quot;"/>
    <numFmt numFmtId="224" formatCode="&quot;¥&quot;#,##0.0;[Red]&quot;¥&quot;\-#,##0.0"/>
    <numFmt numFmtId="225" formatCode="[$¥-411]#,##0.00;[Red]\-[$¥-411]#,##0.00"/>
    <numFmt numFmtId="226" formatCode="#,##0.00&quot;cm&quot;"/>
    <numFmt numFmtId="227" formatCode="0.0%"/>
    <numFmt numFmtId="228" formatCode="[$¥-411]#,##0;[$¥-411]#,##0"/>
    <numFmt numFmtId="229" formatCode="#,##0\ &quot;m/roll&quot;"/>
    <numFmt numFmtId="230" formatCode="[$€-2]\ #,##0.00_);[Red]\([$€-2]\ #,##0.00\)"/>
    <numFmt numFmtId="231" formatCode="&quot;US$&quot;#,##0.00_);[Red]\(&quot;US$&quot;#,##0.00\)"/>
    <numFmt numFmtId="232" formatCode="[$€-2]\ #,##0.00_)&quot;/m&quot;;[Red]\([$€-2]\ #,##0.00\)"/>
    <numFmt numFmtId="233" formatCode="mm/dd/yyyy;@"/>
    <numFmt numFmtId="234" formatCode="_-\$* #,##0.00_ ;_-\$* \-#,##0.00\ ;_-\$* &quot;-&quot;??_ ;_-@_ "/>
    <numFmt numFmtId="235" formatCode="General&quot; mm&quot;"/>
    <numFmt numFmtId="236" formatCode="&quot;¥&quot;#,##0.0_);[Red]\(&quot;¥&quot;#,##0.0\)"/>
    <numFmt numFmtId="237" formatCode="#,##0\ &quot;mmx2&quot;"/>
    <numFmt numFmtId="238" formatCode="[$¥-411]#,##0.00_);[Red]\([$¥-411]#,##0.00\)"/>
    <numFmt numFmtId="239" formatCode="&quot;@&quot;#,###.##&quot;-&quot;"/>
    <numFmt numFmtId="240" formatCode="[$JPY]\ #,##0;[Red][$JPY]\ \-#,##0"/>
    <numFmt numFmtId="241" formatCode="#,##0_ "/>
    <numFmt numFmtId="242" formatCode="&quot;$&quot;#,##0.0"/>
    <numFmt numFmtId="243" formatCode="0.0"/>
    <numFmt numFmtId="244" formatCode="&quot;SF-0&quot;General"/>
    <numFmt numFmtId="245" formatCode="&quot;¥&quot;#,##0.\-;\-&quot;¥&quot;#,##0.\-"/>
    <numFmt numFmtId="246" formatCode="[$USD]\ #,##0.00;[Red][$USD]\ \-#,##0.00"/>
    <numFmt numFmtId="247" formatCode="General\ &quot;m/roll&quot;"/>
    <numFmt numFmtId="248" formatCode="#,##0.0_ "/>
    <numFmt numFmtId="249" formatCode="#,##0.0\ &quot;mmx2&quot;"/>
    <numFmt numFmtId="250" formatCode="&quot;TI-&quot;General"/>
    <numFmt numFmtId="251" formatCode="[$¥-411]#,##0.0_);[Red]\([$¥-411]#,##0.0\)"/>
    <numFmt numFmtId="252" formatCode="[$€-2]\ #,##0.00;[$€-2]\ #,##0.00"/>
    <numFmt numFmtId="253" formatCode="[$¥-411]#,##0_);[Red]\([$¥-411]#,##0\)"/>
    <numFmt numFmtId="254" formatCode="&quot;@&quot;#,###.#0&quot;-&quot;"/>
    <numFmt numFmtId="255" formatCode="0;\-0;;@"/>
    <numFmt numFmtId="256" formatCode="#,##0&quot; pairs&quot;"/>
  </numFmts>
  <fonts count="257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2"/>
      <color indexed="8"/>
      <name val="Arial"/>
      <family val="2"/>
    </font>
    <font>
      <sz val="12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Arial"/>
      <family val="2"/>
    </font>
    <font>
      <sz val="10"/>
      <color indexed="8"/>
      <name val="Arial"/>
      <family val="2"/>
    </font>
    <font>
      <sz val="12"/>
      <name val="Arial  "/>
      <family val="2"/>
    </font>
    <font>
      <b/>
      <sz val="12"/>
      <color indexed="8"/>
      <name val="Arial"/>
      <family val="2"/>
    </font>
    <font>
      <b/>
      <sz val="12"/>
      <name val="Arial"/>
      <family val="2"/>
    </font>
    <font>
      <sz val="11"/>
      <name val="Arial  "/>
      <family val="2"/>
    </font>
    <font>
      <b/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Arial  "/>
      <family val="2"/>
    </font>
    <font>
      <sz val="9"/>
      <color indexed="8"/>
      <name val="ＭＳ Ｐゴシック"/>
      <family val="3"/>
      <charset val="128"/>
    </font>
    <font>
      <sz val="8"/>
      <color indexed="8"/>
      <name val="ＭＳ Ｐゴシック"/>
      <family val="3"/>
      <charset val="128"/>
    </font>
    <font>
      <b/>
      <sz val="11"/>
      <name val="Arial  "/>
      <family val="2"/>
    </font>
    <font>
      <b/>
      <sz val="12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indexed="30"/>
      <name val="Arial"/>
      <family val="2"/>
    </font>
    <font>
      <b/>
      <sz val="10"/>
      <color indexed="10"/>
      <name val="Arial"/>
      <family val="2"/>
    </font>
    <font>
      <b/>
      <sz val="10"/>
      <color indexed="10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Arial   "/>
      <family val="2"/>
    </font>
    <font>
      <b/>
      <sz val="10"/>
      <name val="ＭＳ Ｐゴシック"/>
      <family val="3"/>
      <charset val="128"/>
    </font>
    <font>
      <b/>
      <sz val="12"/>
      <name val="Arial   "/>
      <family val="2"/>
    </font>
    <font>
      <sz val="8"/>
      <name val="ＭＳ Ｐゴシック"/>
      <family val="3"/>
      <charset val="128"/>
    </font>
    <font>
      <sz val="10"/>
      <name val="Arial  "/>
      <family val="2"/>
    </font>
    <font>
      <sz val="8"/>
      <name val="Arial"/>
      <family val="2"/>
    </font>
    <font>
      <b/>
      <sz val="12"/>
      <name val="Arial  "/>
      <family val="2"/>
    </font>
    <font>
      <b/>
      <sz val="12"/>
      <color indexed="30"/>
      <name val="ＭＳ Ｐゴシック"/>
      <family val="3"/>
      <charset val="128"/>
    </font>
    <font>
      <b/>
      <sz val="10"/>
      <name val="Arial"/>
      <family val="2"/>
    </font>
    <font>
      <sz val="11"/>
      <color indexed="8"/>
      <name val="ＭＳ Ｐゴシック"/>
      <family val="3"/>
      <charset val="128"/>
    </font>
    <font>
      <sz val="10"/>
      <color indexed="10"/>
      <name val="Arial"/>
      <family val="2"/>
    </font>
    <font>
      <sz val="11"/>
      <color indexed="10"/>
      <name val="Arial"/>
      <family val="2"/>
    </font>
    <font>
      <b/>
      <sz val="10"/>
      <name val="arial    "/>
      <family val="2"/>
    </font>
    <font>
      <b/>
      <sz val="10"/>
      <name val="Arial  "/>
      <family val="2"/>
    </font>
    <font>
      <sz val="10"/>
      <color indexed="8"/>
      <name val="ＭＳ Ｐゴシック"/>
      <family val="3"/>
      <charset val="128"/>
    </font>
    <font>
      <sz val="11"/>
      <name val="Calibri"/>
      <family val="2"/>
    </font>
    <font>
      <sz val="10"/>
      <color indexed="8"/>
      <name val="Times New Roman"/>
      <family val="1"/>
    </font>
    <font>
      <sz val="10"/>
      <name val="Times New Roman"/>
      <family val="1"/>
    </font>
    <font>
      <sz val="6"/>
      <name val="ＭＳ Ｐゴシック"/>
      <family val="3"/>
      <charset val="128"/>
    </font>
    <font>
      <b/>
      <sz val="12"/>
      <color indexed="8"/>
      <name val="Times New Roman"/>
      <family val="1"/>
    </font>
    <font>
      <sz val="11"/>
      <name val="Times New Roman"/>
      <family val="1"/>
    </font>
    <font>
      <b/>
      <sz val="20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sz val="11"/>
      <color theme="1"/>
      <name val="ＭＳ Ｐゴシック"/>
      <family val="3"/>
      <charset val="128"/>
      <scheme val="minor"/>
    </font>
    <font>
      <sz val="12"/>
      <color rgb="FF7030A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0070C0"/>
      <name val="Arial"/>
      <family val="2"/>
    </font>
    <font>
      <sz val="10"/>
      <color theme="1"/>
      <name val="Arial"/>
      <family val="2"/>
    </font>
    <font>
      <sz val="12"/>
      <color theme="9" tint="-0.249977111117893"/>
      <name val="Arial"/>
      <family val="2"/>
    </font>
    <font>
      <sz val="11"/>
      <color theme="1"/>
      <name val="Arial"/>
      <family val="2"/>
    </font>
    <font>
      <sz val="11"/>
      <color theme="9" tint="-0.249977111117893"/>
      <name val="Arial"/>
      <family val="2"/>
    </font>
    <font>
      <sz val="11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0070C0"/>
      <name val="Arial"/>
      <family val="2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b/>
      <sz val="12"/>
      <color rgb="FFFF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0"/>
      <color theme="7" tint="-0.249977111117893"/>
      <name val="Arial"/>
      <family val="2"/>
    </font>
    <font>
      <sz val="12"/>
      <color theme="7" tint="-0.249977111117893"/>
      <name val="Arial"/>
      <family val="2"/>
    </font>
    <font>
      <sz val="10"/>
      <color rgb="FFFF0000"/>
      <name val="Arial"/>
      <family val="2"/>
    </font>
    <font>
      <sz val="11"/>
      <color rgb="FF0070C0"/>
      <name val="ＭＳ Ｐゴシック"/>
      <family val="3"/>
      <charset val="128"/>
    </font>
    <font>
      <sz val="11"/>
      <color rgb="FF000000"/>
      <name val="Arial"/>
      <family val="2"/>
    </font>
    <font>
      <b/>
      <sz val="12"/>
      <color rgb="FF0070C0"/>
      <name val="ＭＳ Ｐゴシック"/>
      <family val="3"/>
      <charset val="128"/>
    </font>
    <font>
      <b/>
      <sz val="10"/>
      <color rgb="FFFF0000"/>
      <name val="Arial"/>
      <family val="2"/>
    </font>
    <font>
      <b/>
      <sz val="12"/>
      <color rgb="FFFFFF00"/>
      <name val="ＭＳ Ｐゴシック"/>
      <family val="3"/>
      <charset val="128"/>
    </font>
    <font>
      <b/>
      <sz val="12"/>
      <color rgb="FFFFFF00"/>
      <name val="Arial"/>
      <family val="2"/>
    </font>
    <font>
      <sz val="12"/>
      <color rgb="FF000000"/>
      <name val="Calibri"/>
      <family val="2"/>
    </font>
    <font>
      <sz val="12"/>
      <name val="ＭＳ Ｐゴシック"/>
      <family val="3"/>
      <charset val="128"/>
      <scheme val="minor"/>
    </font>
    <font>
      <sz val="11"/>
      <color theme="1"/>
      <name val="Calibri"/>
      <family val="2"/>
    </font>
    <font>
      <sz val="11"/>
      <color theme="1"/>
      <name val="arial    "/>
      <family val="2"/>
    </font>
    <font>
      <sz val="10"/>
      <color rgb="FF000000"/>
      <name val="Arial  "/>
      <family val="2"/>
    </font>
    <font>
      <sz val="10"/>
      <color rgb="FF0070C0"/>
      <name val="Arial"/>
      <family val="2"/>
    </font>
    <font>
      <b/>
      <sz val="10"/>
      <color theme="1"/>
      <name val="arial    "/>
      <family val="2"/>
    </font>
    <font>
      <sz val="10"/>
      <color rgb="FF000000"/>
      <name val="arial    "/>
      <family val="2"/>
    </font>
    <font>
      <sz val="12"/>
      <color theme="1"/>
      <name val="Arial  "/>
      <family val="2"/>
    </font>
    <font>
      <sz val="10"/>
      <color theme="1"/>
      <name val="arial    "/>
      <family val="2"/>
    </font>
    <font>
      <sz val="10"/>
      <color rgb="FFFF0000"/>
      <name val="ＭＳ Ｐゴシック"/>
      <family val="3"/>
      <charset val="128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ＭＳ Ｐゴシック"/>
      <family val="3"/>
      <charset val="128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20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name val="ｔ"/>
      <family val="3"/>
      <charset val="128"/>
    </font>
    <font>
      <sz val="1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1"/>
      <name val="Yu Gothic"/>
      <family val="3"/>
      <charset val="128"/>
    </font>
    <font>
      <sz val="11"/>
      <name val="Times New Roman"/>
      <family val="3"/>
      <charset val="128"/>
    </font>
    <font>
      <b/>
      <sz val="14"/>
      <name val="Times New Roman"/>
      <family val="1"/>
    </font>
    <font>
      <sz val="11"/>
      <color rgb="FFFF0000"/>
      <name val="Times New Roman"/>
      <family val="1"/>
    </font>
    <font>
      <u/>
      <sz val="11"/>
      <name val="Times New Roman"/>
      <family val="1"/>
    </font>
    <font>
      <b/>
      <u/>
      <sz val="11"/>
      <name val="Times New Roman"/>
      <family val="1"/>
    </font>
    <font>
      <sz val="11"/>
      <name val="MS UI Gothic"/>
      <family val="3"/>
      <charset val="128"/>
    </font>
    <font>
      <sz val="11"/>
      <name val="Yu Gothic"/>
      <family val="1"/>
      <charset val="128"/>
    </font>
    <font>
      <b/>
      <sz val="16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u/>
      <sz val="11"/>
      <color rgb="FFFF0000"/>
      <name val="ＭＳ Ｐゴシック"/>
      <family val="3"/>
      <charset val="128"/>
      <scheme val="minor"/>
    </font>
    <font>
      <b/>
      <u/>
      <sz val="11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4"/>
      <color rgb="FF000000"/>
      <name val="ＭＳ Ｐゴシック"/>
      <family val="3"/>
      <charset val="128"/>
    </font>
    <font>
      <b/>
      <sz val="11"/>
      <name val="MS UI Gothic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b/>
      <sz val="9"/>
      <color rgb="FFFF0000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0"/>
      <color rgb="FFFF00FF"/>
      <name val="ＭＳ Ｐゴシック"/>
      <family val="3"/>
      <charset val="128"/>
    </font>
    <font>
      <sz val="9"/>
      <name val="Arial"/>
      <family val="2"/>
    </font>
    <font>
      <sz val="12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</font>
    <font>
      <sz val="12"/>
      <color indexed="30"/>
      <name val="ＭＳ Ｐゴシック"/>
      <family val="3"/>
      <charset val="128"/>
    </font>
    <font>
      <sz val="12"/>
      <color indexed="8"/>
      <name val="Calibri"/>
      <family val="2"/>
    </font>
    <font>
      <b/>
      <sz val="11"/>
      <color rgb="FF0070C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0"/>
      <color rgb="FF000000"/>
      <name val="Meiryo UI"/>
      <family val="3"/>
      <charset val="128"/>
    </font>
    <font>
      <sz val="12"/>
      <color indexed="10"/>
      <name val="Arial  "/>
      <family val="2"/>
    </font>
    <font>
      <sz val="10"/>
      <color theme="9" tint="-0.249977111117893"/>
      <name val="ＭＳ Ｐゴシック"/>
      <family val="3"/>
      <charset val="128"/>
    </font>
    <font>
      <b/>
      <sz val="10"/>
      <color rgb="FF00B0F0"/>
      <name val="Arial"/>
      <family val="2"/>
    </font>
    <font>
      <b/>
      <sz val="11"/>
      <color rgb="FFFF0000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b/>
      <sz val="12"/>
      <color indexed="10"/>
      <name val="Arial"/>
      <family val="2"/>
    </font>
    <font>
      <sz val="11"/>
      <name val="アリアl"/>
      <family val="3"/>
      <charset val="128"/>
    </font>
    <font>
      <sz val="12"/>
      <color rgb="FF0070C0"/>
      <name val="ＭＳ Ｐゴシック"/>
      <family val="3"/>
      <charset val="128"/>
    </font>
    <font>
      <sz val="12"/>
      <name val="1038"/>
      <family val="2"/>
    </font>
    <font>
      <sz val="11"/>
      <name val="游ゴシック"/>
      <family val="3"/>
      <charset val="128"/>
    </font>
    <font>
      <b/>
      <sz val="10"/>
      <color rgb="FF000000"/>
      <name val="Arial"/>
      <family val="2"/>
    </font>
    <font>
      <b/>
      <sz val="10"/>
      <color rgb="FF4472C4"/>
      <name val="Arial"/>
      <family val="2"/>
    </font>
    <font>
      <u/>
      <sz val="10"/>
      <name val="Arial"/>
      <family val="2"/>
    </font>
    <font>
      <sz val="8"/>
      <color rgb="FF000000"/>
      <name val="Meiryo UI"/>
      <family val="3"/>
      <charset val="128"/>
    </font>
    <font>
      <sz val="9"/>
      <color rgb="FF000000"/>
      <name val="Meiryo UI"/>
      <family val="3"/>
      <charset val="128"/>
    </font>
    <font>
      <b/>
      <sz val="10"/>
      <color rgb="FF002060"/>
      <name val="Meiryo UI"/>
      <family val="3"/>
      <charset val="128"/>
    </font>
    <font>
      <sz val="12"/>
      <color rgb="FF1F497D"/>
      <name val="Calibri"/>
      <family val="2"/>
    </font>
    <font>
      <b/>
      <sz val="11"/>
      <color rgb="FF000000"/>
      <name val="Calibri"/>
      <family val="2"/>
    </font>
    <font>
      <b/>
      <sz val="11"/>
      <color indexed="8"/>
      <name val="ＭＳ Ｐゴシック"/>
      <family val="3"/>
      <charset val="128"/>
    </font>
    <font>
      <b/>
      <sz val="11"/>
      <color indexed="8"/>
      <name val="Arial"/>
      <family val="2"/>
    </font>
    <font>
      <sz val="10"/>
      <name val="Arial"/>
      <family val="3"/>
      <charset val="128"/>
    </font>
    <font>
      <b/>
      <sz val="10"/>
      <name val="Arial  "/>
    </font>
    <font>
      <sz val="12"/>
      <name val="Arial  "/>
    </font>
    <font>
      <sz val="6"/>
      <name val="ＭＳ Ｐゴシック"/>
      <family val="2"/>
      <charset val="128"/>
      <scheme val="minor"/>
    </font>
    <font>
      <b/>
      <sz val="11"/>
      <color rgb="FF00B050"/>
      <name val="Arial"/>
      <family val="2"/>
    </font>
    <font>
      <b/>
      <sz val="11"/>
      <color rgb="FF00B050"/>
      <name val="ＭＳ Ｐゴシック"/>
      <family val="3"/>
      <charset val="128"/>
    </font>
    <font>
      <sz val="10"/>
      <color theme="9" tint="-0.249977111117893"/>
      <name val="Arial"/>
      <family val="2"/>
    </font>
    <font>
      <b/>
      <sz val="10"/>
      <color rgb="FF000000"/>
      <name val="Arial  "/>
    </font>
    <font>
      <b/>
      <sz val="10"/>
      <color rgb="FF000000"/>
      <name val="Arial  "/>
      <family val="2"/>
    </font>
    <font>
      <b/>
      <sz val="10"/>
      <color rgb="FF000000"/>
      <name val="ＭＳ Ｐゴシック"/>
      <family val="3"/>
      <charset val="128"/>
    </font>
    <font>
      <sz val="12"/>
      <color rgb="FFFF00FF"/>
      <name val="Arial  "/>
      <family val="2"/>
    </font>
    <font>
      <sz val="12"/>
      <color rgb="FF0070C0"/>
      <name val="Arial  "/>
      <family val="2"/>
    </font>
    <font>
      <sz val="10"/>
      <color rgb="FFFF0000"/>
      <name val="Arial  "/>
      <family val="2"/>
    </font>
    <font>
      <sz val="12"/>
      <color rgb="FF000000"/>
      <name val="Arial  "/>
      <family val="2"/>
    </font>
    <font>
      <b/>
      <sz val="10"/>
      <color rgb="FFFF00FF"/>
      <name val="Arial  "/>
      <family val="3"/>
      <charset val="128"/>
    </font>
    <font>
      <b/>
      <sz val="10"/>
      <color rgb="FFFF00FF"/>
      <name val="Arial  "/>
      <family val="2"/>
    </font>
    <font>
      <b/>
      <sz val="10"/>
      <color rgb="FF0070C0"/>
      <name val="Arial  "/>
      <family val="2"/>
    </font>
    <font>
      <sz val="10"/>
      <color rgb="FFFF00FF"/>
      <name val="Arial  "/>
      <family val="2"/>
    </font>
    <font>
      <sz val="10"/>
      <color rgb="FF0070C0"/>
      <name val="Arial  "/>
      <family val="2"/>
    </font>
    <font>
      <b/>
      <sz val="10"/>
      <color theme="1"/>
      <name val="Arial  "/>
      <family val="2"/>
    </font>
    <font>
      <sz val="11"/>
      <color theme="9" tint="-0.249977111117893"/>
      <name val="ＭＳ Ｐゴシック"/>
      <family val="3"/>
      <charset val="128"/>
    </font>
    <font>
      <sz val="12"/>
      <name val="Arial  "/>
      <family val="3"/>
      <charset val="128"/>
    </font>
    <font>
      <sz val="11"/>
      <name val="游ゴシック Medium"/>
      <family val="3"/>
      <charset val="128"/>
    </font>
    <font>
      <i/>
      <sz val="11"/>
      <name val="游ゴシック Medium"/>
      <family val="3"/>
      <charset val="128"/>
    </font>
    <font>
      <sz val="10"/>
      <name val="Arial  "/>
    </font>
    <font>
      <sz val="12"/>
      <name val="ＭＳ Ｐゴシック"/>
      <family val="2"/>
      <charset val="128"/>
    </font>
    <font>
      <sz val="10"/>
      <name val="Arial   "/>
    </font>
    <font>
      <sz val="10"/>
      <name val="Arial   "/>
      <family val="2"/>
    </font>
    <font>
      <sz val="11"/>
      <name val="Times New Roman"/>
      <family val="3"/>
    </font>
    <font>
      <sz val="10"/>
      <name val="ＭＳ Ｐゴシック"/>
      <family val="2"/>
      <charset val="128"/>
    </font>
    <font>
      <sz val="11"/>
      <name val="ＭＳ Ｐゴシック"/>
      <family val="1"/>
      <charset val="128"/>
    </font>
    <font>
      <sz val="11"/>
      <name val="Times New Roman"/>
      <family val="1"/>
      <charset val="128"/>
    </font>
    <font>
      <sz val="11"/>
      <name val="ＭＳ Ｐゴシック"/>
      <family val="2"/>
      <charset val="128"/>
    </font>
    <font>
      <sz val="11"/>
      <name val="Arial  "/>
    </font>
    <font>
      <sz val="10"/>
      <color theme="1"/>
      <name val="Arial  "/>
      <family val="2"/>
    </font>
    <font>
      <sz val="10"/>
      <name val="Arial  "/>
      <family val="2"/>
      <charset val="128"/>
    </font>
    <font>
      <sz val="10"/>
      <color rgb="FFFF0000"/>
      <name val="ＭＳ Ｐゴシック"/>
      <family val="2"/>
      <charset val="128"/>
    </font>
    <font>
      <b/>
      <sz val="10"/>
      <color theme="1"/>
      <name val="Arial  "/>
      <family val="2"/>
      <charset val="129"/>
    </font>
    <font>
      <b/>
      <sz val="10"/>
      <color theme="1"/>
      <name val="Malgun Gothic"/>
      <family val="2"/>
      <charset val="129"/>
    </font>
    <font>
      <b/>
      <sz val="10"/>
      <color theme="1"/>
      <name val="Microsoft JhengHei"/>
      <family val="2"/>
      <charset val="136"/>
    </font>
    <font>
      <sz val="10"/>
      <color rgb="FF000000"/>
      <name val="Arial  "/>
    </font>
    <font>
      <sz val="10"/>
      <color rgb="FF1F497D"/>
      <name val="Arial"/>
      <family val="2"/>
    </font>
    <font>
      <b/>
      <sz val="10"/>
      <name val="Arial Black"/>
      <family val="2"/>
    </font>
    <font>
      <sz val="10"/>
      <name val="ＭＳ ゴシック"/>
      <family val="3"/>
      <charset val="128"/>
    </font>
    <font>
      <sz val="10"/>
      <name val="Arial  "/>
      <family val="3"/>
      <charset val="128"/>
    </font>
    <font>
      <sz val="10"/>
      <name val="ＭＳ Ｐ明朝"/>
      <family val="3"/>
      <charset val="128"/>
    </font>
    <font>
      <b/>
      <sz val="12"/>
      <name val="ＭＳ Ｐゴシック"/>
      <family val="2"/>
      <scheme val="minor"/>
    </font>
    <font>
      <b/>
      <i/>
      <sz val="12"/>
      <name val="ＭＳ Ｐゴシック"/>
      <family val="2"/>
      <scheme val="minor"/>
    </font>
    <font>
      <b/>
      <u/>
      <sz val="12"/>
      <name val="ＭＳ Ｐゴシック"/>
      <family val="2"/>
      <scheme val="minor"/>
    </font>
    <font>
      <b/>
      <sz val="9"/>
      <name val="ＭＳ Ｐゴシック"/>
      <family val="2"/>
      <scheme val="minor"/>
    </font>
    <font>
      <sz val="12"/>
      <name val="ＭＳ Ｐゴシック"/>
      <family val="2"/>
      <scheme val="minor"/>
    </font>
    <font>
      <sz val="10"/>
      <color rgb="FF000000"/>
      <name val="ＭＳ ゴシック"/>
      <family val="3"/>
      <charset val="128"/>
    </font>
    <font>
      <sz val="12"/>
      <name val="Arial"/>
      <family val="2"/>
      <charset val="128"/>
    </font>
    <font>
      <sz val="10"/>
      <color rgb="FF000000"/>
      <name val="Arial  "/>
      <family val="2"/>
      <charset val="1"/>
    </font>
    <font>
      <u/>
      <sz val="11"/>
      <color theme="10"/>
      <name val="ＭＳ Ｐゴシック"/>
      <family val="3"/>
      <charset val="128"/>
    </font>
    <font>
      <sz val="24"/>
      <color indexed="8"/>
      <name val="Arial"/>
      <family val="2"/>
    </font>
    <font>
      <sz val="11"/>
      <color indexed="8"/>
      <name val="Arial"/>
      <family val="2"/>
    </font>
    <font>
      <sz val="24"/>
      <color indexed="8"/>
      <name val="ＭＳ Ｐゴシック"/>
      <family val="3"/>
      <charset val="128"/>
    </font>
    <font>
      <sz val="14"/>
      <color indexed="8"/>
      <name val="Arial"/>
      <family val="2"/>
    </font>
    <font>
      <sz val="20"/>
      <color indexed="8"/>
      <name val="Arial"/>
      <family val="2"/>
    </font>
    <font>
      <sz val="18"/>
      <name val="Arial"/>
      <family val="2"/>
    </font>
    <font>
      <u/>
      <sz val="10.5"/>
      <name val="メイリオ"/>
      <family val="3"/>
      <charset val="128"/>
    </font>
    <font>
      <sz val="10.5"/>
      <name val="メイリオ"/>
      <family val="3"/>
      <charset val="128"/>
    </font>
    <font>
      <sz val="10"/>
      <name val="游ゴシック"/>
      <family val="2"/>
      <charset val="128"/>
    </font>
    <font>
      <b/>
      <sz val="10"/>
      <name val="ＭＳ Ｐゴシック"/>
      <family val="2"/>
      <charset val="128"/>
    </font>
    <font>
      <b/>
      <sz val="10"/>
      <name val="Arial"/>
      <family val="3"/>
      <charset val="128"/>
    </font>
    <font>
      <b/>
      <sz val="10"/>
      <name val="Arial  "/>
      <family val="3"/>
      <charset val="128"/>
    </font>
    <font>
      <sz val="10"/>
      <color rgb="FF000000"/>
      <name val="Arial"/>
      <family val="2"/>
    </font>
    <font>
      <sz val="10"/>
      <color rgb="FF0070C0"/>
      <name val="Yu Gothic"/>
      <family val="2"/>
      <charset val="128"/>
    </font>
    <font>
      <b/>
      <sz val="12"/>
      <color rgb="FF000000"/>
      <name val="Aptos"/>
      <family val="2"/>
    </font>
    <font>
      <sz val="12"/>
      <color rgb="FF000000"/>
      <name val="Aptos"/>
      <family val="2"/>
    </font>
    <font>
      <sz val="10"/>
      <name val="Arial"/>
      <family val="2"/>
      <charset val="128"/>
    </font>
    <font>
      <sz val="10"/>
      <color rgb="FF1F497D"/>
      <name val="ＭＳ ゴシック"/>
      <family val="3"/>
      <charset val="128"/>
    </font>
    <font>
      <sz val="7"/>
      <name val="Arial"/>
      <family val="2"/>
    </font>
    <font>
      <b/>
      <u/>
      <sz val="10"/>
      <name val="Arial"/>
      <family val="2"/>
    </font>
    <font>
      <b/>
      <u/>
      <sz val="10"/>
      <name val="BIZ UDPゴシック"/>
      <family val="3"/>
      <charset val="128"/>
    </font>
    <font>
      <b/>
      <sz val="10"/>
      <color theme="1"/>
      <name val="Arial  "/>
      <family val="2"/>
      <charset val="128"/>
    </font>
    <font>
      <sz val="10"/>
      <name val="BIZ UDPゴシック"/>
      <family val="3"/>
      <charset val="128"/>
    </font>
    <font>
      <b/>
      <sz val="10"/>
      <name val="BIZ UDPゴシック"/>
      <family val="3"/>
      <charset val="128"/>
    </font>
    <font>
      <b/>
      <i/>
      <sz val="10"/>
      <name val="Arial  "/>
      <family val="2"/>
    </font>
    <font>
      <b/>
      <u/>
      <sz val="10"/>
      <name val="Arial  "/>
      <family val="2"/>
    </font>
    <font>
      <b/>
      <sz val="10"/>
      <color rgb="FF0070C0"/>
      <name val="Arial  "/>
    </font>
    <font>
      <b/>
      <sz val="11"/>
      <name val="游ゴシック Medium"/>
      <family val="3"/>
      <charset val="128"/>
    </font>
    <font>
      <sz val="6"/>
      <name val="ＭＳ Ｐゴシック"/>
      <family val="3"/>
      <charset val="128"/>
      <scheme val="minor"/>
    </font>
    <font>
      <b/>
      <sz val="12"/>
      <name val="Arial  "/>
    </font>
    <font>
      <b/>
      <sz val="12"/>
      <color theme="9" tint="-0.249977111117893"/>
      <name val="Arial  "/>
      <family val="2"/>
    </font>
    <font>
      <b/>
      <sz val="12"/>
      <color rgb="FF0070C0"/>
      <name val="Arial  "/>
      <family val="2"/>
    </font>
    <font>
      <b/>
      <sz val="10.5"/>
      <name val="Arial"/>
      <family val="2"/>
    </font>
    <font>
      <sz val="10.5"/>
      <name val="Arial"/>
      <family val="2"/>
    </font>
    <font>
      <b/>
      <sz val="10"/>
      <color rgb="FF0070C0"/>
      <name val="ＭＳ Ｐゴシック"/>
      <family val="3"/>
      <charset val="128"/>
    </font>
    <font>
      <b/>
      <sz val="12"/>
      <color theme="9" tint="-0.249977111117893"/>
      <name val="ＭＳ Ｐゴシック"/>
      <family val="3"/>
      <charset val="128"/>
    </font>
    <font>
      <b/>
      <sz val="9.5"/>
      <color rgb="FFFF0000"/>
      <name val="Times New Roman"/>
      <family val="1"/>
    </font>
    <font>
      <sz val="9.5"/>
      <name val="Times New Roman"/>
      <family val="1"/>
    </font>
    <font>
      <sz val="10"/>
      <color rgb="FF1F497D"/>
      <name val="Arial  "/>
      <family val="2"/>
    </font>
    <font>
      <sz val="6"/>
      <color rgb="FFFF0000"/>
      <name val="ＭＳ Ｐゴシック"/>
      <family val="3"/>
      <charset val="128"/>
    </font>
    <font>
      <sz val="12"/>
      <name val="游ゴシック"/>
      <family val="2"/>
      <charset val="128"/>
    </font>
    <font>
      <b/>
      <sz val="10"/>
      <color theme="1"/>
      <name val="Arial"/>
      <family val="2"/>
    </font>
    <font>
      <b/>
      <sz val="10"/>
      <color indexed="8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8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>
      <alignment vertical="center"/>
    </xf>
    <xf numFmtId="38" fontId="41" fillId="0" borderId="0" applyFont="0" applyFill="0" applyBorder="0" applyAlignment="0" applyProtection="0">
      <alignment vertical="center"/>
    </xf>
    <xf numFmtId="211" fontId="56" fillId="0" borderId="0" applyFont="0" applyFill="0" applyBorder="0" applyAlignment="0" applyProtection="0"/>
    <xf numFmtId="6" fontId="2" fillId="0" borderId="0" applyFont="0" applyFill="0" applyBorder="0" applyAlignment="0" applyProtection="0">
      <alignment vertical="center"/>
    </xf>
    <xf numFmtId="205" fontId="56" fillId="0" borderId="0" applyFont="0" applyFill="0" applyBorder="0" applyAlignment="0" applyProtection="0">
      <alignment vertical="center"/>
    </xf>
    <xf numFmtId="205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1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/>
    <xf numFmtId="0" fontId="31" fillId="0" borderId="0"/>
    <xf numFmtId="0" fontId="85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9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32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/>
    <xf numFmtId="6" fontId="5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41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</cellStyleXfs>
  <cellXfs count="1495">
    <xf numFmtId="0" fontId="0" fillId="0" borderId="0" xfId="0">
      <alignment vertical="center"/>
    </xf>
    <xf numFmtId="0" fontId="4" fillId="0" borderId="0" xfId="0" applyFont="1">
      <alignment vertical="center"/>
    </xf>
    <xf numFmtId="179" fontId="4" fillId="0" borderId="0" xfId="0" applyNumberFormat="1" applyFont="1">
      <alignment vertical="center"/>
    </xf>
    <xf numFmtId="182" fontId="5" fillId="0" borderId="0" xfId="0" applyNumberFormat="1" applyFont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0" fontId="6" fillId="0" borderId="0" xfId="0" applyFont="1">
      <alignment vertical="center"/>
    </xf>
    <xf numFmtId="178" fontId="6" fillId="0" borderId="1" xfId="0" applyNumberFormat="1" applyFont="1" applyBorder="1" applyAlignment="1">
      <alignment horizontal="right" vertical="center"/>
    </xf>
    <xf numFmtId="179" fontId="8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187" fontId="6" fillId="0" borderId="1" xfId="0" applyNumberFormat="1" applyFont="1" applyBorder="1" applyAlignment="1"/>
    <xf numFmtId="0" fontId="8" fillId="0" borderId="1" xfId="0" applyFont="1" applyBorder="1" applyAlignment="1">
      <alignment horizontal="center"/>
    </xf>
    <xf numFmtId="0" fontId="6" fillId="0" borderId="0" xfId="0" applyFont="1" applyAlignment="1"/>
    <xf numFmtId="183" fontId="58" fillId="0" borderId="1" xfId="0" applyNumberFormat="1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/>
    <xf numFmtId="185" fontId="6" fillId="0" borderId="1" xfId="0" applyNumberFormat="1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189" fontId="58" fillId="0" borderId="1" xfId="0" applyNumberFormat="1" applyFont="1" applyBorder="1">
      <alignment vertical="center"/>
    </xf>
    <xf numFmtId="187" fontId="6" fillId="0" borderId="1" xfId="0" applyNumberFormat="1" applyFont="1" applyBorder="1" applyAlignment="1">
      <alignment horizontal="center"/>
    </xf>
    <xf numFmtId="0" fontId="60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8" fontId="58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178" fontId="4" fillId="0" borderId="1" xfId="0" applyNumberFormat="1" applyFont="1" applyBorder="1" applyAlignment="1">
      <alignment horizontal="right" vertical="center"/>
    </xf>
    <xf numFmtId="180" fontId="4" fillId="0" borderId="1" xfId="0" applyNumberFormat="1" applyFont="1" applyBorder="1" applyAlignment="1">
      <alignment horizontal="right" vertical="center"/>
    </xf>
    <xf numFmtId="190" fontId="12" fillId="0" borderId="1" xfId="0" applyNumberFormat="1" applyFont="1" applyBorder="1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 wrapText="1"/>
    </xf>
    <xf numFmtId="189" fontId="4" fillId="0" borderId="1" xfId="0" applyNumberFormat="1" applyFont="1" applyBorder="1">
      <alignment vertical="center"/>
    </xf>
    <xf numFmtId="180" fontId="6" fillId="0" borderId="1" xfId="0" applyNumberFormat="1" applyFont="1" applyBorder="1" applyAlignment="1">
      <alignment horizontal="right" vertical="center"/>
    </xf>
    <xf numFmtId="176" fontId="6" fillId="0" borderId="1" xfId="0" applyNumberFormat="1" applyFont="1" applyBorder="1" applyAlignment="1">
      <alignment horizontal="center" vertical="center"/>
    </xf>
    <xf numFmtId="184" fontId="6" fillId="0" borderId="1" xfId="0" applyNumberFormat="1" applyFont="1" applyBorder="1" applyAlignment="1">
      <alignment horizontal="right" vertical="center"/>
    </xf>
    <xf numFmtId="189" fontId="6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187" fontId="5" fillId="0" borderId="1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 vertical="center"/>
    </xf>
    <xf numFmtId="178" fontId="61" fillId="0" borderId="1" xfId="0" applyNumberFormat="1" applyFont="1" applyBorder="1" applyAlignment="1">
      <alignment horizontal="right" vertical="center"/>
    </xf>
    <xf numFmtId="189" fontId="61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91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4" fillId="0" borderId="0" xfId="0" applyFont="1">
      <alignment vertical="center"/>
    </xf>
    <xf numFmtId="5" fontId="58" fillId="0" borderId="1" xfId="0" applyNumberFormat="1" applyFont="1" applyBorder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186" fontId="4" fillId="0" borderId="1" xfId="0" applyNumberFormat="1" applyFont="1" applyBorder="1">
      <alignment vertical="center"/>
    </xf>
    <xf numFmtId="192" fontId="4" fillId="0" borderId="1" xfId="0" applyNumberFormat="1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178" fontId="63" fillId="0" borderId="1" xfId="0" applyNumberFormat="1" applyFont="1" applyBorder="1" applyAlignment="1">
      <alignment horizontal="right" vertical="center"/>
    </xf>
    <xf numFmtId="178" fontId="58" fillId="0" borderId="1" xfId="0" applyNumberFormat="1" applyFont="1" applyBorder="1" applyAlignment="1">
      <alignment horizontal="right" vertical="center"/>
    </xf>
    <xf numFmtId="180" fontId="58" fillId="0" borderId="1" xfId="0" applyNumberFormat="1" applyFont="1" applyBorder="1" applyAlignment="1">
      <alignment horizontal="right" vertical="center"/>
    </xf>
    <xf numFmtId="194" fontId="4" fillId="0" borderId="1" xfId="0" applyNumberFormat="1" applyFont="1" applyBorder="1">
      <alignment vertical="center"/>
    </xf>
    <xf numFmtId="0" fontId="4" fillId="0" borderId="3" xfId="0" applyFont="1" applyBorder="1" applyAlignment="1">
      <alignment horizontal="center"/>
    </xf>
    <xf numFmtId="176" fontId="4" fillId="0" borderId="1" xfId="0" applyNumberFormat="1" applyFont="1" applyBorder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188" fontId="4" fillId="0" borderId="1" xfId="0" applyNumberFormat="1" applyFont="1" applyBorder="1" applyAlignment="1"/>
    <xf numFmtId="178" fontId="63" fillId="0" borderId="1" xfId="0" applyNumberFormat="1" applyFont="1" applyBorder="1" applyAlignment="1">
      <alignment horizontal="center" vertical="center"/>
    </xf>
    <xf numFmtId="189" fontId="58" fillId="0" borderId="1" xfId="0" applyNumberFormat="1" applyFont="1" applyBorder="1" applyAlignment="1">
      <alignment horizontal="center" vertical="center"/>
    </xf>
    <xf numFmtId="188" fontId="4" fillId="0" borderId="1" xfId="0" applyNumberFormat="1" applyFont="1" applyBorder="1" applyAlignment="1">
      <alignment horizontal="center"/>
    </xf>
    <xf numFmtId="178" fontId="4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91" fontId="4" fillId="0" borderId="1" xfId="0" applyNumberFormat="1" applyFont="1" applyBorder="1" applyAlignment="1">
      <alignment horizontal="center" vertical="center"/>
    </xf>
    <xf numFmtId="184" fontId="4" fillId="0" borderId="1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78" fontId="59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6" fillId="0" borderId="1" xfId="0" applyFont="1" applyBorder="1" applyAlignment="1">
      <alignment horizontal="right" vertical="center"/>
    </xf>
    <xf numFmtId="0" fontId="66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6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191" fontId="4" fillId="0" borderId="1" xfId="0" applyNumberFormat="1" applyFont="1" applyBorder="1" applyAlignment="1">
      <alignment horizontal="right" vertical="center"/>
    </xf>
    <xf numFmtId="0" fontId="17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76" fontId="18" fillId="0" borderId="1" xfId="0" applyNumberFormat="1" applyFont="1" applyBorder="1" applyAlignment="1">
      <alignment horizontal="center" vertical="center"/>
    </xf>
    <xf numFmtId="189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8" fillId="0" borderId="1" xfId="0" applyFont="1" applyBorder="1" applyAlignment="1">
      <alignment horizontal="center"/>
    </xf>
    <xf numFmtId="178" fontId="6" fillId="0" borderId="1" xfId="0" applyNumberFormat="1" applyFont="1" applyBorder="1" applyAlignment="1">
      <alignment horizontal="center" vertical="center"/>
    </xf>
    <xf numFmtId="49" fontId="20" fillId="3" borderId="1" xfId="0" applyNumberFormat="1" applyFont="1" applyFill="1" applyBorder="1" applyAlignment="1">
      <alignment horizontal="center" vertical="center" shrinkToFit="1"/>
    </xf>
    <xf numFmtId="200" fontId="17" fillId="0" borderId="1" xfId="0" applyNumberFormat="1" applyFont="1" applyBorder="1" applyAlignment="1">
      <alignment horizontal="center" vertical="center"/>
    </xf>
    <xf numFmtId="201" fontId="17" fillId="0" borderId="1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left" wrapText="1"/>
    </xf>
    <xf numFmtId="0" fontId="22" fillId="0" borderId="6" xfId="0" applyFont="1" applyBorder="1" applyAlignment="1">
      <alignment horizontal="left" wrapText="1"/>
    </xf>
    <xf numFmtId="0" fontId="21" fillId="0" borderId="6" xfId="0" applyFont="1" applyBorder="1" applyAlignment="1">
      <alignment horizontal="right" wrapText="1"/>
    </xf>
    <xf numFmtId="0" fontId="23" fillId="0" borderId="1" xfId="0" applyFont="1" applyBorder="1" applyAlignment="1">
      <alignment horizontal="center"/>
    </xf>
    <xf numFmtId="188" fontId="6" fillId="0" borderId="1" xfId="0" applyNumberFormat="1" applyFont="1" applyBorder="1" applyAlignment="1"/>
    <xf numFmtId="176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49" fontId="6" fillId="0" borderId="1" xfId="0" applyNumberFormat="1" applyFont="1" applyBorder="1" applyAlignment="1">
      <alignment horizontal="center"/>
    </xf>
    <xf numFmtId="202" fontId="6" fillId="0" borderId="1" xfId="0" applyNumberFormat="1" applyFont="1" applyBorder="1" applyAlignment="1"/>
    <xf numFmtId="186" fontId="6" fillId="0" borderId="1" xfId="0" applyNumberFormat="1" applyFont="1" applyBorder="1">
      <alignment vertical="center"/>
    </xf>
    <xf numFmtId="191" fontId="6" fillId="0" borderId="1" xfId="0" applyNumberFormat="1" applyFont="1" applyBorder="1">
      <alignment vertical="center"/>
    </xf>
    <xf numFmtId="192" fontId="6" fillId="0" borderId="1" xfId="0" applyNumberFormat="1" applyFont="1" applyBorder="1">
      <alignment vertical="center"/>
    </xf>
    <xf numFmtId="0" fontId="6" fillId="0" borderId="3" xfId="0" applyFont="1" applyBorder="1" applyAlignment="1">
      <alignment horizontal="center"/>
    </xf>
    <xf numFmtId="190" fontId="16" fillId="0" borderId="1" xfId="0" applyNumberFormat="1" applyFont="1" applyBorder="1" applyAlignment="1">
      <alignment horizontal="center" vertical="center"/>
    </xf>
    <xf numFmtId="186" fontId="6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right" vertical="center"/>
    </xf>
    <xf numFmtId="188" fontId="57" fillId="0" borderId="1" xfId="0" applyNumberFormat="1" applyFont="1" applyBorder="1" applyAlignment="1"/>
    <xf numFmtId="189" fontId="16" fillId="0" borderId="1" xfId="0" applyNumberFormat="1" applyFont="1" applyBorder="1" applyAlignment="1">
      <alignment horizontal="center" vertical="center"/>
    </xf>
    <xf numFmtId="189" fontId="16" fillId="0" borderId="1" xfId="0" applyNumberFormat="1" applyFont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185" fontId="58" fillId="0" borderId="1" xfId="0" applyNumberFormat="1" applyFont="1" applyBorder="1">
      <alignment vertical="center"/>
    </xf>
    <xf numFmtId="49" fontId="6" fillId="0" borderId="0" xfId="0" applyNumberFormat="1" applyFont="1" applyAlignment="1">
      <alignment horizontal="left" vertical="center"/>
    </xf>
    <xf numFmtId="189" fontId="6" fillId="0" borderId="0" xfId="0" applyNumberFormat="1" applyFont="1">
      <alignment vertical="center"/>
    </xf>
    <xf numFmtId="191" fontId="6" fillId="0" borderId="1" xfId="0" applyNumberFormat="1" applyFont="1" applyBorder="1" applyAlignment="1">
      <alignment horizontal="right" vertical="center"/>
    </xf>
    <xf numFmtId="176" fontId="6" fillId="0" borderId="1" xfId="0" applyNumberFormat="1" applyFont="1" applyBorder="1" applyAlignment="1">
      <alignment horizontal="right" vertical="center"/>
    </xf>
    <xf numFmtId="176" fontId="6" fillId="5" borderId="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83" fontId="6" fillId="0" borderId="1" xfId="0" applyNumberFormat="1" applyFont="1" applyBorder="1" applyAlignment="1">
      <alignment horizontal="right" vertical="center"/>
    </xf>
    <xf numFmtId="176" fontId="66" fillId="0" borderId="1" xfId="0" applyNumberFormat="1" applyFont="1" applyBorder="1" applyAlignment="1">
      <alignment horizontal="center" vertical="center"/>
    </xf>
    <xf numFmtId="189" fontId="6" fillId="0" borderId="1" xfId="0" applyNumberFormat="1" applyFont="1" applyBorder="1" applyAlignment="1">
      <alignment horizontal="right" vertical="center"/>
    </xf>
    <xf numFmtId="176" fontId="6" fillId="4" borderId="1" xfId="0" applyNumberFormat="1" applyFont="1" applyFill="1" applyBorder="1" applyAlignment="1">
      <alignment horizontal="center" vertical="center"/>
    </xf>
    <xf numFmtId="179" fontId="74" fillId="0" borderId="1" xfId="0" applyNumberFormat="1" applyFont="1" applyBorder="1" applyAlignment="1">
      <alignment horizontal="center" vertical="center" wrapText="1"/>
    </xf>
    <xf numFmtId="179" fontId="75" fillId="0" borderId="1" xfId="0" applyNumberFormat="1" applyFont="1" applyBorder="1" applyAlignment="1">
      <alignment horizontal="center" vertical="center" wrapText="1"/>
    </xf>
    <xf numFmtId="185" fontId="6" fillId="0" borderId="0" xfId="0" applyNumberFormat="1" applyFont="1">
      <alignment vertical="center"/>
    </xf>
    <xf numFmtId="0" fontId="0" fillId="0" borderId="1" xfId="0" applyBorder="1">
      <alignment vertical="center"/>
    </xf>
    <xf numFmtId="179" fontId="76" fillId="0" borderId="1" xfId="0" applyNumberFormat="1" applyFont="1" applyBorder="1" applyAlignment="1">
      <alignment horizontal="center" vertical="center" wrapText="1"/>
    </xf>
    <xf numFmtId="189" fontId="67" fillId="0" borderId="1" xfId="0" applyNumberFormat="1" applyFont="1" applyBorder="1" applyAlignment="1">
      <alignment horizontal="center" vertical="center"/>
    </xf>
    <xf numFmtId="0" fontId="77" fillId="0" borderId="0" xfId="0" applyFont="1">
      <alignment vertical="center"/>
    </xf>
    <xf numFmtId="187" fontId="6" fillId="0" borderId="1" xfId="0" applyNumberFormat="1" applyFont="1" applyBorder="1" applyAlignment="1">
      <alignment horizontal="right"/>
    </xf>
    <xf numFmtId="191" fontId="6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204" fontId="6" fillId="0" borderId="1" xfId="0" applyNumberFormat="1" applyFont="1" applyBorder="1" applyAlignment="1">
      <alignment horizontal="right" vertical="center"/>
    </xf>
    <xf numFmtId="176" fontId="1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29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center" vertical="center"/>
    </xf>
    <xf numFmtId="176" fontId="58" fillId="4" borderId="0" xfId="0" applyNumberFormat="1" applyFont="1" applyFill="1" applyAlignment="1">
      <alignment horizontal="center" vertical="center"/>
    </xf>
    <xf numFmtId="177" fontId="7" fillId="4" borderId="1" xfId="0" applyNumberFormat="1" applyFont="1" applyFill="1" applyBorder="1" applyAlignment="1">
      <alignment horizontal="center" vertical="center"/>
    </xf>
    <xf numFmtId="178" fontId="6" fillId="4" borderId="1" xfId="0" applyNumberFormat="1" applyFont="1" applyFill="1" applyBorder="1" applyAlignment="1">
      <alignment horizontal="right" vertical="center"/>
    </xf>
    <xf numFmtId="184" fontId="58" fillId="4" borderId="1" xfId="0" applyNumberFormat="1" applyFont="1" applyFill="1" applyBorder="1" applyAlignment="1">
      <alignment horizontal="right" vertical="center"/>
    </xf>
    <xf numFmtId="181" fontId="59" fillId="4" borderId="1" xfId="0" applyNumberFormat="1" applyFont="1" applyFill="1" applyBorder="1" applyAlignment="1">
      <alignment horizontal="center" vertical="center"/>
    </xf>
    <xf numFmtId="179" fontId="58" fillId="4" borderId="1" xfId="0" applyNumberFormat="1" applyFont="1" applyFill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0" fontId="4" fillId="4" borderId="0" xfId="0" applyFont="1" applyFill="1">
      <alignment vertical="center"/>
    </xf>
    <xf numFmtId="49" fontId="6" fillId="6" borderId="1" xfId="0" applyNumberFormat="1" applyFont="1" applyFill="1" applyBorder="1" applyAlignment="1">
      <alignment horizontal="left" vertical="center"/>
    </xf>
    <xf numFmtId="0" fontId="6" fillId="6" borderId="1" xfId="0" applyFont="1" applyFill="1" applyBorder="1">
      <alignment vertical="center"/>
    </xf>
    <xf numFmtId="0" fontId="62" fillId="6" borderId="1" xfId="0" applyFont="1" applyFill="1" applyBorder="1" applyAlignment="1">
      <alignment horizontal="center" vertical="center"/>
    </xf>
    <xf numFmtId="176" fontId="6" fillId="6" borderId="1" xfId="0" applyNumberFormat="1" applyFont="1" applyFill="1" applyBorder="1" applyAlignment="1">
      <alignment horizontal="center" vertical="center"/>
    </xf>
    <xf numFmtId="191" fontId="6" fillId="6" borderId="1" xfId="0" applyNumberFormat="1" applyFont="1" applyFill="1" applyBorder="1">
      <alignment vertical="center"/>
    </xf>
    <xf numFmtId="184" fontId="6" fillId="6" borderId="1" xfId="0" applyNumberFormat="1" applyFont="1" applyFill="1" applyBorder="1" applyAlignment="1">
      <alignment horizontal="right" vertical="center"/>
    </xf>
    <xf numFmtId="192" fontId="6" fillId="6" borderId="1" xfId="0" applyNumberFormat="1" applyFont="1" applyFill="1" applyBorder="1">
      <alignment vertical="center"/>
    </xf>
    <xf numFmtId="190" fontId="12" fillId="6" borderId="1" xfId="0" applyNumberFormat="1" applyFont="1" applyFill="1" applyBorder="1" applyAlignment="1">
      <alignment horizontal="center" vertical="center"/>
    </xf>
    <xf numFmtId="179" fontId="5" fillId="6" borderId="1" xfId="0" applyNumberFormat="1" applyFont="1" applyFill="1" applyBorder="1" applyAlignment="1">
      <alignment horizontal="center" vertical="center" wrapText="1"/>
    </xf>
    <xf numFmtId="179" fontId="74" fillId="6" borderId="1" xfId="0" applyNumberFormat="1" applyFont="1" applyFill="1" applyBorder="1" applyAlignment="1">
      <alignment horizontal="center" vertical="center" wrapText="1"/>
    </xf>
    <xf numFmtId="0" fontId="4" fillId="6" borderId="0" xfId="0" applyFont="1" applyFill="1">
      <alignment vertical="center"/>
    </xf>
    <xf numFmtId="189" fontId="6" fillId="6" borderId="1" xfId="0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207" fontId="6" fillId="0" borderId="1" xfId="0" applyNumberFormat="1" applyFont="1" applyBorder="1" applyAlignment="1">
      <alignment horizontal="right" vertical="center"/>
    </xf>
    <xf numFmtId="196" fontId="6" fillId="0" borderId="1" xfId="0" applyNumberFormat="1" applyFont="1" applyBorder="1">
      <alignment vertical="center"/>
    </xf>
    <xf numFmtId="0" fontId="6" fillId="6" borderId="0" xfId="0" applyFont="1" applyFill="1" applyAlignment="1">
      <alignment horizontal="right" vertical="center"/>
    </xf>
    <xf numFmtId="0" fontId="4" fillId="6" borderId="0" xfId="0" applyFont="1" applyFill="1" applyAlignment="1">
      <alignment horizontal="right" vertical="center"/>
    </xf>
    <xf numFmtId="0" fontId="24" fillId="0" borderId="1" xfId="0" applyFont="1" applyBorder="1" applyAlignment="1">
      <alignment horizontal="center"/>
    </xf>
    <xf numFmtId="179" fontId="70" fillId="0" borderId="1" xfId="0" quotePrefix="1" applyNumberFormat="1" applyFont="1" applyBorder="1" applyAlignment="1">
      <alignment horizontal="center" vertical="center"/>
    </xf>
    <xf numFmtId="189" fontId="6" fillId="4" borderId="1" xfId="0" applyNumberFormat="1" applyFont="1" applyFill="1" applyBorder="1">
      <alignment vertical="center"/>
    </xf>
    <xf numFmtId="0" fontId="5" fillId="0" borderId="1" xfId="0" applyFont="1" applyBorder="1" applyAlignment="1">
      <alignment horizontal="right" vertical="center"/>
    </xf>
    <xf numFmtId="176" fontId="6" fillId="8" borderId="1" xfId="0" applyNumberFormat="1" applyFont="1" applyFill="1" applyBorder="1" applyAlignment="1">
      <alignment horizontal="center" vertical="center"/>
    </xf>
    <xf numFmtId="0" fontId="6" fillId="4" borderId="0" xfId="0" applyFont="1" applyFill="1">
      <alignment vertical="center"/>
    </xf>
    <xf numFmtId="184" fontId="6" fillId="4" borderId="1" xfId="0" applyNumberFormat="1" applyFont="1" applyFill="1" applyBorder="1" applyAlignment="1">
      <alignment horizontal="right" vertical="center"/>
    </xf>
    <xf numFmtId="176" fontId="37" fillId="0" borderId="1" xfId="0" applyNumberFormat="1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justify" vertical="center"/>
    </xf>
    <xf numFmtId="0" fontId="38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208" fontId="34" fillId="7" borderId="1" xfId="0" applyNumberFormat="1" applyFont="1" applyFill="1" applyBorder="1" applyAlignment="1">
      <alignment horizontal="center" wrapText="1"/>
    </xf>
    <xf numFmtId="193" fontId="32" fillId="0" borderId="1" xfId="0" applyNumberFormat="1" applyFont="1" applyBorder="1">
      <alignment vertical="center"/>
    </xf>
    <xf numFmtId="178" fontId="6" fillId="0" borderId="1" xfId="0" applyNumberFormat="1" applyFont="1" applyBorder="1" applyAlignment="1"/>
    <xf numFmtId="0" fontId="80" fillId="4" borderId="1" xfId="0" applyFont="1" applyFill="1" applyBorder="1" applyAlignment="1">
      <alignment horizontal="left" vertical="center"/>
    </xf>
    <xf numFmtId="49" fontId="34" fillId="7" borderId="1" xfId="0" applyNumberFormat="1" applyFont="1" applyFill="1" applyBorder="1" applyAlignment="1">
      <alignment horizontal="center"/>
    </xf>
    <xf numFmtId="178" fontId="60" fillId="0" borderId="1" xfId="0" applyNumberFormat="1" applyFont="1" applyBorder="1" applyAlignment="1">
      <alignment horizontal="right" vertical="center"/>
    </xf>
    <xf numFmtId="178" fontId="6" fillId="0" borderId="0" xfId="0" applyNumberFormat="1" applyFont="1" applyAlignment="1">
      <alignment horizontal="right" vertical="center"/>
    </xf>
    <xf numFmtId="180" fontId="6" fillId="0" borderId="0" xfId="0" applyNumberFormat="1" applyFont="1" applyAlignment="1">
      <alignment horizontal="right" vertical="center"/>
    </xf>
    <xf numFmtId="190" fontId="12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 wrapText="1"/>
    </xf>
    <xf numFmtId="179" fontId="74" fillId="0" borderId="0" xfId="0" applyNumberFormat="1" applyFont="1" applyAlignment="1">
      <alignment horizontal="center" vertical="center" wrapText="1"/>
    </xf>
    <xf numFmtId="0" fontId="33" fillId="4" borderId="0" xfId="0" applyFont="1" applyFill="1" applyAlignment="1">
      <alignment horizontal="center" vertical="center"/>
    </xf>
    <xf numFmtId="0" fontId="40" fillId="4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center" vertical="center"/>
    </xf>
    <xf numFmtId="176" fontId="16" fillId="4" borderId="0" xfId="0" applyNumberFormat="1" applyFont="1" applyFill="1" applyAlignment="1">
      <alignment horizontal="center" vertical="center"/>
    </xf>
    <xf numFmtId="177" fontId="16" fillId="4" borderId="0" xfId="0" applyNumberFormat="1" applyFont="1" applyFill="1" applyAlignment="1">
      <alignment horizontal="center" vertical="center"/>
    </xf>
    <xf numFmtId="178" fontId="16" fillId="4" borderId="0" xfId="0" applyNumberFormat="1" applyFont="1" applyFill="1" applyAlignment="1">
      <alignment horizontal="right" vertical="center"/>
    </xf>
    <xf numFmtId="184" fontId="16" fillId="4" borderId="0" xfId="0" applyNumberFormat="1" applyFont="1" applyFill="1" applyAlignment="1">
      <alignment horizontal="right" vertical="center"/>
    </xf>
    <xf numFmtId="181" fontId="16" fillId="4" borderId="0" xfId="0" applyNumberFormat="1" applyFont="1" applyFill="1" applyAlignment="1">
      <alignment horizontal="center" vertical="center"/>
    </xf>
    <xf numFmtId="179" fontId="16" fillId="4" borderId="0" xfId="0" applyNumberFormat="1" applyFont="1" applyFill="1" applyAlignment="1">
      <alignment horizontal="center" vertical="center"/>
    </xf>
    <xf numFmtId="0" fontId="24" fillId="4" borderId="0" xfId="0" applyFont="1" applyFill="1" applyAlignment="1">
      <alignment horizont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0" fontId="6" fillId="0" borderId="26" xfId="0" applyFont="1" applyBorder="1">
      <alignment vertical="center"/>
    </xf>
    <xf numFmtId="0" fontId="6" fillId="0" borderId="26" xfId="0" applyFont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4" fillId="4" borderId="26" xfId="0" applyFont="1" applyFill="1" applyBorder="1">
      <alignment vertical="center"/>
    </xf>
    <xf numFmtId="49" fontId="16" fillId="4" borderId="0" xfId="0" applyNumberFormat="1" applyFont="1" applyFill="1" applyAlignment="1">
      <alignment horizontal="center" vertical="center"/>
    </xf>
    <xf numFmtId="187" fontId="34" fillId="7" borderId="1" xfId="0" applyNumberFormat="1" applyFont="1" applyFill="1" applyBorder="1" applyAlignment="1">
      <alignment horizontal="center"/>
    </xf>
    <xf numFmtId="208" fontId="34" fillId="7" borderId="1" xfId="0" applyNumberFormat="1" applyFont="1" applyFill="1" applyBorder="1" applyAlignment="1">
      <alignment horizontal="center"/>
    </xf>
    <xf numFmtId="0" fontId="6" fillId="7" borderId="0" xfId="0" applyFont="1" applyFill="1" applyAlignment="1">
      <alignment horizontal="right" vertical="center"/>
    </xf>
    <xf numFmtId="179" fontId="40" fillId="4" borderId="0" xfId="0" applyNumberFormat="1" applyFont="1" applyFill="1" applyAlignment="1">
      <alignment horizontal="center" vertical="center"/>
    </xf>
    <xf numFmtId="191" fontId="17" fillId="0" borderId="1" xfId="0" applyNumberFormat="1" applyFont="1" applyBorder="1" applyAlignment="1">
      <alignment horizontal="center" vertical="center"/>
    </xf>
    <xf numFmtId="192" fontId="17" fillId="0" borderId="1" xfId="0" applyNumberFormat="1" applyFont="1" applyBorder="1" applyAlignment="1">
      <alignment horizontal="center" vertical="center"/>
    </xf>
    <xf numFmtId="178" fontId="17" fillId="0" borderId="1" xfId="0" applyNumberFormat="1" applyFont="1" applyBorder="1" applyAlignment="1">
      <alignment horizontal="center" vertical="center"/>
    </xf>
    <xf numFmtId="189" fontId="17" fillId="0" borderId="1" xfId="0" applyNumberFormat="1" applyFont="1" applyBorder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8" fontId="6" fillId="0" borderId="21" xfId="0" applyNumberFormat="1" applyFont="1" applyBorder="1" applyAlignment="1">
      <alignment horizontal="right" vertical="center"/>
    </xf>
    <xf numFmtId="187" fontId="34" fillId="7" borderId="1" xfId="0" applyNumberFormat="1" applyFont="1" applyFill="1" applyBorder="1" applyAlignment="1">
      <alignment horizontal="center" vertical="center"/>
    </xf>
    <xf numFmtId="208" fontId="34" fillId="7" borderId="1" xfId="0" applyNumberFormat="1" applyFont="1" applyFill="1" applyBorder="1" applyAlignment="1">
      <alignment horizontal="center" vertical="center"/>
    </xf>
    <xf numFmtId="208" fontId="34" fillId="7" borderId="1" xfId="0" applyNumberFormat="1" applyFont="1" applyFill="1" applyBorder="1" applyAlignment="1">
      <alignment horizontal="center" vertical="center" wrapText="1"/>
    </xf>
    <xf numFmtId="209" fontId="34" fillId="7" borderId="1" xfId="0" applyNumberFormat="1" applyFont="1" applyFill="1" applyBorder="1" applyAlignment="1">
      <alignment horizontal="center" vertical="center" wrapText="1"/>
    </xf>
    <xf numFmtId="193" fontId="32" fillId="7" borderId="1" xfId="0" applyNumberFormat="1" applyFont="1" applyFill="1" applyBorder="1">
      <alignment vertical="center"/>
    </xf>
    <xf numFmtId="0" fontId="76" fillId="0" borderId="1" xfId="0" applyFont="1" applyBorder="1" applyAlignment="1">
      <alignment horizontal="center" vertical="center"/>
    </xf>
    <xf numFmtId="49" fontId="34" fillId="7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34" fillId="7" borderId="1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180" fontId="6" fillId="0" borderId="21" xfId="0" applyNumberFormat="1" applyFont="1" applyBorder="1" applyAlignment="1">
      <alignment horizontal="right" vertical="center"/>
    </xf>
    <xf numFmtId="206" fontId="6" fillId="0" borderId="1" xfId="0" applyNumberFormat="1" applyFont="1" applyBorder="1">
      <alignment vertical="center"/>
    </xf>
    <xf numFmtId="193" fontId="6" fillId="0" borderId="0" xfId="0" applyNumberFormat="1" applyFont="1">
      <alignment vertical="center"/>
    </xf>
    <xf numFmtId="0" fontId="84" fillId="0" borderId="0" xfId="0" applyFont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5" fillId="0" borderId="0" xfId="0" applyFont="1">
      <alignment vertical="center"/>
    </xf>
    <xf numFmtId="189" fontId="58" fillId="6" borderId="1" xfId="0" applyNumberFormat="1" applyFont="1" applyFill="1" applyBorder="1">
      <alignment vertical="center"/>
    </xf>
    <xf numFmtId="0" fontId="18" fillId="9" borderId="30" xfId="0" applyFont="1" applyFill="1" applyBorder="1">
      <alignment vertical="center"/>
    </xf>
    <xf numFmtId="0" fontId="86" fillId="0" borderId="0" xfId="0" applyFont="1">
      <alignment vertical="center"/>
    </xf>
    <xf numFmtId="49" fontId="6" fillId="6" borderId="1" xfId="0" applyNumberFormat="1" applyFont="1" applyFill="1" applyBorder="1" applyAlignment="1">
      <alignment horizontal="center" vertical="center"/>
    </xf>
    <xf numFmtId="188" fontId="6" fillId="0" borderId="1" xfId="0" applyNumberFormat="1" applyFont="1" applyBorder="1">
      <alignment vertical="center"/>
    </xf>
    <xf numFmtId="49" fontId="44" fillId="0" borderId="1" xfId="0" applyNumberFormat="1" applyFont="1" applyBorder="1" applyAlignment="1">
      <alignment horizontal="center" vertical="center" shrinkToFit="1"/>
    </xf>
    <xf numFmtId="0" fontId="31" fillId="0" borderId="0" xfId="0" applyFont="1">
      <alignment vertical="center"/>
    </xf>
    <xf numFmtId="184" fontId="5" fillId="0" borderId="1" xfId="0" applyNumberFormat="1" applyFont="1" applyBorder="1" applyAlignment="1">
      <alignment horizontal="right" vertical="center"/>
    </xf>
    <xf numFmtId="0" fontId="45" fillId="0" borderId="1" xfId="0" applyFont="1" applyBorder="1" applyAlignment="1">
      <alignment horizontal="center" vertical="center"/>
    </xf>
    <xf numFmtId="191" fontId="5" fillId="0" borderId="1" xfId="0" applyNumberFormat="1" applyFont="1" applyBorder="1">
      <alignment vertical="center"/>
    </xf>
    <xf numFmtId="192" fontId="5" fillId="0" borderId="1" xfId="0" applyNumberFormat="1" applyFont="1" applyBorder="1">
      <alignment vertical="center"/>
    </xf>
    <xf numFmtId="178" fontId="5" fillId="0" borderId="1" xfId="0" applyNumberFormat="1" applyFont="1" applyBorder="1" applyAlignment="1">
      <alignment horizontal="right" vertical="center"/>
    </xf>
    <xf numFmtId="206" fontId="58" fillId="0" borderId="1" xfId="0" applyNumberFormat="1" applyFont="1" applyBorder="1">
      <alignment vertical="center"/>
    </xf>
    <xf numFmtId="189" fontId="5" fillId="0" borderId="1" xfId="0" applyNumberFormat="1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shrinkToFit="1"/>
    </xf>
    <xf numFmtId="0" fontId="44" fillId="0" borderId="1" xfId="0" applyFont="1" applyBorder="1" applyAlignment="1">
      <alignment horizontal="center" vertical="center" wrapText="1" shrinkToFit="1"/>
    </xf>
    <xf numFmtId="0" fontId="90" fillId="0" borderId="1" xfId="0" applyFont="1" applyBorder="1" applyAlignment="1">
      <alignment horizontal="center" vertical="center" wrapText="1"/>
    </xf>
    <xf numFmtId="206" fontId="90" fillId="0" borderId="1" xfId="0" applyNumberFormat="1" applyFont="1" applyBorder="1" applyAlignment="1">
      <alignment horizontal="right" vertical="center" wrapText="1"/>
    </xf>
    <xf numFmtId="0" fontId="33" fillId="0" borderId="1" xfId="0" applyFont="1" applyBorder="1" applyAlignment="1">
      <alignment horizontal="center" vertical="center"/>
    </xf>
    <xf numFmtId="189" fontId="5" fillId="0" borderId="1" xfId="0" applyNumberFormat="1" applyFont="1" applyBorder="1" applyAlignment="1">
      <alignment horizontal="right" vertical="center"/>
    </xf>
    <xf numFmtId="0" fontId="5" fillId="0" borderId="1" xfId="0" applyFont="1" applyBorder="1">
      <alignment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206" fontId="6" fillId="0" borderId="13" xfId="0" applyNumberFormat="1" applyFont="1" applyBorder="1" applyAlignment="1">
      <alignment horizontal="right" vertical="center"/>
    </xf>
    <xf numFmtId="0" fontId="87" fillId="0" borderId="1" xfId="0" applyFont="1" applyBorder="1" applyAlignment="1">
      <alignment horizontal="center" vertical="center" wrapText="1"/>
    </xf>
    <xf numFmtId="0" fontId="92" fillId="0" borderId="0" xfId="0" applyFont="1">
      <alignment vertical="center"/>
    </xf>
    <xf numFmtId="189" fontId="40" fillId="0" borderId="1" xfId="0" applyNumberFormat="1" applyFont="1" applyBorder="1" applyAlignment="1">
      <alignment horizontal="center" vertical="center"/>
    </xf>
    <xf numFmtId="0" fontId="47" fillId="0" borderId="0" xfId="0" applyFont="1">
      <alignment vertical="center"/>
    </xf>
    <xf numFmtId="0" fontId="5" fillId="0" borderId="15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212" fontId="6" fillId="0" borderId="0" xfId="0" applyNumberFormat="1" applyFont="1">
      <alignment vertical="center"/>
    </xf>
    <xf numFmtId="179" fontId="88" fillId="0" borderId="1" xfId="0" applyNumberFormat="1" applyFont="1" applyBorder="1" applyAlignment="1">
      <alignment horizontal="center" vertical="center" wrapText="1"/>
    </xf>
    <xf numFmtId="0" fontId="97" fillId="0" borderId="0" xfId="0" applyFont="1">
      <alignment vertical="center"/>
    </xf>
    <xf numFmtId="0" fontId="98" fillId="0" borderId="39" xfId="0" applyFont="1" applyBorder="1">
      <alignment vertical="center"/>
    </xf>
    <xf numFmtId="0" fontId="98" fillId="0" borderId="40" xfId="0" applyFont="1" applyBorder="1">
      <alignment vertical="center"/>
    </xf>
    <xf numFmtId="0" fontId="97" fillId="0" borderId="40" xfId="0" applyFont="1" applyBorder="1">
      <alignment vertical="center"/>
    </xf>
    <xf numFmtId="0" fontId="98" fillId="0" borderId="41" xfId="0" applyFont="1" applyBorder="1">
      <alignment vertical="center"/>
    </xf>
    <xf numFmtId="0" fontId="98" fillId="0" borderId="42" xfId="0" applyFont="1" applyBorder="1">
      <alignment vertical="center"/>
    </xf>
    <xf numFmtId="0" fontId="98" fillId="0" borderId="43" xfId="0" applyFont="1" applyBorder="1">
      <alignment vertical="center"/>
    </xf>
    <xf numFmtId="0" fontId="97" fillId="0" borderId="0" xfId="0" applyFont="1" applyAlignment="1">
      <alignment horizontal="center" vertical="center"/>
    </xf>
    <xf numFmtId="0" fontId="99" fillId="0" borderId="44" xfId="0" applyFont="1" applyBorder="1">
      <alignment vertical="center"/>
    </xf>
    <xf numFmtId="213" fontId="97" fillId="0" borderId="45" xfId="0" applyNumberFormat="1" applyFont="1" applyBorder="1">
      <alignment vertical="center"/>
    </xf>
    <xf numFmtId="0" fontId="97" fillId="0" borderId="46" xfId="0" applyFont="1" applyBorder="1">
      <alignment vertical="center"/>
    </xf>
    <xf numFmtId="0" fontId="97" fillId="0" borderId="47" xfId="0" applyFont="1" applyBorder="1">
      <alignment vertical="center"/>
    </xf>
    <xf numFmtId="0" fontId="97" fillId="0" borderId="48" xfId="0" applyFont="1" applyBorder="1">
      <alignment vertical="center"/>
    </xf>
    <xf numFmtId="0" fontId="97" fillId="0" borderId="45" xfId="0" applyFont="1" applyBorder="1">
      <alignment vertical="center"/>
    </xf>
    <xf numFmtId="0" fontId="97" fillId="0" borderId="49" xfId="0" applyFont="1" applyBorder="1">
      <alignment vertical="center"/>
    </xf>
    <xf numFmtId="2" fontId="98" fillId="0" borderId="49" xfId="0" applyNumberFormat="1" applyFont="1" applyBorder="1">
      <alignment vertical="center"/>
    </xf>
    <xf numFmtId="213" fontId="97" fillId="0" borderId="50" xfId="0" applyNumberFormat="1" applyFont="1" applyBorder="1">
      <alignment vertical="center"/>
    </xf>
    <xf numFmtId="0" fontId="97" fillId="0" borderId="38" xfId="0" applyFont="1" applyBorder="1">
      <alignment vertical="center"/>
    </xf>
    <xf numFmtId="0" fontId="97" fillId="0" borderId="51" xfId="0" applyFont="1" applyBorder="1">
      <alignment vertical="center"/>
    </xf>
    <xf numFmtId="0" fontId="97" fillId="0" borderId="52" xfId="0" applyFont="1" applyBorder="1">
      <alignment vertical="center"/>
    </xf>
    <xf numFmtId="0" fontId="97" fillId="0" borderId="53" xfId="0" applyFont="1" applyBorder="1">
      <alignment vertical="center"/>
    </xf>
    <xf numFmtId="0" fontId="97" fillId="0" borderId="54" xfId="0" applyFont="1" applyBorder="1" applyAlignment="1">
      <alignment horizontal="left" vertical="center" shrinkToFit="1"/>
    </xf>
    <xf numFmtId="0" fontId="97" fillId="0" borderId="46" xfId="0" applyFont="1" applyBorder="1" applyAlignment="1">
      <alignment horizontal="left" vertical="center" shrinkToFit="1"/>
    </xf>
    <xf numFmtId="0" fontId="99" fillId="0" borderId="0" xfId="0" applyFont="1">
      <alignment vertical="center"/>
    </xf>
    <xf numFmtId="0" fontId="97" fillId="0" borderId="55" xfId="0" applyFont="1" applyBorder="1">
      <alignment vertical="center"/>
    </xf>
    <xf numFmtId="0" fontId="97" fillId="0" borderId="54" xfId="0" applyFont="1" applyBorder="1">
      <alignment vertical="center"/>
    </xf>
    <xf numFmtId="0" fontId="97" fillId="0" borderId="56" xfId="0" applyFont="1" applyBorder="1">
      <alignment vertical="center"/>
    </xf>
    <xf numFmtId="0" fontId="97" fillId="0" borderId="57" xfId="0" applyFont="1" applyBorder="1">
      <alignment vertical="center"/>
    </xf>
    <xf numFmtId="0" fontId="52" fillId="0" borderId="0" xfId="0" applyFont="1">
      <alignment vertical="center"/>
    </xf>
    <xf numFmtId="0" fontId="97" fillId="0" borderId="74" xfId="0" applyFont="1" applyBorder="1">
      <alignment vertical="center"/>
    </xf>
    <xf numFmtId="0" fontId="52" fillId="0" borderId="0" xfId="0" applyFont="1" applyAlignment="1">
      <alignment horizontal="left" vertical="center"/>
    </xf>
    <xf numFmtId="0" fontId="52" fillId="0" borderId="0" xfId="0" quotePrefix="1" applyFont="1" applyAlignment="1">
      <alignment horizontal="left" vertical="center"/>
    </xf>
    <xf numFmtId="0" fontId="52" fillId="0" borderId="0" xfId="0" applyFont="1" applyAlignment="1">
      <alignment horizontal="left" vertical="center" wrapText="1"/>
    </xf>
    <xf numFmtId="0" fontId="105" fillId="0" borderId="0" xfId="0" applyFont="1" applyAlignment="1">
      <alignment horizontal="left" vertical="center"/>
    </xf>
    <xf numFmtId="0" fontId="108" fillId="0" borderId="0" xfId="0" applyFont="1" applyAlignment="1">
      <alignment horizontal="left" vertical="center"/>
    </xf>
    <xf numFmtId="0" fontId="105" fillId="0" borderId="0" xfId="0" applyFont="1">
      <alignment vertical="center"/>
    </xf>
    <xf numFmtId="0" fontId="115" fillId="0" borderId="0" xfId="0" applyFont="1">
      <alignment vertical="center"/>
    </xf>
    <xf numFmtId="0" fontId="116" fillId="0" borderId="0" xfId="0" applyFont="1">
      <alignment vertical="center"/>
    </xf>
    <xf numFmtId="0" fontId="117" fillId="0" borderId="0" xfId="0" applyFont="1">
      <alignment vertical="center"/>
    </xf>
    <xf numFmtId="0" fontId="116" fillId="0" borderId="0" xfId="0" applyFont="1" applyAlignment="1">
      <alignment vertical="center" wrapText="1"/>
    </xf>
    <xf numFmtId="0" fontId="118" fillId="0" borderId="0" xfId="0" applyFont="1">
      <alignment vertical="center"/>
    </xf>
    <xf numFmtId="0" fontId="119" fillId="0" borderId="0" xfId="0" applyFont="1" applyAlignment="1">
      <alignment horizontal="left" vertical="center"/>
    </xf>
    <xf numFmtId="0" fontId="116" fillId="0" borderId="0" xfId="0" applyFont="1" applyAlignment="1">
      <alignment horizontal="left" vertical="center"/>
    </xf>
    <xf numFmtId="0" fontId="116" fillId="0" borderId="0" xfId="0" applyFont="1" applyAlignment="1">
      <alignment horizontal="right" vertical="center"/>
    </xf>
    <xf numFmtId="56" fontId="116" fillId="11" borderId="0" xfId="0" applyNumberFormat="1" applyFont="1" applyFill="1" applyAlignment="1">
      <alignment horizontal="left" vertical="center"/>
    </xf>
    <xf numFmtId="0" fontId="116" fillId="11" borderId="0" xfId="0" applyFont="1" applyFill="1">
      <alignment vertical="center"/>
    </xf>
    <xf numFmtId="0" fontId="116" fillId="11" borderId="0" xfId="0" applyFont="1" applyFill="1" applyAlignment="1">
      <alignment horizontal="left" vertical="center"/>
    </xf>
    <xf numFmtId="0" fontId="117" fillId="0" borderId="141" xfId="0" applyFont="1" applyBorder="1">
      <alignment vertical="center"/>
    </xf>
    <xf numFmtId="0" fontId="116" fillId="0" borderId="141" xfId="0" applyFont="1" applyBorder="1">
      <alignment vertical="center"/>
    </xf>
    <xf numFmtId="0" fontId="121" fillId="12" borderId="103" xfId="0" applyFont="1" applyFill="1" applyBorder="1" applyAlignment="1">
      <alignment horizontal="center" vertical="center"/>
    </xf>
    <xf numFmtId="0" fontId="121" fillId="12" borderId="25" xfId="0" applyFont="1" applyFill="1" applyBorder="1" applyAlignment="1">
      <alignment horizontal="center" vertical="center"/>
    </xf>
    <xf numFmtId="217" fontId="116" fillId="0" borderId="0" xfId="0" applyNumberFormat="1" applyFont="1" applyAlignment="1">
      <alignment horizontal="left" vertical="center"/>
    </xf>
    <xf numFmtId="0" fontId="121" fillId="12" borderId="17" xfId="0" applyFont="1" applyFill="1" applyBorder="1" applyAlignment="1">
      <alignment horizontal="center" vertical="center"/>
    </xf>
    <xf numFmtId="0" fontId="121" fillId="12" borderId="18" xfId="0" applyFont="1" applyFill="1" applyBorder="1" applyAlignment="1">
      <alignment horizontal="center" vertical="center"/>
    </xf>
    <xf numFmtId="0" fontId="121" fillId="12" borderId="19" xfId="0" applyFont="1" applyFill="1" applyBorder="1" applyAlignment="1">
      <alignment horizontal="center" vertical="center"/>
    </xf>
    <xf numFmtId="0" fontId="116" fillId="0" borderId="143" xfId="0" applyFont="1" applyBorder="1" applyAlignment="1">
      <alignment horizontal="center" vertical="center"/>
    </xf>
    <xf numFmtId="0" fontId="116" fillId="0" borderId="137" xfId="0" applyFont="1" applyBorder="1" applyAlignment="1">
      <alignment horizontal="left" vertical="center"/>
    </xf>
    <xf numFmtId="218" fontId="116" fillId="0" borderId="137" xfId="0" applyNumberFormat="1" applyFont="1" applyBorder="1" applyAlignment="1">
      <alignment horizontal="center" vertical="center"/>
    </xf>
    <xf numFmtId="0" fontId="116" fillId="0" borderId="137" xfId="0" applyFont="1" applyBorder="1">
      <alignment vertical="center"/>
    </xf>
    <xf numFmtId="0" fontId="116" fillId="0" borderId="145" xfId="0" applyFont="1" applyBorder="1" applyAlignment="1">
      <alignment horizontal="center" vertical="center"/>
    </xf>
    <xf numFmtId="0" fontId="116" fillId="0" borderId="132" xfId="0" applyFont="1" applyBorder="1" applyAlignment="1">
      <alignment horizontal="left" vertical="center"/>
    </xf>
    <xf numFmtId="186" fontId="116" fillId="0" borderId="132" xfId="0" applyNumberFormat="1" applyFont="1" applyBorder="1" applyAlignment="1">
      <alignment horizontal="center" vertical="center"/>
    </xf>
    <xf numFmtId="0" fontId="116" fillId="0" borderId="132" xfId="0" applyFont="1" applyBorder="1" applyAlignment="1">
      <alignment horizontal="center" vertical="center"/>
    </xf>
    <xf numFmtId="178" fontId="116" fillId="0" borderId="132" xfId="0" applyNumberFormat="1" applyFont="1" applyBorder="1" applyAlignment="1">
      <alignment horizontal="center" vertical="center"/>
    </xf>
    <xf numFmtId="180" fontId="116" fillId="0" borderId="132" xfId="0" applyNumberFormat="1" applyFont="1" applyBorder="1" applyAlignment="1">
      <alignment horizontal="center" vertical="center"/>
    </xf>
    <xf numFmtId="218" fontId="116" fillId="0" borderId="132" xfId="0" applyNumberFormat="1" applyFont="1" applyBorder="1" applyAlignment="1">
      <alignment horizontal="center" vertical="center"/>
    </xf>
    <xf numFmtId="0" fontId="116" fillId="0" borderId="132" xfId="0" applyFont="1" applyBorder="1">
      <alignment vertical="center"/>
    </xf>
    <xf numFmtId="0" fontId="116" fillId="0" borderId="146" xfId="0" applyFont="1" applyBorder="1">
      <alignment vertical="center"/>
    </xf>
    <xf numFmtId="191" fontId="116" fillId="0" borderId="132" xfId="0" applyNumberFormat="1" applyFont="1" applyBorder="1" applyAlignment="1">
      <alignment horizontal="center" vertical="center"/>
    </xf>
    <xf numFmtId="192" fontId="116" fillId="0" borderId="132" xfId="0" applyNumberFormat="1" applyFont="1" applyBorder="1" applyAlignment="1">
      <alignment horizontal="center" vertical="center"/>
    </xf>
    <xf numFmtId="0" fontId="116" fillId="0" borderId="147" xfId="0" applyFont="1" applyBorder="1" applyAlignment="1">
      <alignment horizontal="center" vertical="center"/>
    </xf>
    <xf numFmtId="0" fontId="116" fillId="0" borderId="148" xfId="0" applyFont="1" applyBorder="1" applyAlignment="1">
      <alignment horizontal="left" vertical="center"/>
    </xf>
    <xf numFmtId="0" fontId="116" fillId="0" borderId="148" xfId="0" applyFont="1" applyBorder="1" applyAlignment="1">
      <alignment horizontal="center" vertical="center"/>
    </xf>
    <xf numFmtId="218" fontId="116" fillId="0" borderId="148" xfId="0" applyNumberFormat="1" applyFont="1" applyBorder="1" applyAlignment="1">
      <alignment horizontal="center" vertical="center"/>
    </xf>
    <xf numFmtId="0" fontId="116" fillId="0" borderId="148" xfId="0" applyFont="1" applyBorder="1">
      <alignment vertical="center"/>
    </xf>
    <xf numFmtId="0" fontId="116" fillId="0" borderId="149" xfId="0" applyFont="1" applyBorder="1">
      <alignment vertical="center"/>
    </xf>
    <xf numFmtId="0" fontId="121" fillId="12" borderId="102" xfId="0" applyFont="1" applyFill="1" applyBorder="1" applyAlignment="1">
      <alignment horizontal="center" vertical="center"/>
    </xf>
    <xf numFmtId="218" fontId="121" fillId="0" borderId="142" xfId="0" applyNumberFormat="1" applyFont="1" applyBorder="1" applyAlignment="1">
      <alignment horizontal="center" vertical="center"/>
    </xf>
    <xf numFmtId="0" fontId="116" fillId="0" borderId="150" xfId="0" applyFont="1" applyBorder="1" applyAlignment="1">
      <alignment horizontal="center" vertical="center"/>
    </xf>
    <xf numFmtId="0" fontId="116" fillId="0" borderId="154" xfId="0" applyFont="1" applyBorder="1" applyAlignment="1">
      <alignment horizontal="center" vertical="center"/>
    </xf>
    <xf numFmtId="0" fontId="116" fillId="0" borderId="156" xfId="0" applyFont="1" applyBorder="1" applyAlignment="1">
      <alignment horizontal="center" vertical="center"/>
    </xf>
    <xf numFmtId="0" fontId="116" fillId="0" borderId="152" xfId="0" applyFont="1" applyBorder="1">
      <alignment vertical="center"/>
    </xf>
    <xf numFmtId="0" fontId="116" fillId="0" borderId="153" xfId="0" applyFont="1" applyBorder="1">
      <alignment vertical="center"/>
    </xf>
    <xf numFmtId="0" fontId="116" fillId="0" borderId="113" xfId="0" applyFont="1" applyBorder="1">
      <alignment vertical="center"/>
    </xf>
    <xf numFmtId="0" fontId="116" fillId="0" borderId="155" xfId="0" applyFont="1" applyBorder="1">
      <alignment vertical="center"/>
    </xf>
    <xf numFmtId="0" fontId="116" fillId="0" borderId="158" xfId="0" applyFont="1" applyBorder="1">
      <alignment vertical="center"/>
    </xf>
    <xf numFmtId="0" fontId="116" fillId="0" borderId="159" xfId="0" applyFont="1" applyBorder="1">
      <alignment vertical="center"/>
    </xf>
    <xf numFmtId="0" fontId="116" fillId="0" borderId="160" xfId="0" applyFont="1" applyBorder="1" applyAlignment="1">
      <alignment horizontal="left" vertical="center"/>
    </xf>
    <xf numFmtId="0" fontId="116" fillId="0" borderId="160" xfId="0" applyFont="1" applyBorder="1" applyAlignment="1">
      <alignment horizontal="center" vertical="center"/>
    </xf>
    <xf numFmtId="218" fontId="116" fillId="0" borderId="160" xfId="0" applyNumberFormat="1" applyFont="1" applyBorder="1" applyAlignment="1">
      <alignment horizontal="center" vertical="center"/>
    </xf>
    <xf numFmtId="0" fontId="116" fillId="0" borderId="160" xfId="0" applyFont="1" applyBorder="1">
      <alignment vertical="center"/>
    </xf>
    <xf numFmtId="0" fontId="116" fillId="0" borderId="161" xfId="0" applyFont="1" applyBorder="1">
      <alignment vertical="center"/>
    </xf>
    <xf numFmtId="0" fontId="116" fillId="0" borderId="0" xfId="0" applyFont="1" applyAlignment="1">
      <alignment horizontal="center" vertical="center"/>
    </xf>
    <xf numFmtId="0" fontId="116" fillId="0" borderId="141" xfId="0" applyFont="1" applyBorder="1" applyAlignment="1">
      <alignment horizontal="center" vertical="center"/>
    </xf>
    <xf numFmtId="0" fontId="116" fillId="0" borderId="141" xfId="0" applyFont="1" applyBorder="1" applyAlignment="1">
      <alignment horizontal="left" vertical="center" wrapText="1"/>
    </xf>
    <xf numFmtId="0" fontId="122" fillId="0" borderId="0" xfId="0" applyFont="1">
      <alignment vertical="center"/>
    </xf>
    <xf numFmtId="186" fontId="116" fillId="0" borderId="0" xfId="0" applyNumberFormat="1" applyFont="1">
      <alignment vertical="center"/>
    </xf>
    <xf numFmtId="191" fontId="116" fillId="0" borderId="0" xfId="0" applyNumberFormat="1" applyFont="1">
      <alignment vertical="center"/>
    </xf>
    <xf numFmtId="192" fontId="116" fillId="0" borderId="0" xfId="0" applyNumberFormat="1" applyFont="1">
      <alignment vertical="center"/>
    </xf>
    <xf numFmtId="178" fontId="116" fillId="0" borderId="0" xfId="0" applyNumberFormat="1" applyFont="1">
      <alignment vertical="center"/>
    </xf>
    <xf numFmtId="180" fontId="116" fillId="0" borderId="0" xfId="0" applyNumberFormat="1" applyFont="1">
      <alignment vertical="center"/>
    </xf>
    <xf numFmtId="186" fontId="121" fillId="12" borderId="18" xfId="0" applyNumberFormat="1" applyFont="1" applyFill="1" applyBorder="1" applyAlignment="1">
      <alignment horizontal="center" vertical="center"/>
    </xf>
    <xf numFmtId="178" fontId="121" fillId="12" borderId="18" xfId="0" applyNumberFormat="1" applyFont="1" applyFill="1" applyBorder="1" applyAlignment="1">
      <alignment horizontal="center" vertical="center"/>
    </xf>
    <xf numFmtId="180" fontId="121" fillId="12" borderId="18" xfId="0" applyNumberFormat="1" applyFont="1" applyFill="1" applyBorder="1" applyAlignment="1">
      <alignment horizontal="center" vertical="center"/>
    </xf>
    <xf numFmtId="188" fontId="116" fillId="0" borderId="160" xfId="0" applyNumberFormat="1" applyFont="1" applyBorder="1" applyAlignment="1">
      <alignment horizontal="center" vertical="center"/>
    </xf>
    <xf numFmtId="178" fontId="116" fillId="0" borderId="160" xfId="0" applyNumberFormat="1" applyFont="1" applyBorder="1" applyAlignment="1">
      <alignment horizontal="center" vertical="center"/>
    </xf>
    <xf numFmtId="180" fontId="116" fillId="0" borderId="160" xfId="0" applyNumberFormat="1" applyFont="1" applyBorder="1" applyAlignment="1">
      <alignment horizontal="center" vertical="center"/>
    </xf>
    <xf numFmtId="184" fontId="116" fillId="0" borderId="160" xfId="0" applyNumberFormat="1" applyFont="1" applyBorder="1" applyAlignment="1">
      <alignment horizontal="center" vertical="center"/>
    </xf>
    <xf numFmtId="186" fontId="116" fillId="0" borderId="160" xfId="0" applyNumberFormat="1" applyFont="1" applyBorder="1" applyAlignment="1">
      <alignment horizontal="center" vertical="center"/>
    </xf>
    <xf numFmtId="0" fontId="117" fillId="11" borderId="0" xfId="0" applyFont="1" applyFill="1">
      <alignment vertical="center"/>
    </xf>
    <xf numFmtId="0" fontId="116" fillId="0" borderId="0" xfId="0" applyFont="1" applyProtection="1">
      <alignment vertical="center"/>
      <protection locked="0"/>
    </xf>
    <xf numFmtId="0" fontId="116" fillId="0" borderId="0" xfId="0" applyFont="1" applyAlignment="1" applyProtection="1">
      <alignment vertical="center" wrapText="1"/>
      <protection locked="0"/>
    </xf>
    <xf numFmtId="0" fontId="52" fillId="0" borderId="0" xfId="0" applyFont="1" applyProtection="1">
      <alignment vertical="center"/>
      <protection locked="0"/>
    </xf>
    <xf numFmtId="0" fontId="52" fillId="0" borderId="0" xfId="0" applyFont="1" applyAlignment="1" applyProtection="1">
      <alignment vertical="center" wrapText="1"/>
      <protection locked="0"/>
    </xf>
    <xf numFmtId="0" fontId="52" fillId="0" borderId="119" xfId="0" applyFont="1" applyBorder="1" applyProtection="1">
      <alignment vertical="center"/>
      <protection locked="0"/>
    </xf>
    <xf numFmtId="0" fontId="52" fillId="0" borderId="116" xfId="0" applyFont="1" applyBorder="1" applyProtection="1">
      <alignment vertical="center"/>
      <protection locked="0"/>
    </xf>
    <xf numFmtId="0" fontId="52" fillId="0" borderId="117" xfId="0" applyFont="1" applyBorder="1" applyProtection="1">
      <alignment vertical="center"/>
      <protection locked="0"/>
    </xf>
    <xf numFmtId="0" fontId="52" fillId="0" borderId="122" xfId="0" applyFont="1" applyBorder="1" applyProtection="1">
      <alignment vertical="center"/>
      <protection locked="0"/>
    </xf>
    <xf numFmtId="0" fontId="52" fillId="0" borderId="113" xfId="0" applyFont="1" applyBorder="1" applyProtection="1">
      <alignment vertical="center"/>
      <protection locked="0"/>
    </xf>
    <xf numFmtId="0" fontId="52" fillId="0" borderId="114" xfId="0" applyFont="1" applyBorder="1" applyProtection="1">
      <alignment vertical="center"/>
      <protection locked="0"/>
    </xf>
    <xf numFmtId="0" fontId="52" fillId="0" borderId="121" xfId="0" applyFont="1" applyBorder="1" applyAlignment="1" applyProtection="1">
      <alignment horizontal="left" vertical="center"/>
      <protection locked="0"/>
    </xf>
    <xf numFmtId="0" fontId="52" fillId="0" borderId="121" xfId="0" applyFont="1" applyBorder="1" applyProtection="1">
      <alignment vertical="center"/>
      <protection locked="0"/>
    </xf>
    <xf numFmtId="49" fontId="52" fillId="0" borderId="130" xfId="0" applyNumberFormat="1" applyFont="1" applyBorder="1" applyAlignment="1" applyProtection="1">
      <alignment horizontal="left" vertical="center" shrinkToFit="1"/>
      <protection locked="0"/>
    </xf>
    <xf numFmtId="0" fontId="52" fillId="0" borderId="131" xfId="0" applyFont="1" applyBorder="1" applyAlignment="1" applyProtection="1">
      <alignment horizontal="left" vertical="center"/>
      <protection locked="0"/>
    </xf>
    <xf numFmtId="0" fontId="52" fillId="0" borderId="131" xfId="0" applyFont="1" applyBorder="1" applyAlignment="1" applyProtection="1">
      <alignment horizontal="center" vertical="center"/>
      <protection locked="0"/>
    </xf>
    <xf numFmtId="49" fontId="52" fillId="0" borderId="120" xfId="0" applyNumberFormat="1" applyFont="1" applyBorder="1" applyAlignment="1" applyProtection="1">
      <alignment horizontal="left" vertical="center" shrinkToFit="1"/>
      <protection locked="0"/>
    </xf>
    <xf numFmtId="0" fontId="52" fillId="0" borderId="132" xfId="0" applyFont="1" applyBorder="1" applyAlignment="1" applyProtection="1">
      <alignment horizontal="left" vertical="center"/>
      <protection locked="0"/>
    </xf>
    <xf numFmtId="0" fontId="52" fillId="0" borderId="132" xfId="0" applyFont="1" applyBorder="1" applyAlignment="1" applyProtection="1">
      <alignment horizontal="center" vertical="center"/>
      <protection locked="0"/>
    </xf>
    <xf numFmtId="180" fontId="52" fillId="0" borderId="132" xfId="0" applyNumberFormat="1" applyFont="1" applyBorder="1" applyAlignment="1" applyProtection="1">
      <alignment horizontal="center" vertical="center"/>
      <protection locked="0"/>
    </xf>
    <xf numFmtId="189" fontId="52" fillId="0" borderId="132" xfId="0" applyNumberFormat="1" applyFont="1" applyBorder="1" applyAlignment="1" applyProtection="1">
      <alignment horizontal="center" vertical="center"/>
      <protection locked="0"/>
    </xf>
    <xf numFmtId="178" fontId="52" fillId="0" borderId="132" xfId="0" applyNumberFormat="1" applyFont="1" applyBorder="1" applyAlignment="1" applyProtection="1">
      <alignment horizontal="center" vertical="center"/>
      <protection locked="0"/>
    </xf>
    <xf numFmtId="179" fontId="52" fillId="0" borderId="132" xfId="0" applyNumberFormat="1" applyFont="1" applyBorder="1" applyAlignment="1" applyProtection="1">
      <alignment horizontal="center" vertical="center"/>
      <protection locked="0"/>
    </xf>
    <xf numFmtId="188" fontId="52" fillId="0" borderId="132" xfId="0" applyNumberFormat="1" applyFont="1" applyBorder="1" applyAlignment="1" applyProtection="1">
      <alignment horizontal="center" vertical="center"/>
      <protection locked="0"/>
    </xf>
    <xf numFmtId="176" fontId="52" fillId="0" borderId="132" xfId="0" applyNumberFormat="1" applyFont="1" applyBorder="1" applyAlignment="1" applyProtection="1">
      <alignment horizontal="center" vertical="center"/>
      <protection locked="0"/>
    </xf>
    <xf numFmtId="184" fontId="52" fillId="0" borderId="132" xfId="0" applyNumberFormat="1" applyFont="1" applyBorder="1" applyAlignment="1" applyProtection="1">
      <alignment horizontal="center" vertical="center"/>
      <protection locked="0"/>
    </xf>
    <xf numFmtId="186" fontId="52" fillId="0" borderId="132" xfId="0" applyNumberFormat="1" applyFont="1" applyBorder="1" applyAlignment="1" applyProtection="1">
      <alignment horizontal="center" vertical="center"/>
      <protection locked="0"/>
    </xf>
    <xf numFmtId="206" fontId="52" fillId="0" borderId="132" xfId="0" applyNumberFormat="1" applyFont="1" applyBorder="1" applyAlignment="1" applyProtection="1">
      <alignment horizontal="center" vertical="center"/>
      <protection locked="0"/>
    </xf>
    <xf numFmtId="192" fontId="52" fillId="0" borderId="132" xfId="0" applyNumberFormat="1" applyFont="1" applyBorder="1" applyAlignment="1" applyProtection="1">
      <alignment horizontal="center" vertical="center"/>
      <protection locked="0"/>
    </xf>
    <xf numFmtId="191" fontId="52" fillId="0" borderId="132" xfId="0" applyNumberFormat="1" applyFont="1" applyBorder="1" applyAlignment="1" applyProtection="1">
      <alignment horizontal="center" vertical="center"/>
      <protection locked="0"/>
    </xf>
    <xf numFmtId="204" fontId="52" fillId="0" borderId="132" xfId="0" applyNumberFormat="1" applyFont="1" applyBorder="1" applyAlignment="1" applyProtection="1">
      <alignment horizontal="center" vertical="center"/>
      <protection locked="0"/>
    </xf>
    <xf numFmtId="210" fontId="52" fillId="0" borderId="132" xfId="0" applyNumberFormat="1" applyFont="1" applyBorder="1" applyAlignment="1" applyProtection="1">
      <alignment horizontal="center" vertical="center"/>
      <protection locked="0"/>
    </xf>
    <xf numFmtId="0" fontId="52" fillId="0" borderId="120" xfId="0" applyFont="1" applyBorder="1" applyAlignment="1" applyProtection="1">
      <alignment horizontal="left" vertical="center" shrinkToFit="1"/>
      <protection locked="0"/>
    </xf>
    <xf numFmtId="216" fontId="52" fillId="0" borderId="132" xfId="0" applyNumberFormat="1" applyFont="1" applyBorder="1" applyAlignment="1" applyProtection="1">
      <alignment horizontal="center" vertical="center"/>
      <protection locked="0"/>
    </xf>
    <xf numFmtId="0" fontId="52" fillId="0" borderId="119" xfId="0" applyFont="1" applyBorder="1" applyAlignment="1" applyProtection="1">
      <alignment horizontal="left" vertical="center" shrinkToFit="1"/>
      <protection locked="0"/>
    </xf>
    <xf numFmtId="0" fontId="52" fillId="0" borderId="133" xfId="0" applyFont="1" applyBorder="1" applyAlignment="1" applyProtection="1">
      <alignment horizontal="left" vertical="center"/>
      <protection locked="0"/>
    </xf>
    <xf numFmtId="0" fontId="52" fillId="0" borderId="133" xfId="0" applyFont="1" applyBorder="1" applyAlignment="1" applyProtection="1">
      <alignment horizontal="center" vertical="center"/>
      <protection locked="0"/>
    </xf>
    <xf numFmtId="216" fontId="52" fillId="0" borderId="133" xfId="0" applyNumberFormat="1" applyFont="1" applyBorder="1" applyAlignment="1" applyProtection="1">
      <alignment horizontal="center" vertical="center"/>
      <protection locked="0"/>
    </xf>
    <xf numFmtId="206" fontId="52" fillId="0" borderId="118" xfId="0" applyNumberFormat="1" applyFont="1" applyBorder="1" applyAlignment="1" applyProtection="1">
      <alignment horizontal="right" vertical="center"/>
      <protection locked="0"/>
    </xf>
    <xf numFmtId="206" fontId="52" fillId="0" borderId="111" xfId="0" applyNumberFormat="1" applyFont="1" applyBorder="1" applyProtection="1">
      <alignment vertical="center"/>
      <protection locked="0"/>
    </xf>
    <xf numFmtId="216" fontId="52" fillId="0" borderId="140" xfId="0" applyNumberFormat="1" applyFont="1" applyBorder="1" applyAlignment="1" applyProtection="1">
      <alignment horizontal="center" vertical="center"/>
      <protection locked="0"/>
    </xf>
    <xf numFmtId="206" fontId="52" fillId="0" borderId="120" xfId="0" applyNumberFormat="1" applyFont="1" applyBorder="1" applyAlignment="1" applyProtection="1">
      <alignment horizontal="right" vertical="center"/>
      <protection locked="0"/>
    </xf>
    <xf numFmtId="206" fontId="52" fillId="0" borderId="119" xfId="0" applyNumberFormat="1" applyFont="1" applyBorder="1" applyAlignment="1" applyProtection="1">
      <alignment horizontal="right" vertical="center"/>
      <protection locked="0"/>
    </xf>
    <xf numFmtId="216" fontId="52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70" xfId="0" applyFont="1" applyBorder="1" applyProtection="1">
      <alignment vertical="center"/>
      <protection locked="0"/>
    </xf>
    <xf numFmtId="0" fontId="52" fillId="0" borderId="44" xfId="0" applyFont="1" applyBorder="1" applyProtection="1">
      <alignment vertical="center"/>
      <protection locked="0"/>
    </xf>
    <xf numFmtId="0" fontId="52" fillId="0" borderId="44" xfId="0" applyFont="1" applyBorder="1" applyAlignment="1" applyProtection="1">
      <alignment vertical="center" wrapText="1"/>
      <protection locked="0"/>
    </xf>
    <xf numFmtId="0" fontId="52" fillId="0" borderId="83" xfId="0" applyFont="1" applyBorder="1" applyProtection="1">
      <alignment vertical="center"/>
      <protection locked="0"/>
    </xf>
    <xf numFmtId="0" fontId="52" fillId="0" borderId="71" xfId="0" applyFont="1" applyBorder="1" applyProtection="1">
      <alignment vertical="center"/>
      <protection locked="0"/>
    </xf>
    <xf numFmtId="0" fontId="52" fillId="0" borderId="38" xfId="0" applyFont="1" applyBorder="1" applyProtection="1">
      <alignment vertical="center"/>
      <protection locked="0"/>
    </xf>
    <xf numFmtId="0" fontId="52" fillId="0" borderId="51" xfId="0" applyFont="1" applyBorder="1" applyProtection="1">
      <alignment vertical="center"/>
      <protection locked="0"/>
    </xf>
    <xf numFmtId="0" fontId="52" fillId="0" borderId="45" xfId="0" applyFont="1" applyBorder="1" applyProtection="1">
      <alignment vertical="center"/>
      <protection locked="0"/>
    </xf>
    <xf numFmtId="0" fontId="52" fillId="0" borderId="45" xfId="0" applyFont="1" applyBorder="1" applyAlignment="1" applyProtection="1">
      <alignment vertical="center" wrapText="1"/>
      <protection locked="0"/>
    </xf>
    <xf numFmtId="0" fontId="52" fillId="0" borderId="52" xfId="0" applyFont="1" applyBorder="1" applyProtection="1">
      <alignment vertical="center"/>
      <protection locked="0"/>
    </xf>
    <xf numFmtId="0" fontId="52" fillId="0" borderId="115" xfId="0" applyFont="1" applyBorder="1" applyProtection="1">
      <alignment vertical="center"/>
      <protection locked="0"/>
    </xf>
    <xf numFmtId="0" fontId="125" fillId="0" borderId="0" xfId="0" applyFont="1">
      <alignment vertical="center"/>
    </xf>
    <xf numFmtId="0" fontId="116" fillId="0" borderId="0" xfId="0" applyFont="1" applyAlignment="1" applyProtection="1">
      <alignment horizontal="center" vertical="center"/>
      <protection locked="0"/>
    </xf>
    <xf numFmtId="0" fontId="117" fillId="0" borderId="0" xfId="0" applyFont="1" applyProtection="1">
      <alignment vertical="center"/>
      <protection locked="0"/>
    </xf>
    <xf numFmtId="0" fontId="125" fillId="0" borderId="0" xfId="0" applyFont="1" applyProtection="1">
      <alignment vertical="center"/>
      <protection locked="0"/>
    </xf>
    <xf numFmtId="0" fontId="116" fillId="0" borderId="0" xfId="0" applyFont="1" applyAlignment="1" applyProtection="1">
      <alignment horizontal="left" vertical="center"/>
      <protection locked="0"/>
    </xf>
    <xf numFmtId="0" fontId="110" fillId="0" borderId="0" xfId="0" applyFont="1" applyAlignment="1" applyProtection="1">
      <alignment horizontal="center" vertical="center"/>
      <protection locked="0"/>
    </xf>
    <xf numFmtId="0" fontId="109" fillId="0" borderId="0" xfId="0" applyFont="1" applyProtection="1">
      <alignment vertical="center"/>
      <protection locked="0"/>
    </xf>
    <xf numFmtId="0" fontId="54" fillId="0" borderId="0" xfId="0" applyFont="1" applyProtection="1">
      <alignment vertical="center"/>
      <protection locked="0"/>
    </xf>
    <xf numFmtId="0" fontId="106" fillId="0" borderId="0" xfId="0" applyFont="1" applyProtection="1">
      <alignment vertical="center"/>
      <protection locked="0"/>
    </xf>
    <xf numFmtId="0" fontId="112" fillId="0" borderId="70" xfId="0" applyFont="1" applyBorder="1" applyProtection="1">
      <alignment vertical="center"/>
      <protection locked="0"/>
    </xf>
    <xf numFmtId="0" fontId="54" fillId="0" borderId="109" xfId="0" applyFont="1" applyBorder="1" applyProtection="1">
      <alignment vertical="center"/>
      <protection locked="0"/>
    </xf>
    <xf numFmtId="0" fontId="54" fillId="0" borderId="110" xfId="0" applyFont="1" applyBorder="1" applyProtection="1">
      <alignment vertical="center"/>
      <protection locked="0"/>
    </xf>
    <xf numFmtId="0" fontId="54" fillId="0" borderId="111" xfId="0" applyFont="1" applyBorder="1" applyProtection="1">
      <alignment vertical="center"/>
      <protection locked="0"/>
    </xf>
    <xf numFmtId="0" fontId="112" fillId="0" borderId="118" xfId="0" applyFont="1" applyBorder="1" applyProtection="1">
      <alignment vertical="center"/>
      <protection locked="0"/>
    </xf>
    <xf numFmtId="0" fontId="52" fillId="0" borderId="110" xfId="0" applyFont="1" applyBorder="1" applyProtection="1">
      <alignment vertical="center"/>
      <protection locked="0"/>
    </xf>
    <xf numFmtId="0" fontId="52" fillId="0" borderId="111" xfId="0" applyFont="1" applyBorder="1" applyProtection="1">
      <alignment vertical="center"/>
      <protection locked="0"/>
    </xf>
    <xf numFmtId="0" fontId="52" fillId="0" borderId="112" xfId="0" applyFont="1" applyBorder="1" applyProtection="1">
      <alignment vertical="center"/>
      <protection locked="0"/>
    </xf>
    <xf numFmtId="0" fontId="52" fillId="0" borderId="112" xfId="0" applyFont="1" applyBorder="1" applyAlignment="1" applyProtection="1">
      <alignment horizontal="left" vertical="center"/>
      <protection locked="0"/>
    </xf>
    <xf numFmtId="0" fontId="52" fillId="0" borderId="120" xfId="0" applyFont="1" applyBorder="1" applyProtection="1">
      <alignment vertical="center"/>
      <protection locked="0"/>
    </xf>
    <xf numFmtId="0" fontId="112" fillId="0" borderId="111" xfId="0" applyFont="1" applyBorder="1" applyProtection="1">
      <alignment vertical="center"/>
      <protection locked="0"/>
    </xf>
    <xf numFmtId="0" fontId="112" fillId="0" borderId="111" xfId="0" applyFont="1" applyBorder="1" applyAlignment="1" applyProtection="1">
      <alignment vertical="center" wrapText="1"/>
      <protection locked="0"/>
    </xf>
    <xf numFmtId="0" fontId="112" fillId="0" borderId="110" xfId="0" applyFont="1" applyBorder="1" applyProtection="1">
      <alignment vertical="center"/>
      <protection locked="0"/>
    </xf>
    <xf numFmtId="0" fontId="111" fillId="0" borderId="110" xfId="0" applyFont="1" applyBorder="1" applyProtection="1">
      <alignment vertical="center"/>
      <protection locked="0"/>
    </xf>
    <xf numFmtId="0" fontId="111" fillId="0" borderId="111" xfId="0" applyFont="1" applyBorder="1" applyProtection="1">
      <alignment vertical="center"/>
      <protection locked="0"/>
    </xf>
    <xf numFmtId="0" fontId="52" fillId="0" borderId="126" xfId="0" applyFont="1" applyBorder="1" applyProtection="1">
      <alignment vertical="center"/>
      <protection locked="0"/>
    </xf>
    <xf numFmtId="0" fontId="52" fillId="0" borderId="127" xfId="0" applyFont="1" applyBorder="1" applyAlignment="1" applyProtection="1">
      <alignment horizontal="left" vertical="center"/>
      <protection locked="0"/>
    </xf>
    <xf numFmtId="0" fontId="52" fillId="0" borderId="128" xfId="0" applyFont="1" applyBorder="1" applyProtection="1">
      <alignment vertical="center"/>
      <protection locked="0"/>
    </xf>
    <xf numFmtId="0" fontId="112" fillId="0" borderId="95" xfId="0" applyFont="1" applyBorder="1" applyProtection="1">
      <alignment vertical="center"/>
      <protection locked="0"/>
    </xf>
    <xf numFmtId="0" fontId="54" fillId="0" borderId="136" xfId="0" applyFont="1" applyBorder="1" applyAlignment="1" applyProtection="1">
      <alignment horizontal="center" vertical="center"/>
      <protection locked="0"/>
    </xf>
    <xf numFmtId="0" fontId="54" fillId="0" borderId="136" xfId="0" applyFont="1" applyBorder="1" applyAlignment="1" applyProtection="1">
      <alignment horizontal="center" vertical="center" wrapText="1"/>
      <protection locked="0"/>
    </xf>
    <xf numFmtId="179" fontId="52" fillId="0" borderId="0" xfId="0" applyNumberFormat="1" applyFont="1" applyProtection="1">
      <alignment vertical="center"/>
      <protection locked="0"/>
    </xf>
    <xf numFmtId="190" fontId="52" fillId="0" borderId="0" xfId="0" applyNumberFormat="1" applyFont="1" applyProtection="1">
      <alignment vertical="center"/>
      <protection locked="0"/>
    </xf>
    <xf numFmtId="49" fontId="52" fillId="0" borderId="0" xfId="0" applyNumberFormat="1" applyFont="1" applyProtection="1">
      <alignment vertical="center"/>
      <protection locked="0"/>
    </xf>
    <xf numFmtId="185" fontId="52" fillId="0" borderId="0" xfId="0" applyNumberFormat="1" applyFont="1" applyProtection="1">
      <alignment vertical="center"/>
      <protection locked="0"/>
    </xf>
    <xf numFmtId="189" fontId="52" fillId="0" borderId="0" xfId="0" applyNumberFormat="1" applyFont="1" applyProtection="1">
      <alignment vertical="center"/>
      <protection locked="0"/>
    </xf>
    <xf numFmtId="0" fontId="52" fillId="0" borderId="0" xfId="0" applyFont="1" applyAlignment="1" applyProtection="1">
      <alignment horizontal="right" vertical="center"/>
      <protection locked="0"/>
    </xf>
    <xf numFmtId="0" fontId="103" fillId="0" borderId="0" xfId="0" applyFont="1" applyProtection="1">
      <alignment vertical="center"/>
      <protection locked="0"/>
    </xf>
    <xf numFmtId="0" fontId="102" fillId="0" borderId="0" xfId="0" applyFont="1" applyProtection="1">
      <alignment vertical="center"/>
      <protection locked="0"/>
    </xf>
    <xf numFmtId="0" fontId="52" fillId="0" borderId="0" xfId="0" applyFont="1" applyAlignment="1" applyProtection="1">
      <alignment horizontal="right" vertical="center" wrapText="1"/>
      <protection locked="0"/>
    </xf>
    <xf numFmtId="0" fontId="52" fillId="0" borderId="127" xfId="0" applyFont="1" applyBorder="1" applyProtection="1">
      <alignment vertical="center"/>
      <protection locked="0"/>
    </xf>
    <xf numFmtId="193" fontId="52" fillId="0" borderId="132" xfId="0" applyNumberFormat="1" applyFont="1" applyBorder="1" applyAlignment="1" applyProtection="1">
      <alignment horizontal="center" vertical="center"/>
      <protection locked="0"/>
    </xf>
    <xf numFmtId="206" fontId="14" fillId="0" borderId="1" xfId="0" applyNumberFormat="1" applyFont="1" applyBorder="1" applyAlignment="1">
      <alignment horizontal="right" vertical="center"/>
    </xf>
    <xf numFmtId="213" fontId="52" fillId="11" borderId="119" xfId="0" applyNumberFormat="1" applyFont="1" applyFill="1" applyBorder="1" applyProtection="1">
      <alignment vertical="center"/>
      <protection locked="0"/>
    </xf>
    <xf numFmtId="0" fontId="52" fillId="11" borderId="117" xfId="0" applyFont="1" applyFill="1" applyBorder="1" applyProtection="1">
      <alignment vertical="center"/>
      <protection locked="0"/>
    </xf>
    <xf numFmtId="0" fontId="102" fillId="11" borderId="119" xfId="0" applyFont="1" applyFill="1" applyBorder="1" applyAlignment="1" applyProtection="1">
      <alignment horizontal="center" vertical="center"/>
      <protection locked="0"/>
    </xf>
    <xf numFmtId="0" fontId="52" fillId="11" borderId="51" xfId="0" applyFont="1" applyFill="1" applyBorder="1" applyProtection="1">
      <alignment vertical="center"/>
      <protection locked="0"/>
    </xf>
    <xf numFmtId="0" fontId="52" fillId="11" borderId="45" xfId="0" applyFont="1" applyFill="1" applyBorder="1" applyAlignment="1" applyProtection="1">
      <alignment horizontal="left" vertical="center"/>
      <protection locked="0"/>
    </xf>
    <xf numFmtId="0" fontId="52" fillId="11" borderId="52" xfId="0" applyFont="1" applyFill="1" applyBorder="1" applyProtection="1">
      <alignment vertical="center"/>
      <protection locked="0"/>
    </xf>
    <xf numFmtId="213" fontId="52" fillId="0" borderId="119" xfId="0" applyNumberFormat="1" applyFont="1" applyBorder="1" applyProtection="1">
      <alignment vertical="center"/>
      <protection locked="0"/>
    </xf>
    <xf numFmtId="216" fontId="54" fillId="0" borderId="108" xfId="0" applyNumberFormat="1" applyFont="1" applyBorder="1" applyAlignment="1" applyProtection="1">
      <alignment horizontal="center" vertical="center"/>
      <protection locked="0"/>
    </xf>
    <xf numFmtId="176" fontId="66" fillId="6" borderId="1" xfId="0" applyNumberFormat="1" applyFont="1" applyFill="1" applyBorder="1" applyAlignment="1">
      <alignment horizontal="center" vertical="center"/>
    </xf>
    <xf numFmtId="0" fontId="125" fillId="0" borderId="0" xfId="0" applyFont="1" applyAlignment="1" applyProtection="1">
      <alignment horizontal="center" vertical="center"/>
      <protection locked="0"/>
    </xf>
    <xf numFmtId="0" fontId="116" fillId="2" borderId="103" xfId="0" applyFont="1" applyFill="1" applyBorder="1" applyAlignment="1" applyProtection="1">
      <alignment horizontal="center" vertical="center"/>
      <protection locked="0"/>
    </xf>
    <xf numFmtId="0" fontId="116" fillId="4" borderId="33" xfId="0" applyFont="1" applyFill="1" applyBorder="1" applyAlignment="1" applyProtection="1">
      <alignment horizontal="left" vertical="center"/>
      <protection locked="0"/>
    </xf>
    <xf numFmtId="0" fontId="116" fillId="2" borderId="23" xfId="0" applyFont="1" applyFill="1" applyBorder="1" applyAlignment="1" applyProtection="1">
      <alignment horizontal="center" vertical="center"/>
      <protection locked="0"/>
    </xf>
    <xf numFmtId="0" fontId="116" fillId="4" borderId="24" xfId="0" applyFont="1" applyFill="1" applyBorder="1" applyProtection="1">
      <alignment vertical="center"/>
      <protection locked="0"/>
    </xf>
    <xf numFmtId="0" fontId="116" fillId="2" borderId="13" xfId="0" applyFont="1" applyFill="1" applyBorder="1" applyAlignment="1" applyProtection="1">
      <alignment horizontal="center" vertical="center"/>
      <protection locked="0"/>
    </xf>
    <xf numFmtId="0" fontId="116" fillId="0" borderId="24" xfId="0" applyFont="1" applyBorder="1" applyAlignment="1" applyProtection="1">
      <alignment horizontal="left" vertical="center" wrapText="1"/>
      <protection locked="0"/>
    </xf>
    <xf numFmtId="0" fontId="116" fillId="4" borderId="24" xfId="0" applyFont="1" applyFill="1" applyBorder="1" applyAlignment="1" applyProtection="1">
      <alignment horizontal="left" vertical="center"/>
      <protection locked="0"/>
    </xf>
    <xf numFmtId="0" fontId="116" fillId="2" borderId="83" xfId="0" applyFont="1" applyFill="1" applyBorder="1" applyAlignment="1" applyProtection="1">
      <alignment horizontal="center" vertical="center"/>
      <protection locked="0"/>
    </xf>
    <xf numFmtId="219" fontId="116" fillId="0" borderId="24" xfId="0" applyNumberFormat="1" applyFont="1" applyBorder="1" applyAlignment="1" applyProtection="1">
      <alignment horizontal="left" vertical="center"/>
      <protection locked="0"/>
    </xf>
    <xf numFmtId="0" fontId="116" fillId="2" borderId="164" xfId="0" applyFont="1" applyFill="1" applyBorder="1" applyAlignment="1" applyProtection="1">
      <alignment horizontal="center" vertical="center"/>
      <protection locked="0"/>
    </xf>
    <xf numFmtId="220" fontId="116" fillId="0" borderId="34" xfId="0" applyNumberFormat="1" applyFont="1" applyBorder="1" applyAlignment="1" applyProtection="1">
      <alignment horizontal="left" vertical="center"/>
      <protection locked="0"/>
    </xf>
    <xf numFmtId="0" fontId="116" fillId="11" borderId="0" xfId="0" applyFont="1" applyFill="1" applyAlignment="1" applyProtection="1">
      <alignment horizontal="center" vertical="center"/>
      <protection locked="0"/>
    </xf>
    <xf numFmtId="0" fontId="116" fillId="2" borderId="25" xfId="0" applyFont="1" applyFill="1" applyBorder="1" applyAlignment="1" applyProtection="1">
      <alignment horizontal="center" vertical="center"/>
      <protection locked="0"/>
    </xf>
    <xf numFmtId="0" fontId="116" fillId="4" borderId="34" xfId="0" applyFont="1" applyFill="1" applyBorder="1" applyAlignment="1" applyProtection="1">
      <alignment horizontal="left" vertical="center"/>
      <protection locked="0"/>
    </xf>
    <xf numFmtId="0" fontId="105" fillId="0" borderId="100" xfId="0" applyFont="1" applyBorder="1" applyProtection="1">
      <alignment vertical="center"/>
      <protection locked="0"/>
    </xf>
    <xf numFmtId="0" fontId="105" fillId="0" borderId="88" xfId="0" applyFont="1" applyBorder="1" applyProtection="1">
      <alignment vertical="center"/>
      <protection locked="0"/>
    </xf>
    <xf numFmtId="0" fontId="116" fillId="14" borderId="103" xfId="0" applyFont="1" applyFill="1" applyBorder="1" applyAlignment="1">
      <alignment horizontal="center" vertical="center"/>
    </xf>
    <xf numFmtId="0" fontId="116" fillId="14" borderId="104" xfId="0" applyFont="1" applyFill="1" applyBorder="1" applyAlignment="1">
      <alignment horizontal="left" vertical="center"/>
    </xf>
    <xf numFmtId="0" fontId="116" fillId="14" borderId="2" xfId="0" applyFont="1" applyFill="1" applyBorder="1" applyAlignment="1">
      <alignment horizontal="center" vertical="center"/>
    </xf>
    <xf numFmtId="0" fontId="116" fillId="14" borderId="163" xfId="0" applyFont="1" applyFill="1" applyBorder="1">
      <alignment vertical="center"/>
    </xf>
    <xf numFmtId="0" fontId="116" fillId="14" borderId="23" xfId="0" applyFont="1" applyFill="1" applyBorder="1" applyAlignment="1">
      <alignment horizontal="center" vertical="center"/>
    </xf>
    <xf numFmtId="0" fontId="116" fillId="14" borderId="12" xfId="0" applyFont="1" applyFill="1" applyBorder="1" applyAlignment="1">
      <alignment horizontal="left" vertical="center"/>
    </xf>
    <xf numFmtId="0" fontId="116" fillId="14" borderId="1" xfId="0" applyFont="1" applyFill="1" applyBorder="1" applyAlignment="1" applyProtection="1">
      <alignment horizontal="center" vertical="center"/>
      <protection locked="0"/>
    </xf>
    <xf numFmtId="0" fontId="116" fillId="14" borderId="24" xfId="0" applyFont="1" applyFill="1" applyBorder="1" applyProtection="1">
      <alignment vertical="center"/>
      <protection locked="0"/>
    </xf>
    <xf numFmtId="0" fontId="116" fillId="14" borderId="32" xfId="0" applyFont="1" applyFill="1" applyBorder="1" applyProtection="1">
      <alignment vertical="center"/>
      <protection locked="0"/>
    </xf>
    <xf numFmtId="0" fontId="116" fillId="14" borderId="31" xfId="0" applyFont="1" applyFill="1" applyBorder="1" applyAlignment="1" applyProtection="1">
      <alignment horizontal="center" vertical="center"/>
      <protection locked="0"/>
    </xf>
    <xf numFmtId="0" fontId="116" fillId="14" borderId="70" xfId="0" applyFont="1" applyFill="1" applyBorder="1" applyAlignment="1" applyProtection="1">
      <alignment horizontal="left" vertical="center"/>
      <protection locked="0"/>
    </xf>
    <xf numFmtId="0" fontId="116" fillId="14" borderId="16" xfId="0" applyFont="1" applyFill="1" applyBorder="1" applyAlignment="1" applyProtection="1">
      <alignment horizontal="center" vertical="center"/>
      <protection locked="0"/>
    </xf>
    <xf numFmtId="0" fontId="116" fillId="14" borderId="25" xfId="0" applyFont="1" applyFill="1" applyBorder="1" applyAlignment="1">
      <alignment horizontal="center" vertical="center"/>
    </xf>
    <xf numFmtId="0" fontId="116" fillId="14" borderId="30" xfId="0" applyFont="1" applyFill="1" applyBorder="1">
      <alignment vertical="center"/>
    </xf>
    <xf numFmtId="0" fontId="116" fillId="13" borderId="165" xfId="0" applyFont="1" applyFill="1" applyBorder="1" applyAlignment="1" applyProtection="1">
      <alignment horizontal="center" vertical="center"/>
      <protection locked="0"/>
    </xf>
    <xf numFmtId="0" fontId="116" fillId="13" borderId="34" xfId="0" applyFont="1" applyFill="1" applyBorder="1">
      <alignment vertical="center"/>
    </xf>
    <xf numFmtId="0" fontId="52" fillId="0" borderId="101" xfId="0" applyFont="1" applyBorder="1" applyProtection="1">
      <alignment vertical="center"/>
      <protection locked="0"/>
    </xf>
    <xf numFmtId="0" fontId="52" fillId="0" borderId="15" xfId="0" applyFont="1" applyBorder="1" applyProtection="1">
      <alignment vertical="center"/>
      <protection locked="0"/>
    </xf>
    <xf numFmtId="0" fontId="116" fillId="0" borderId="15" xfId="0" applyFont="1" applyBorder="1" applyProtection="1">
      <alignment vertical="center"/>
      <protection locked="0"/>
    </xf>
    <xf numFmtId="0" fontId="116" fillId="0" borderId="101" xfId="0" applyFont="1" applyBorder="1" applyProtection="1">
      <alignment vertical="center"/>
      <protection locked="0"/>
    </xf>
    <xf numFmtId="0" fontId="52" fillId="0" borderId="102" xfId="0" applyFont="1" applyBorder="1" applyProtection="1">
      <alignment vertical="center"/>
      <protection locked="0"/>
    </xf>
    <xf numFmtId="0" fontId="52" fillId="0" borderId="10" xfId="0" applyFont="1" applyBorder="1" applyProtection="1">
      <alignment vertical="center"/>
      <protection locked="0"/>
    </xf>
    <xf numFmtId="0" fontId="127" fillId="4" borderId="0" xfId="0" applyFont="1" applyFill="1" applyAlignment="1" applyProtection="1">
      <alignment horizontal="left" vertical="center"/>
      <protection locked="0"/>
    </xf>
    <xf numFmtId="0" fontId="116" fillId="13" borderId="1" xfId="0" applyFont="1" applyFill="1" applyBorder="1" applyAlignment="1">
      <alignment horizontal="center" vertical="center"/>
    </xf>
    <xf numFmtId="0" fontId="116" fillId="13" borderId="24" xfId="0" applyFont="1" applyFill="1" applyBorder="1" applyAlignment="1">
      <alignment horizontal="left" vertical="center" shrinkToFit="1"/>
    </xf>
    <xf numFmtId="0" fontId="116" fillId="13" borderId="24" xfId="0" applyFont="1" applyFill="1" applyBorder="1" applyAlignment="1">
      <alignment vertical="center" shrinkToFit="1"/>
    </xf>
    <xf numFmtId="0" fontId="116" fillId="13" borderId="30" xfId="0" applyFont="1" applyFill="1" applyBorder="1" applyAlignment="1">
      <alignment horizontal="center" vertical="center"/>
    </xf>
    <xf numFmtId="0" fontId="116" fillId="2" borderId="103" xfId="0" applyFont="1" applyFill="1" applyBorder="1" applyAlignment="1">
      <alignment horizontal="center" vertical="center"/>
    </xf>
    <xf numFmtId="0" fontId="116" fillId="4" borderId="33" xfId="0" applyFont="1" applyFill="1" applyBorder="1">
      <alignment vertical="center"/>
    </xf>
    <xf numFmtId="0" fontId="116" fillId="2" borderId="23" xfId="0" applyFont="1" applyFill="1" applyBorder="1" applyAlignment="1">
      <alignment horizontal="center" vertical="center"/>
    </xf>
    <xf numFmtId="0" fontId="116" fillId="4" borderId="24" xfId="0" applyFont="1" applyFill="1" applyBorder="1" applyAlignment="1">
      <alignment horizontal="left" vertical="center"/>
    </xf>
    <xf numFmtId="0" fontId="116" fillId="0" borderId="24" xfId="0" applyFont="1" applyBorder="1" applyAlignment="1">
      <alignment horizontal="left" vertical="center"/>
    </xf>
    <xf numFmtId="0" fontId="116" fillId="2" borderId="31" xfId="0" applyFont="1" applyFill="1" applyBorder="1" applyAlignment="1">
      <alignment horizontal="center" vertical="center"/>
    </xf>
    <xf numFmtId="219" fontId="116" fillId="0" borderId="24" xfId="0" applyNumberFormat="1" applyFont="1" applyBorder="1" applyAlignment="1">
      <alignment horizontal="left" vertical="center"/>
    </xf>
    <xf numFmtId="0" fontId="116" fillId="2" borderId="166" xfId="0" applyFont="1" applyFill="1" applyBorder="1" applyAlignment="1">
      <alignment horizontal="center" vertical="center"/>
    </xf>
    <xf numFmtId="220" fontId="116" fillId="0" borderId="34" xfId="0" applyNumberFormat="1" applyFont="1" applyBorder="1" applyAlignment="1">
      <alignment horizontal="left" vertical="center"/>
    </xf>
    <xf numFmtId="0" fontId="116" fillId="2" borderId="25" xfId="0" applyFont="1" applyFill="1" applyBorder="1" applyAlignment="1">
      <alignment horizontal="center" vertical="center"/>
    </xf>
    <xf numFmtId="0" fontId="116" fillId="4" borderId="34" xfId="0" applyFont="1" applyFill="1" applyBorder="1" applyAlignment="1">
      <alignment horizontal="left" vertical="center"/>
    </xf>
    <xf numFmtId="0" fontId="116" fillId="13" borderId="20" xfId="0" applyFont="1" applyFill="1" applyBorder="1" applyAlignment="1">
      <alignment horizontal="center" vertical="center"/>
    </xf>
    <xf numFmtId="0" fontId="116" fillId="13" borderId="21" xfId="0" applyFont="1" applyFill="1" applyBorder="1" applyAlignment="1">
      <alignment horizontal="left" vertical="center"/>
    </xf>
    <xf numFmtId="0" fontId="116" fillId="13" borderId="2" xfId="0" applyFont="1" applyFill="1" applyBorder="1" applyAlignment="1">
      <alignment horizontal="center" vertical="center"/>
    </xf>
    <xf numFmtId="0" fontId="116" fillId="13" borderId="33" xfId="0" applyFont="1" applyFill="1" applyBorder="1" applyAlignment="1">
      <alignment vertical="center" shrinkToFit="1"/>
    </xf>
    <xf numFmtId="0" fontId="116" fillId="13" borderId="23" xfId="0" applyFont="1" applyFill="1" applyBorder="1" applyAlignment="1">
      <alignment horizontal="center" vertical="center"/>
    </xf>
    <xf numFmtId="0" fontId="116" fillId="13" borderId="1" xfId="0" applyFont="1" applyFill="1" applyBorder="1" applyAlignment="1">
      <alignment horizontal="left" vertical="center"/>
    </xf>
    <xf numFmtId="0" fontId="116" fillId="13" borderId="24" xfId="0" applyFont="1" applyFill="1" applyBorder="1">
      <alignment vertical="center"/>
    </xf>
    <xf numFmtId="0" fontId="116" fillId="13" borderId="1" xfId="0" applyFont="1" applyFill="1" applyBorder="1" applyAlignment="1">
      <alignment horizontal="left" vertical="center" wrapText="1"/>
    </xf>
    <xf numFmtId="0" fontId="116" fillId="13" borderId="25" xfId="0" applyFont="1" applyFill="1" applyBorder="1" applyAlignment="1">
      <alignment horizontal="center" vertical="center"/>
    </xf>
    <xf numFmtId="0" fontId="116" fillId="13" borderId="30" xfId="0" applyFont="1" applyFill="1" applyBorder="1" applyAlignment="1">
      <alignment horizontal="left" vertical="center" wrapText="1"/>
    </xf>
    <xf numFmtId="0" fontId="117" fillId="0" borderId="0" xfId="0" applyFont="1" applyAlignment="1">
      <alignment horizontal="center" vertical="center"/>
    </xf>
    <xf numFmtId="0" fontId="116" fillId="0" borderId="167" xfId="0" applyFont="1" applyBorder="1" applyAlignment="1">
      <alignment horizontal="center" vertical="center"/>
    </xf>
    <xf numFmtId="0" fontId="116" fillId="0" borderId="145" xfId="0" applyFont="1" applyBorder="1">
      <alignment vertical="center"/>
    </xf>
    <xf numFmtId="0" fontId="116" fillId="0" borderId="147" xfId="0" applyFont="1" applyBorder="1">
      <alignment vertical="center"/>
    </xf>
    <xf numFmtId="217" fontId="128" fillId="0" borderId="34" xfId="0" applyNumberFormat="1" applyFont="1" applyBorder="1" applyAlignment="1">
      <alignment horizontal="center" vertical="center"/>
    </xf>
    <xf numFmtId="0" fontId="129" fillId="0" borderId="33" xfId="0" applyFont="1" applyBorder="1" applyAlignment="1">
      <alignment horizontal="center" vertical="center"/>
    </xf>
    <xf numFmtId="0" fontId="125" fillId="4" borderId="0" xfId="0" applyFont="1" applyFill="1" applyAlignment="1">
      <alignment horizontal="left" vertical="center"/>
    </xf>
    <xf numFmtId="0" fontId="52" fillId="2" borderId="162" xfId="0" applyFont="1" applyFill="1" applyBorder="1" applyProtection="1">
      <alignment vertical="center"/>
      <protection locked="0"/>
    </xf>
    <xf numFmtId="0" fontId="52" fillId="2" borderId="163" xfId="0" applyFont="1" applyFill="1" applyBorder="1" applyProtection="1">
      <alignment vertical="center"/>
      <protection locked="0"/>
    </xf>
    <xf numFmtId="0" fontId="108" fillId="2" borderId="162" xfId="0" applyFont="1" applyFill="1" applyBorder="1" applyProtection="1">
      <alignment vertical="center"/>
      <protection locked="0"/>
    </xf>
    <xf numFmtId="0" fontId="29" fillId="4" borderId="1" xfId="0" applyFont="1" applyFill="1" applyBorder="1" applyAlignment="1">
      <alignment horizontal="left" vertical="center"/>
    </xf>
    <xf numFmtId="0" fontId="78" fillId="0" borderId="9" xfId="0" applyFont="1" applyBorder="1" applyAlignment="1">
      <alignment horizontal="center" vertical="center"/>
    </xf>
    <xf numFmtId="178" fontId="6" fillId="0" borderId="0" xfId="0" quotePrefix="1" applyNumberFormat="1" applyFont="1" applyAlignment="1">
      <alignment horizontal="right" vertical="center"/>
    </xf>
    <xf numFmtId="206" fontId="6" fillId="0" borderId="0" xfId="0" applyNumberFormat="1" applyFont="1">
      <alignment vertical="center"/>
    </xf>
    <xf numFmtId="0" fontId="18" fillId="9" borderId="20" xfId="0" applyFont="1" applyFill="1" applyBorder="1" applyAlignment="1">
      <alignment horizontal="center" vertical="center"/>
    </xf>
    <xf numFmtId="0" fontId="18" fillId="9" borderId="21" xfId="0" applyFont="1" applyFill="1" applyBorder="1">
      <alignment vertical="center"/>
    </xf>
    <xf numFmtId="40" fontId="18" fillId="9" borderId="21" xfId="2" applyNumberFormat="1" applyFont="1" applyFill="1" applyBorder="1" applyAlignment="1">
      <alignment horizontal="center" vertical="center"/>
    </xf>
    <xf numFmtId="40" fontId="18" fillId="9" borderId="22" xfId="2" applyNumberFormat="1" applyFont="1" applyFill="1" applyBorder="1" applyAlignment="1">
      <alignment horizontal="center" vertical="center"/>
    </xf>
    <xf numFmtId="0" fontId="18" fillId="9" borderId="23" xfId="0" applyFont="1" applyFill="1" applyBorder="1" applyAlignment="1">
      <alignment horizontal="center" vertical="center"/>
    </xf>
    <xf numFmtId="0" fontId="18" fillId="9" borderId="1" xfId="0" applyFont="1" applyFill="1" applyBorder="1">
      <alignment vertical="center"/>
    </xf>
    <xf numFmtId="40" fontId="18" fillId="9" borderId="1" xfId="2" applyNumberFormat="1" applyFont="1" applyFill="1" applyBorder="1" applyAlignment="1">
      <alignment horizontal="center" vertical="center"/>
    </xf>
    <xf numFmtId="40" fontId="18" fillId="9" borderId="24" xfId="2" applyNumberFormat="1" applyFont="1" applyFill="1" applyBorder="1" applyAlignment="1">
      <alignment horizontal="center" vertical="center"/>
    </xf>
    <xf numFmtId="0" fontId="18" fillId="9" borderId="25" xfId="0" applyFont="1" applyFill="1" applyBorder="1" applyAlignment="1">
      <alignment horizontal="center" vertical="center"/>
    </xf>
    <xf numFmtId="206" fontId="16" fillId="4" borderId="0" xfId="0" applyNumberFormat="1" applyFont="1" applyFill="1" applyAlignment="1">
      <alignment horizontal="center"/>
    </xf>
    <xf numFmtId="206" fontId="40" fillId="4" borderId="0" xfId="0" applyNumberFormat="1" applyFont="1" applyFill="1" applyAlignment="1">
      <alignment horizontal="center"/>
    </xf>
    <xf numFmtId="0" fontId="16" fillId="4" borderId="0" xfId="0" applyFont="1" applyFill="1">
      <alignment vertical="center"/>
    </xf>
    <xf numFmtId="206" fontId="8" fillId="0" borderId="0" xfId="0" applyNumberFormat="1" applyFont="1" applyAlignment="1">
      <alignment horizontal="center"/>
    </xf>
    <xf numFmtId="0" fontId="82" fillId="10" borderId="0" xfId="0" applyFont="1" applyFill="1">
      <alignment vertical="center"/>
    </xf>
    <xf numFmtId="0" fontId="81" fillId="10" borderId="0" xfId="0" applyFont="1" applyFill="1" applyAlignment="1">
      <alignment horizontal="center" vertical="center"/>
    </xf>
    <xf numFmtId="182" fontId="5" fillId="4" borderId="0" xfId="0" applyNumberFormat="1" applyFont="1" applyFill="1" applyAlignment="1">
      <alignment horizontal="left" vertical="center"/>
    </xf>
    <xf numFmtId="179" fontId="4" fillId="4" borderId="0" xfId="0" applyNumberFormat="1" applyFont="1" applyFill="1">
      <alignment vertical="center"/>
    </xf>
    <xf numFmtId="0" fontId="5" fillId="4" borderId="0" xfId="0" applyFont="1" applyFill="1">
      <alignment vertical="center"/>
    </xf>
    <xf numFmtId="206" fontId="4" fillId="4" borderId="0" xfId="0" applyNumberFormat="1" applyFont="1" applyFill="1">
      <alignment vertical="center"/>
    </xf>
    <xf numFmtId="0" fontId="4" fillId="4" borderId="26" xfId="0" applyFont="1" applyFill="1" applyBorder="1">
      <alignment vertical="center"/>
    </xf>
    <xf numFmtId="49" fontId="66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right" vertical="center"/>
    </xf>
    <xf numFmtId="189" fontId="9" fillId="0" borderId="1" xfId="0" applyNumberFormat="1" applyFont="1" applyBorder="1" applyAlignment="1">
      <alignment horizontal="right" vertical="center"/>
    </xf>
    <xf numFmtId="176" fontId="4" fillId="0" borderId="1" xfId="0" applyNumberFormat="1" applyFont="1" applyBorder="1" applyAlignment="1">
      <alignment horizontal="left" vertical="center"/>
    </xf>
    <xf numFmtId="0" fontId="66" fillId="0" borderId="0" xfId="0" applyFont="1">
      <alignment vertical="center"/>
    </xf>
    <xf numFmtId="204" fontId="91" fillId="0" borderId="1" xfId="0" applyNumberFormat="1" applyFont="1" applyBorder="1" applyAlignment="1">
      <alignment horizontal="left" vertical="center"/>
    </xf>
    <xf numFmtId="221" fontId="6" fillId="0" borderId="0" xfId="0" applyNumberFormat="1" applyFont="1">
      <alignment vertical="center"/>
    </xf>
    <xf numFmtId="195" fontId="4" fillId="0" borderId="1" xfId="0" applyNumberFormat="1" applyFont="1" applyBorder="1" applyAlignment="1">
      <alignment horizontal="center" vertical="center"/>
    </xf>
    <xf numFmtId="185" fontId="6" fillId="0" borderId="1" xfId="0" applyNumberFormat="1" applyFont="1" applyBorder="1" applyAlignment="1">
      <alignment horizontal="right" vertical="center"/>
    </xf>
    <xf numFmtId="176" fontId="5" fillId="0" borderId="1" xfId="0" applyNumberFormat="1" applyFont="1" applyBorder="1" applyAlignment="1">
      <alignment horizontal="left" vertical="center"/>
    </xf>
    <xf numFmtId="176" fontId="131" fillId="0" borderId="1" xfId="0" applyNumberFormat="1" applyFont="1" applyBorder="1" applyAlignment="1">
      <alignment horizontal="left" vertical="center"/>
    </xf>
    <xf numFmtId="0" fontId="6" fillId="6" borderId="1" xfId="0" applyFont="1" applyFill="1" applyBorder="1" applyAlignment="1">
      <alignment horizontal="right" vertical="center"/>
    </xf>
    <xf numFmtId="192" fontId="6" fillId="0" borderId="1" xfId="0" applyNumberFormat="1" applyFont="1" applyBorder="1" applyAlignment="1">
      <alignment horizontal="right" vertical="center"/>
    </xf>
    <xf numFmtId="188" fontId="6" fillId="0" borderId="1" xfId="0" applyNumberFormat="1" applyFont="1" applyBorder="1" applyAlignment="1">
      <alignment horizontal="center" vertical="center"/>
    </xf>
    <xf numFmtId="180" fontId="6" fillId="0" borderId="1" xfId="0" applyNumberFormat="1" applyFont="1" applyBorder="1">
      <alignment vertical="center"/>
    </xf>
    <xf numFmtId="49" fontId="14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/>
    <xf numFmtId="0" fontId="14" fillId="0" borderId="1" xfId="0" applyFont="1" applyBorder="1" applyAlignment="1">
      <alignment horizontal="center"/>
    </xf>
    <xf numFmtId="189" fontId="66" fillId="0" borderId="1" xfId="0" applyNumberFormat="1" applyFont="1" applyBorder="1">
      <alignment vertical="center"/>
    </xf>
    <xf numFmtId="206" fontId="4" fillId="0" borderId="0" xfId="0" applyNumberFormat="1" applyFont="1">
      <alignment vertical="center"/>
    </xf>
    <xf numFmtId="191" fontId="12" fillId="0" borderId="1" xfId="0" applyNumberFormat="1" applyFont="1" applyBorder="1" applyAlignment="1">
      <alignment horizontal="center" vertical="center"/>
    </xf>
    <xf numFmtId="223" fontId="4" fillId="0" borderId="1" xfId="0" applyNumberFormat="1" applyFont="1" applyBorder="1" applyAlignment="1">
      <alignment horizontal="right" vertical="center"/>
    </xf>
    <xf numFmtId="195" fontId="17" fillId="0" borderId="0" xfId="0" applyNumberFormat="1" applyFont="1">
      <alignment vertical="center"/>
    </xf>
    <xf numFmtId="176" fontId="17" fillId="0" borderId="0" xfId="0" applyNumberFormat="1" applyFont="1">
      <alignment vertical="center"/>
    </xf>
    <xf numFmtId="178" fontId="17" fillId="0" borderId="0" xfId="0" applyNumberFormat="1" applyFont="1">
      <alignment vertical="center"/>
    </xf>
    <xf numFmtId="191" fontId="17" fillId="0" borderId="0" xfId="0" applyNumberFormat="1" applyFont="1">
      <alignment vertical="center"/>
    </xf>
    <xf numFmtId="192" fontId="17" fillId="0" borderId="0" xfId="0" applyNumberFormat="1" applyFont="1">
      <alignment vertical="center"/>
    </xf>
    <xf numFmtId="192" fontId="4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189" fontId="4" fillId="0" borderId="1" xfId="0" applyNumberFormat="1" applyFont="1" applyBorder="1" applyAlignment="1">
      <alignment horizontal="center" vertical="center"/>
    </xf>
    <xf numFmtId="0" fontId="83" fillId="0" borderId="0" xfId="0" applyFont="1" applyAlignment="1">
      <alignment horizontal="left" vertical="center"/>
    </xf>
    <xf numFmtId="0" fontId="136" fillId="0" borderId="1" xfId="0" applyFont="1" applyBorder="1" applyAlignment="1">
      <alignment horizontal="center"/>
    </xf>
    <xf numFmtId="0" fontId="137" fillId="0" borderId="0" xfId="0" applyFont="1" applyAlignment="1">
      <alignment horizontal="left" vertical="center"/>
    </xf>
    <xf numFmtId="0" fontId="138" fillId="0" borderId="0" xfId="0" applyFont="1" applyAlignment="1">
      <alignment horizontal="left" vertical="center"/>
    </xf>
    <xf numFmtId="176" fontId="65" fillId="0" borderId="1" xfId="0" applyNumberFormat="1" applyFont="1" applyBorder="1" applyAlignment="1">
      <alignment horizontal="center" vertical="center"/>
    </xf>
    <xf numFmtId="197" fontId="4" fillId="0" borderId="1" xfId="0" applyNumberFormat="1" applyFont="1" applyBorder="1">
      <alignment vertical="center"/>
    </xf>
    <xf numFmtId="0" fontId="4" fillId="0" borderId="13" xfId="0" applyFont="1" applyBorder="1" applyAlignment="1">
      <alignment horizontal="center" vertical="center"/>
    </xf>
    <xf numFmtId="0" fontId="4" fillId="0" borderId="1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6" fontId="6" fillId="0" borderId="1" xfId="5" applyFont="1" applyBorder="1" applyAlignment="1">
      <alignment vertical="center"/>
    </xf>
    <xf numFmtId="176" fontId="6" fillId="15" borderId="1" xfId="0" applyNumberFormat="1" applyFont="1" applyFill="1" applyBorder="1" applyAlignment="1">
      <alignment horizontal="center" vertical="center"/>
    </xf>
    <xf numFmtId="176" fontId="6" fillId="16" borderId="1" xfId="0" applyNumberFormat="1" applyFont="1" applyFill="1" applyBorder="1" applyAlignment="1">
      <alignment horizontal="center" vertical="center"/>
    </xf>
    <xf numFmtId="176" fontId="6" fillId="17" borderId="1" xfId="0" applyNumberFormat="1" applyFont="1" applyFill="1" applyBorder="1" applyAlignment="1">
      <alignment horizontal="center" vertical="center"/>
    </xf>
    <xf numFmtId="192" fontId="9" fillId="0" borderId="1" xfId="0" applyNumberFormat="1" applyFont="1" applyBorder="1">
      <alignment vertical="center"/>
    </xf>
    <xf numFmtId="224" fontId="6" fillId="0" borderId="1" xfId="5" applyNumberFormat="1" applyFont="1" applyBorder="1" applyAlignment="1">
      <alignment vertical="center"/>
    </xf>
    <xf numFmtId="176" fontId="67" fillId="0" borderId="1" xfId="0" applyNumberFormat="1" applyFont="1" applyBorder="1" applyAlignment="1">
      <alignment horizontal="center" vertical="center"/>
    </xf>
    <xf numFmtId="5" fontId="12" fillId="0" borderId="1" xfId="0" applyNumberFormat="1" applyFont="1" applyBorder="1">
      <alignment vertical="center"/>
    </xf>
    <xf numFmtId="5" fontId="6" fillId="0" borderId="1" xfId="0" applyNumberFormat="1" applyFont="1" applyBorder="1">
      <alignment vertical="center"/>
    </xf>
    <xf numFmtId="5" fontId="16" fillId="0" borderId="1" xfId="0" applyNumberFormat="1" applyFont="1" applyBorder="1">
      <alignment vertical="center"/>
    </xf>
    <xf numFmtId="185" fontId="4" fillId="0" borderId="1" xfId="0" applyNumberFormat="1" applyFont="1" applyBorder="1">
      <alignment vertical="center"/>
    </xf>
    <xf numFmtId="189" fontId="6" fillId="0" borderId="3" xfId="0" applyNumberFormat="1" applyFont="1" applyBorder="1">
      <alignment vertical="center"/>
    </xf>
    <xf numFmtId="188" fontId="0" fillId="0" borderId="0" xfId="0" applyNumberFormat="1">
      <alignment vertical="center"/>
    </xf>
    <xf numFmtId="178" fontId="0" fillId="0" borderId="0" xfId="0" applyNumberFormat="1">
      <alignment vertical="center"/>
    </xf>
    <xf numFmtId="176" fontId="70" fillId="0" borderId="1" xfId="0" applyNumberFormat="1" applyFon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183" fontId="6" fillId="0" borderId="1" xfId="0" applyNumberFormat="1" applyFont="1" applyBorder="1" applyAlignment="1">
      <alignment horizontal="center" vertical="center"/>
    </xf>
    <xf numFmtId="225" fontId="6" fillId="0" borderId="1" xfId="19" applyNumberFormat="1" applyFont="1" applyBorder="1" applyAlignment="1">
      <alignment horizontal="right" vertical="center"/>
    </xf>
    <xf numFmtId="187" fontId="24" fillId="0" borderId="1" xfId="0" applyNumberFormat="1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76" fontId="37" fillId="0" borderId="0" xfId="0" applyNumberFormat="1" applyFont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178" fontId="6" fillId="0" borderId="13" xfId="0" applyNumberFormat="1" applyFont="1" applyBorder="1" applyAlignment="1">
      <alignment horizontal="right" vertical="center"/>
    </xf>
    <xf numFmtId="0" fontId="34" fillId="7" borderId="1" xfId="0" applyFont="1" applyFill="1" applyBorder="1" applyAlignment="1">
      <alignment horizontal="center"/>
    </xf>
    <xf numFmtId="209" fontId="34" fillId="7" borderId="1" xfId="0" applyNumberFormat="1" applyFont="1" applyFill="1" applyBorder="1" applyAlignment="1">
      <alignment horizontal="center"/>
    </xf>
    <xf numFmtId="181" fontId="6" fillId="0" borderId="1" xfId="0" applyNumberFormat="1" applyFont="1" applyBorder="1" applyAlignment="1">
      <alignment horizontal="center" vertical="center"/>
    </xf>
    <xf numFmtId="176" fontId="23" fillId="0" borderId="1" xfId="0" applyNumberFormat="1" applyFont="1" applyBorder="1" applyAlignment="1">
      <alignment horizontal="center" vertical="center"/>
    </xf>
    <xf numFmtId="179" fontId="140" fillId="0" borderId="1" xfId="0" applyNumberFormat="1" applyFont="1" applyBorder="1" applyAlignment="1">
      <alignment horizontal="center" vertical="center" wrapText="1"/>
    </xf>
    <xf numFmtId="179" fontId="40" fillId="0" borderId="1" xfId="0" applyNumberFormat="1" applyFont="1" applyBorder="1" applyAlignment="1">
      <alignment horizontal="right" vertical="center" wrapText="1"/>
    </xf>
    <xf numFmtId="179" fontId="6" fillId="0" borderId="1" xfId="0" applyNumberFormat="1" applyFont="1" applyBorder="1" applyAlignment="1">
      <alignment horizontal="right" vertical="center" wrapText="1"/>
    </xf>
    <xf numFmtId="179" fontId="141" fillId="0" borderId="1" xfId="0" applyNumberFormat="1" applyFont="1" applyBorder="1" applyAlignment="1">
      <alignment horizontal="right" vertical="center" wrapText="1"/>
    </xf>
    <xf numFmtId="0" fontId="16" fillId="0" borderId="0" xfId="0" applyFont="1">
      <alignment vertical="center"/>
    </xf>
    <xf numFmtId="49" fontId="6" fillId="0" borderId="1" xfId="0" applyNumberFormat="1" applyFont="1" applyBorder="1" applyAlignment="1">
      <alignment horizontal="right" vertical="center"/>
    </xf>
    <xf numFmtId="0" fontId="142" fillId="0" borderId="1" xfId="0" applyFont="1" applyBorder="1" applyAlignment="1">
      <alignment horizontal="center" vertical="center"/>
    </xf>
    <xf numFmtId="191" fontId="70" fillId="0" borderId="1" xfId="0" applyNumberFormat="1" applyFont="1" applyBorder="1" applyAlignment="1">
      <alignment horizontal="right" vertical="center"/>
    </xf>
    <xf numFmtId="176" fontId="9" fillId="4" borderId="1" xfId="0" applyNumberFormat="1" applyFont="1" applyFill="1" applyBorder="1" applyAlignment="1">
      <alignment horizontal="center" vertical="center"/>
    </xf>
    <xf numFmtId="191" fontId="6" fillId="4" borderId="1" xfId="0" applyNumberFormat="1" applyFont="1" applyFill="1" applyBorder="1">
      <alignment vertical="center"/>
    </xf>
    <xf numFmtId="187" fontId="60" fillId="0" borderId="1" xfId="0" applyNumberFormat="1" applyFont="1" applyBorder="1" applyAlignment="1"/>
    <xf numFmtId="178" fontId="146" fillId="0" borderId="1" xfId="0" applyNumberFormat="1" applyFont="1" applyBorder="1" applyAlignment="1">
      <alignment horizontal="center" vertical="center"/>
    </xf>
    <xf numFmtId="0" fontId="145" fillId="0" borderId="1" xfId="0" applyFont="1" applyBorder="1" applyAlignment="1">
      <alignment horizontal="center" vertical="center"/>
    </xf>
    <xf numFmtId="187" fontId="60" fillId="0" borderId="1" xfId="0" applyNumberFormat="1" applyFont="1" applyBorder="1" applyAlignment="1">
      <alignment horizontal="right"/>
    </xf>
    <xf numFmtId="0" fontId="147" fillId="0" borderId="1" xfId="0" applyFont="1" applyBorder="1" applyAlignment="1">
      <alignment horizontal="center" vertical="center"/>
    </xf>
    <xf numFmtId="191" fontId="60" fillId="0" borderId="1" xfId="0" applyNumberFormat="1" applyFont="1" applyBorder="1">
      <alignment vertical="center"/>
    </xf>
    <xf numFmtId="189" fontId="79" fillId="0" borderId="1" xfId="0" applyNumberFormat="1" applyFont="1" applyBorder="1" applyAlignment="1">
      <alignment horizontal="left" vertical="center"/>
    </xf>
    <xf numFmtId="178" fontId="6" fillId="0" borderId="1" xfId="0" applyNumberFormat="1" applyFont="1" applyBorder="1" applyAlignment="1">
      <alignment horizontal="left" vertical="center"/>
    </xf>
    <xf numFmtId="0" fontId="148" fillId="0" borderId="0" xfId="0" applyFont="1" applyAlignment="1">
      <alignment horizontal="justify" vertical="center"/>
    </xf>
    <xf numFmtId="0" fontId="40" fillId="18" borderId="28" xfId="0" applyFont="1" applyFill="1" applyBorder="1" applyAlignment="1">
      <alignment horizontal="center" vertical="center"/>
    </xf>
    <xf numFmtId="0" fontId="149" fillId="18" borderId="29" xfId="0" applyFont="1" applyFill="1" applyBorder="1" applyAlignment="1">
      <alignment horizontal="center" vertical="center"/>
    </xf>
    <xf numFmtId="0" fontId="149" fillId="18" borderId="29" xfId="0" applyFont="1" applyFill="1" applyBorder="1" applyAlignment="1">
      <alignment horizontal="center" vertical="center" wrapText="1"/>
    </xf>
    <xf numFmtId="0" fontId="150" fillId="0" borderId="10" xfId="0" applyFont="1" applyBorder="1" applyAlignment="1">
      <alignment horizontal="center" vertical="center" wrapText="1"/>
    </xf>
    <xf numFmtId="0" fontId="5" fillId="19" borderId="9" xfId="0" applyFont="1" applyFill="1" applyBorder="1" applyAlignment="1">
      <alignment horizontal="center" vertical="center"/>
    </xf>
    <xf numFmtId="0" fontId="5" fillId="19" borderId="10" xfId="0" applyFont="1" applyFill="1" applyBorder="1" applyAlignment="1">
      <alignment horizontal="center" vertical="center"/>
    </xf>
    <xf numFmtId="0" fontId="150" fillId="19" borderId="10" xfId="0" applyFont="1" applyFill="1" applyBorder="1" applyAlignment="1">
      <alignment horizontal="center" vertical="center" wrapText="1"/>
    </xf>
    <xf numFmtId="0" fontId="151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 wrapText="1"/>
    </xf>
    <xf numFmtId="0" fontId="80" fillId="0" borderId="10" xfId="0" applyFont="1" applyBorder="1" applyAlignment="1">
      <alignment horizontal="center" vertical="center" wrapText="1"/>
    </xf>
    <xf numFmtId="0" fontId="80" fillId="19" borderId="10" xfId="0" applyFont="1" applyFill="1" applyBorder="1" applyAlignment="1">
      <alignment horizontal="center" vertical="center" wrapText="1"/>
    </xf>
    <xf numFmtId="191" fontId="18" fillId="0" borderId="1" xfId="0" applyNumberFormat="1" applyFont="1" applyBorder="1" applyAlignment="1">
      <alignment horizontal="center" vertical="center"/>
    </xf>
    <xf numFmtId="176" fontId="131" fillId="0" borderId="0" xfId="0" applyNumberFormat="1" applyFont="1" applyAlignment="1">
      <alignment horizontal="left" vertical="center"/>
    </xf>
    <xf numFmtId="176" fontId="33" fillId="0" borderId="1" xfId="0" applyNumberFormat="1" applyFont="1" applyBorder="1" applyAlignment="1">
      <alignment horizontal="center" vertical="center"/>
    </xf>
    <xf numFmtId="0" fontId="45" fillId="0" borderId="1" xfId="0" applyFont="1" applyBorder="1" applyAlignment="1">
      <alignment horizontal="center"/>
    </xf>
    <xf numFmtId="189" fontId="45" fillId="0" borderId="1" xfId="0" applyNumberFormat="1" applyFont="1" applyBorder="1" applyAlignment="1">
      <alignment horizontal="right" vertical="center"/>
    </xf>
    <xf numFmtId="189" fontId="33" fillId="0" borderId="1" xfId="0" applyNumberFormat="1" applyFont="1" applyBorder="1" applyAlignment="1">
      <alignment horizontal="right" vertical="center"/>
    </xf>
    <xf numFmtId="221" fontId="14" fillId="0" borderId="1" xfId="0" applyNumberFormat="1" applyFont="1" applyBorder="1" applyAlignment="1">
      <alignment horizontal="right" vertical="center"/>
    </xf>
    <xf numFmtId="0" fontId="14" fillId="0" borderId="1" xfId="0" applyFont="1" applyBorder="1" applyAlignment="1">
      <alignment horizontal="right" vertical="center"/>
    </xf>
    <xf numFmtId="226" fontId="6" fillId="0" borderId="1" xfId="0" applyNumberFormat="1" applyFont="1" applyBorder="1" applyAlignment="1">
      <alignment horizontal="center" vertical="center"/>
    </xf>
    <xf numFmtId="178" fontId="9" fillId="0" borderId="1" xfId="0" applyNumberFormat="1" applyFont="1" applyBorder="1" applyAlignment="1">
      <alignment horizontal="right" vertical="center"/>
    </xf>
    <xf numFmtId="0" fontId="150" fillId="0" borderId="1" xfId="0" applyFont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0" fontId="95" fillId="21" borderId="8" xfId="0" applyFont="1" applyFill="1" applyBorder="1" applyAlignment="1">
      <alignment horizontal="center" vertical="center" wrapText="1"/>
    </xf>
    <xf numFmtId="0" fontId="95" fillId="0" borderId="14" xfId="0" applyFont="1" applyBorder="1" applyAlignment="1">
      <alignment horizontal="center" vertical="center" wrapText="1"/>
    </xf>
    <xf numFmtId="0" fontId="95" fillId="20" borderId="10" xfId="0" applyFont="1" applyFill="1" applyBorder="1" applyAlignment="1">
      <alignment horizontal="center" vertical="center"/>
    </xf>
    <xf numFmtId="0" fontId="153" fillId="21" borderId="10" xfId="0" applyFont="1" applyFill="1" applyBorder="1" applyAlignment="1">
      <alignment horizontal="center" vertical="center" wrapText="1"/>
    </xf>
    <xf numFmtId="0" fontId="95" fillId="0" borderId="10" xfId="0" applyFont="1" applyBorder="1" applyAlignment="1">
      <alignment horizontal="center" vertical="center" wrapText="1"/>
    </xf>
    <xf numFmtId="0" fontId="154" fillId="0" borderId="9" xfId="0" applyFont="1" applyBorder="1">
      <alignment vertical="center"/>
    </xf>
    <xf numFmtId="203" fontId="95" fillId="0" borderId="10" xfId="0" applyNumberFormat="1" applyFont="1" applyBorder="1" applyAlignment="1">
      <alignment horizontal="right" vertical="center"/>
    </xf>
    <xf numFmtId="0" fontId="95" fillId="0" borderId="10" xfId="0" applyFont="1" applyBorder="1" applyAlignment="1">
      <alignment horizontal="right" vertical="center"/>
    </xf>
    <xf numFmtId="0" fontId="95" fillId="0" borderId="10" xfId="0" applyFont="1" applyBorder="1">
      <alignment vertical="center"/>
    </xf>
    <xf numFmtId="0" fontId="155" fillId="0" borderId="0" xfId="0" applyFont="1">
      <alignment vertical="center"/>
    </xf>
    <xf numFmtId="203" fontId="6" fillId="0" borderId="1" xfId="0" applyNumberFormat="1" applyFont="1" applyBorder="1" applyAlignment="1">
      <alignment horizontal="right" vertical="center"/>
    </xf>
    <xf numFmtId="203" fontId="16" fillId="0" borderId="1" xfId="0" applyNumberFormat="1" applyFont="1" applyBorder="1" applyAlignment="1">
      <alignment horizontal="right" vertical="center"/>
    </xf>
    <xf numFmtId="176" fontId="79" fillId="0" borderId="1" xfId="0" applyNumberFormat="1" applyFont="1" applyBorder="1" applyAlignment="1">
      <alignment horizontal="center" vertical="center"/>
    </xf>
    <xf numFmtId="190" fontId="18" fillId="0" borderId="1" xfId="0" applyNumberFormat="1" applyFont="1" applyBorder="1" applyAlignment="1">
      <alignment horizontal="center" vertical="center"/>
    </xf>
    <xf numFmtId="0" fontId="66" fillId="0" borderId="1" xfId="0" applyFont="1" applyBorder="1">
      <alignment vertical="center"/>
    </xf>
    <xf numFmtId="184" fontId="66" fillId="0" borderId="1" xfId="0" applyNumberFormat="1" applyFont="1" applyBorder="1" applyAlignment="1">
      <alignment horizontal="right" vertical="center"/>
    </xf>
    <xf numFmtId="0" fontId="66" fillId="0" borderId="1" xfId="0" applyFont="1" applyBorder="1" applyAlignment="1">
      <alignment horizontal="right" vertical="center"/>
    </xf>
    <xf numFmtId="189" fontId="70" fillId="0" borderId="1" xfId="0" applyNumberFormat="1" applyFont="1" applyBorder="1" applyAlignment="1">
      <alignment horizontal="right" vertical="center"/>
    </xf>
    <xf numFmtId="176" fontId="24" fillId="0" borderId="1" xfId="0" applyNumberFormat="1" applyFont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3" fontId="6" fillId="6" borderId="1" xfId="0" applyNumberFormat="1" applyFont="1" applyFill="1" applyBorder="1" applyAlignment="1">
      <alignment horizontal="right" vertical="center"/>
    </xf>
    <xf numFmtId="0" fontId="156" fillId="0" borderId="0" xfId="0" applyFont="1" applyAlignment="1">
      <alignment horizontal="justify" vertical="center"/>
    </xf>
    <xf numFmtId="0" fontId="71" fillId="20" borderId="7" xfId="0" applyFont="1" applyFill="1" applyBorder="1" applyAlignment="1">
      <alignment horizontal="center" vertical="center"/>
    </xf>
    <xf numFmtId="0" fontId="71" fillId="20" borderId="8" xfId="0" applyFont="1" applyFill="1" applyBorder="1" applyAlignment="1">
      <alignment horizontal="center" vertical="center"/>
    </xf>
    <xf numFmtId="0" fontId="72" fillId="20" borderId="8" xfId="0" applyFont="1" applyFill="1" applyBorder="1" applyAlignment="1">
      <alignment horizontal="center" vertical="center"/>
    </xf>
    <xf numFmtId="0" fontId="72" fillId="20" borderId="8" xfId="0" applyFont="1" applyFill="1" applyBorder="1" applyAlignment="1">
      <alignment horizontal="center" vertical="center" wrapText="1"/>
    </xf>
    <xf numFmtId="0" fontId="71" fillId="20" borderId="8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203" fontId="73" fillId="0" borderId="10" xfId="0" applyNumberFormat="1" applyFont="1" applyBorder="1" applyAlignment="1">
      <alignment horizontal="right" vertical="center"/>
    </xf>
    <xf numFmtId="0" fontId="69" fillId="20" borderId="7" xfId="0" applyFont="1" applyFill="1" applyBorder="1" applyAlignment="1">
      <alignment horizontal="center" vertical="center"/>
    </xf>
    <xf numFmtId="193" fontId="34" fillId="7" borderId="1" xfId="0" applyNumberFormat="1" applyFont="1" applyFill="1" applyBorder="1" applyAlignment="1">
      <alignment horizontal="center" vertical="center"/>
    </xf>
    <xf numFmtId="193" fontId="34" fillId="7" borderId="1" xfId="0" applyNumberFormat="1" applyFont="1" applyFill="1" applyBorder="1">
      <alignment vertical="center"/>
    </xf>
    <xf numFmtId="183" fontId="6" fillId="4" borderId="1" xfId="0" applyNumberFormat="1" applyFont="1" applyFill="1" applyBorder="1" applyAlignment="1">
      <alignment horizontal="right" vertical="center"/>
    </xf>
    <xf numFmtId="0" fontId="62" fillId="4" borderId="1" xfId="0" applyFont="1" applyFill="1" applyBorder="1" applyAlignment="1">
      <alignment horizontal="center" vertical="center"/>
    </xf>
    <xf numFmtId="6" fontId="89" fillId="0" borderId="1" xfId="31" applyFont="1" applyFill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5" fillId="0" borderId="1" xfId="23" applyFont="1" applyBorder="1" applyAlignment="1">
      <alignment horizontal="center" vertical="center"/>
    </xf>
    <xf numFmtId="198" fontId="20" fillId="0" borderId="1" xfId="0" applyNumberFormat="1" applyFont="1" applyBorder="1" applyAlignment="1">
      <alignment horizontal="center" vertical="center" shrinkToFit="1"/>
    </xf>
    <xf numFmtId="199" fontId="20" fillId="0" borderId="1" xfId="0" applyNumberFormat="1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/>
    </xf>
    <xf numFmtId="198" fontId="20" fillId="0" borderId="1" xfId="0" applyNumberFormat="1" applyFont="1" applyBorder="1" applyAlignment="1">
      <alignment horizontal="center" vertical="center"/>
    </xf>
    <xf numFmtId="199" fontId="20" fillId="0" borderId="1" xfId="0" applyNumberFormat="1" applyFont="1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180" fontId="5" fillId="0" borderId="1" xfId="0" applyNumberFormat="1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190" fontId="40" fillId="0" borderId="1" xfId="0" applyNumberFormat="1" applyFont="1" applyBorder="1" applyAlignment="1">
      <alignment horizontal="center" vertical="center"/>
    </xf>
    <xf numFmtId="206" fontId="5" fillId="0" borderId="1" xfId="0" applyNumberFormat="1" applyFont="1" applyBorder="1">
      <alignment vertical="center"/>
    </xf>
    <xf numFmtId="0" fontId="36" fillId="0" borderId="1" xfId="0" applyFont="1" applyBorder="1" applyAlignment="1">
      <alignment horizontal="center" vertical="center" wrapText="1"/>
    </xf>
    <xf numFmtId="203" fontId="36" fillId="0" borderId="1" xfId="0" applyNumberFormat="1" applyFont="1" applyBorder="1" applyAlignment="1">
      <alignment horizontal="right" vertical="center" wrapText="1"/>
    </xf>
    <xf numFmtId="189" fontId="5" fillId="0" borderId="1" xfId="0" applyNumberFormat="1" applyFont="1" applyBorder="1">
      <alignment vertical="center"/>
    </xf>
    <xf numFmtId="206" fontId="5" fillId="0" borderId="13" xfId="0" applyNumberFormat="1" applyFont="1" applyBorder="1" applyAlignment="1">
      <alignment horizontal="right" vertical="center"/>
    </xf>
    <xf numFmtId="0" fontId="36" fillId="0" borderId="1" xfId="0" applyFont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184" fontId="5" fillId="6" borderId="1" xfId="0" applyNumberFormat="1" applyFont="1" applyFill="1" applyBorder="1" applyAlignment="1">
      <alignment horizontal="right" vertical="center"/>
    </xf>
    <xf numFmtId="192" fontId="5" fillId="6" borderId="1" xfId="0" applyNumberFormat="1" applyFont="1" applyFill="1" applyBorder="1">
      <alignment vertical="center"/>
    </xf>
    <xf numFmtId="191" fontId="5" fillId="6" borderId="1" xfId="0" applyNumberFormat="1" applyFont="1" applyFill="1" applyBorder="1">
      <alignment vertical="center"/>
    </xf>
    <xf numFmtId="189" fontId="5" fillId="6" borderId="1" xfId="0" applyNumberFormat="1" applyFont="1" applyFill="1" applyBorder="1">
      <alignment vertical="center"/>
    </xf>
    <xf numFmtId="190" fontId="40" fillId="6" borderId="1" xfId="0" applyNumberFormat="1" applyFont="1" applyFill="1" applyBorder="1" applyAlignment="1">
      <alignment horizontal="center" vertical="center"/>
    </xf>
    <xf numFmtId="206" fontId="5" fillId="6" borderId="1" xfId="0" applyNumberFormat="1" applyFont="1" applyFill="1" applyBorder="1">
      <alignment vertical="center"/>
    </xf>
    <xf numFmtId="0" fontId="5" fillId="6" borderId="0" xfId="0" applyFont="1" applyFill="1">
      <alignment vertical="center"/>
    </xf>
    <xf numFmtId="0" fontId="5" fillId="6" borderId="0" xfId="0" applyFont="1" applyFill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0" fontId="159" fillId="0" borderId="1" xfId="0" applyFont="1" applyBorder="1" applyAlignment="1">
      <alignment horizontal="right" vertical="center"/>
    </xf>
    <xf numFmtId="0" fontId="31" fillId="0" borderId="1" xfId="0" applyFont="1" applyBorder="1" applyAlignment="1">
      <alignment horizontal="right" vertical="center"/>
    </xf>
    <xf numFmtId="0" fontId="160" fillId="0" borderId="1" xfId="0" applyFont="1" applyBorder="1" applyAlignment="1">
      <alignment horizontal="center" vertical="center"/>
    </xf>
    <xf numFmtId="189" fontId="6" fillId="6" borderId="12" xfId="0" applyNumberFormat="1" applyFont="1" applyFill="1" applyBorder="1">
      <alignment vertical="center"/>
    </xf>
    <xf numFmtId="227" fontId="161" fillId="0" borderId="0" xfId="19" applyNumberFormat="1" applyFont="1">
      <alignment vertical="center"/>
    </xf>
    <xf numFmtId="0" fontId="38" fillId="4" borderId="0" xfId="0" applyFont="1" applyFill="1">
      <alignment vertical="center"/>
    </xf>
    <xf numFmtId="0" fontId="40" fillId="0" borderId="1" xfId="0" applyFont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49" fontId="5" fillId="6" borderId="1" xfId="0" applyNumberFormat="1" applyFont="1" applyFill="1" applyBorder="1" applyAlignment="1">
      <alignment horizontal="center" vertical="center"/>
    </xf>
    <xf numFmtId="0" fontId="136" fillId="0" borderId="0" xfId="0" applyFont="1" applyAlignment="1">
      <alignment horizontal="center" vertical="center"/>
    </xf>
    <xf numFmtId="49" fontId="45" fillId="0" borderId="1" xfId="0" applyNumberFormat="1" applyFont="1" applyBorder="1" applyAlignment="1">
      <alignment horizontal="center" vertical="center"/>
    </xf>
    <xf numFmtId="208" fontId="45" fillId="0" borderId="1" xfId="0" applyNumberFormat="1" applyFont="1" applyBorder="1" applyAlignment="1">
      <alignment horizontal="center" vertical="center"/>
    </xf>
    <xf numFmtId="208" fontId="45" fillId="0" borderId="1" xfId="0" applyNumberFormat="1" applyFont="1" applyBorder="1" applyAlignment="1">
      <alignment horizontal="center" vertical="center" wrapText="1"/>
    </xf>
    <xf numFmtId="209" fontId="45" fillId="0" borderId="1" xfId="0" applyNumberFormat="1" applyFont="1" applyBorder="1" applyAlignment="1">
      <alignment horizontal="center" vertical="center" wrapText="1"/>
    </xf>
    <xf numFmtId="0" fontId="38" fillId="0" borderId="0" xfId="0" applyFont="1">
      <alignment vertical="center"/>
    </xf>
    <xf numFmtId="49" fontId="36" fillId="0" borderId="1" xfId="0" applyNumberFormat="1" applyFont="1" applyBorder="1" applyAlignment="1">
      <alignment horizontal="center"/>
    </xf>
    <xf numFmtId="202" fontId="36" fillId="0" borderId="1" xfId="0" applyNumberFormat="1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193" fontId="36" fillId="0" borderId="1" xfId="0" applyNumberFormat="1" applyFont="1" applyBorder="1" applyAlignment="1">
      <alignment horizontal="right" vertical="center"/>
    </xf>
    <xf numFmtId="228" fontId="31" fillId="0" borderId="1" xfId="0" applyNumberFormat="1" applyFont="1" applyBorder="1">
      <alignment vertical="center"/>
    </xf>
    <xf numFmtId="227" fontId="36" fillId="0" borderId="0" xfId="19" applyNumberFormat="1" applyFont="1" applyAlignment="1"/>
    <xf numFmtId="0" fontId="36" fillId="0" borderId="0" xfId="0" applyFont="1" applyAlignment="1"/>
    <xf numFmtId="0" fontId="36" fillId="0" borderId="0" xfId="0" applyFont="1">
      <alignment vertical="center"/>
    </xf>
    <xf numFmtId="209" fontId="33" fillId="0" borderId="0" xfId="0" applyNumberFormat="1" applyFont="1" applyAlignment="1">
      <alignment horizontal="center" vertical="center" wrapText="1"/>
    </xf>
    <xf numFmtId="229" fontId="36" fillId="0" borderId="1" xfId="0" applyNumberFormat="1" applyFont="1" applyBorder="1" applyAlignment="1">
      <alignment horizontal="center"/>
    </xf>
    <xf numFmtId="190" fontId="163" fillId="0" borderId="0" xfId="0" applyNumberFormat="1" applyFont="1" applyAlignment="1">
      <alignment horizontal="left" vertical="center"/>
    </xf>
    <xf numFmtId="0" fontId="45" fillId="0" borderId="1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205" fontId="45" fillId="0" borderId="1" xfId="7" applyFont="1" applyFill="1" applyBorder="1" applyAlignment="1">
      <alignment horizontal="center" vertical="center" wrapText="1"/>
    </xf>
    <xf numFmtId="205" fontId="33" fillId="0" borderId="0" xfId="7" applyFont="1" applyFill="1" applyBorder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228" fontId="61" fillId="0" borderId="0" xfId="0" applyNumberFormat="1" applyFont="1" applyAlignment="1">
      <alignment horizontal="center" vertical="center"/>
    </xf>
    <xf numFmtId="9" fontId="36" fillId="0" borderId="0" xfId="19" applyFont="1" applyFill="1" applyAlignment="1">
      <alignment horizontal="center"/>
    </xf>
    <xf numFmtId="0" fontId="36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222" fontId="36" fillId="0" borderId="1" xfId="0" applyNumberFormat="1" applyFont="1" applyBorder="1" applyAlignment="1">
      <alignment horizontal="right" vertical="center" wrapText="1"/>
    </xf>
    <xf numFmtId="0" fontId="165" fillId="0" borderId="1" xfId="0" applyFont="1" applyBorder="1" applyAlignment="1">
      <alignment horizontal="center" vertical="center"/>
    </xf>
    <xf numFmtId="188" fontId="5" fillId="0" borderId="1" xfId="0" applyNumberFormat="1" applyFont="1" applyBorder="1" applyAlignment="1"/>
    <xf numFmtId="0" fontId="108" fillId="0" borderId="0" xfId="0" applyFont="1">
      <alignment vertical="center"/>
    </xf>
    <xf numFmtId="0" fontId="166" fillId="0" borderId="171" xfId="0" applyFont="1" applyBorder="1" applyAlignment="1">
      <alignment horizontal="center" vertical="center" wrapText="1"/>
    </xf>
    <xf numFmtId="0" fontId="167" fillId="0" borderId="171" xfId="0" applyFont="1" applyBorder="1" applyAlignment="1">
      <alignment horizontal="center" vertical="center" wrapText="1"/>
    </xf>
    <xf numFmtId="0" fontId="87" fillId="0" borderId="171" xfId="0" applyFont="1" applyBorder="1" applyAlignment="1">
      <alignment horizontal="center" vertical="center" wrapText="1"/>
    </xf>
    <xf numFmtId="0" fontId="36" fillId="0" borderId="171" xfId="0" applyFont="1" applyBorder="1" applyAlignment="1">
      <alignment horizontal="center" vertical="center" wrapText="1"/>
    </xf>
    <xf numFmtId="6" fontId="169" fillId="0" borderId="171" xfId="0" applyNumberFormat="1" applyFont="1" applyBorder="1" applyAlignment="1">
      <alignment horizontal="center" vertical="center" wrapText="1"/>
    </xf>
    <xf numFmtId="10" fontId="170" fillId="22" borderId="171" xfId="19" applyNumberFormat="1" applyFont="1" applyFill="1" applyBorder="1">
      <alignment vertical="center"/>
    </xf>
    <xf numFmtId="205" fontId="170" fillId="22" borderId="171" xfId="0" applyNumberFormat="1" applyFont="1" applyFill="1" applyBorder="1" applyAlignment="1">
      <alignment horizontal="center" vertical="center"/>
    </xf>
    <xf numFmtId="231" fontId="87" fillId="0" borderId="171" xfId="0" applyNumberFormat="1" applyFont="1" applyBorder="1" applyAlignment="1">
      <alignment horizontal="center" vertical="center" wrapText="1"/>
    </xf>
    <xf numFmtId="0" fontId="171" fillId="0" borderId="171" xfId="0" applyFont="1" applyBorder="1" applyAlignment="1">
      <alignment horizontal="center" vertical="center"/>
    </xf>
    <xf numFmtId="0" fontId="171" fillId="0" borderId="171" xfId="0" quotePrefix="1" applyFont="1" applyBorder="1" applyAlignment="1">
      <alignment horizontal="center" vertical="center"/>
    </xf>
    <xf numFmtId="0" fontId="171" fillId="0" borderId="0" xfId="0" applyFont="1" applyAlignment="1">
      <alignment horizontal="center" vertical="center"/>
    </xf>
    <xf numFmtId="0" fontId="171" fillId="0" borderId="0" xfId="0" quotePrefix="1" applyFont="1" applyAlignment="1">
      <alignment horizontal="center" vertical="center"/>
    </xf>
    <xf numFmtId="230" fontId="172" fillId="22" borderId="0" xfId="0" applyNumberFormat="1" applyFont="1" applyFill="1" applyAlignment="1">
      <alignment horizontal="center" vertical="center" wrapText="1"/>
    </xf>
    <xf numFmtId="10" fontId="170" fillId="22" borderId="0" xfId="19" applyNumberFormat="1" applyFont="1" applyFill="1" applyBorder="1">
      <alignment vertical="center"/>
    </xf>
    <xf numFmtId="205" fontId="170" fillId="22" borderId="0" xfId="0" applyNumberFormat="1" applyFont="1" applyFill="1" applyAlignment="1">
      <alignment horizontal="center" vertical="center"/>
    </xf>
    <xf numFmtId="206" fontId="172" fillId="22" borderId="171" xfId="0" applyNumberFormat="1" applyFont="1" applyFill="1" applyBorder="1" applyAlignment="1">
      <alignment horizontal="center" vertical="center" wrapText="1"/>
    </xf>
    <xf numFmtId="206" fontId="14" fillId="0" borderId="1" xfId="0" applyNumberFormat="1" applyFont="1" applyBorder="1" applyAlignment="1">
      <alignment horizontal="center" vertical="center" wrapText="1"/>
    </xf>
    <xf numFmtId="0" fontId="173" fillId="0" borderId="171" xfId="0" applyFont="1" applyBorder="1" applyAlignment="1">
      <alignment horizontal="center" vertical="center" wrapText="1"/>
    </xf>
    <xf numFmtId="0" fontId="175" fillId="22" borderId="171" xfId="0" applyFont="1" applyFill="1" applyBorder="1" applyAlignment="1">
      <alignment horizontal="center" vertical="center"/>
    </xf>
    <xf numFmtId="6" fontId="176" fillId="0" borderId="171" xfId="0" applyNumberFormat="1" applyFont="1" applyBorder="1" applyAlignment="1">
      <alignment horizontal="center" vertical="center" wrapText="1"/>
    </xf>
    <xf numFmtId="10" fontId="177" fillId="22" borderId="171" xfId="19" applyNumberFormat="1" applyFont="1" applyFill="1" applyBorder="1">
      <alignment vertical="center"/>
    </xf>
    <xf numFmtId="0" fontId="178" fillId="0" borderId="1" xfId="11" applyFont="1" applyBorder="1" applyAlignment="1">
      <alignment horizontal="center" vertical="center" wrapText="1"/>
    </xf>
    <xf numFmtId="0" fontId="160" fillId="0" borderId="1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vertical="center" shrinkToFit="1"/>
    </xf>
    <xf numFmtId="0" fontId="36" fillId="0" borderId="0" xfId="0" applyFont="1" applyAlignment="1">
      <alignment vertical="center" shrinkToFit="1"/>
    </xf>
    <xf numFmtId="0" fontId="36" fillId="0" borderId="1" xfId="0" applyFont="1" applyBorder="1" applyAlignment="1">
      <alignment horizontal="center" vertical="center" shrinkToFit="1"/>
    </xf>
    <xf numFmtId="205" fontId="36" fillId="0" borderId="0" xfId="0" applyNumberFormat="1" applyFont="1" applyAlignment="1">
      <alignment horizontal="center" vertical="center" shrinkToFit="1"/>
    </xf>
    <xf numFmtId="10" fontId="77" fillId="0" borderId="0" xfId="19" applyNumberFormat="1" applyFont="1">
      <alignment vertical="center"/>
    </xf>
    <xf numFmtId="232" fontId="36" fillId="0" borderId="1" xfId="0" applyNumberFormat="1" applyFont="1" applyBorder="1" applyAlignment="1">
      <alignment horizontal="center" vertical="center" wrapText="1" shrinkToFit="1"/>
    </xf>
    <xf numFmtId="206" fontId="36" fillId="0" borderId="1" xfId="0" applyNumberFormat="1" applyFont="1" applyBorder="1" applyAlignment="1">
      <alignment horizontal="center" vertical="center" shrinkToFit="1"/>
    </xf>
    <xf numFmtId="6" fontId="176" fillId="0" borderId="0" xfId="0" applyNumberFormat="1" applyFont="1" applyAlignment="1">
      <alignment horizontal="center" vertical="center" wrapText="1"/>
    </xf>
    <xf numFmtId="10" fontId="177" fillId="22" borderId="0" xfId="19" applyNumberFormat="1" applyFont="1" applyFill="1" applyBorder="1">
      <alignment vertical="center"/>
    </xf>
    <xf numFmtId="205" fontId="177" fillId="22" borderId="0" xfId="0" applyNumberFormat="1" applyFont="1" applyFill="1" applyAlignment="1">
      <alignment horizontal="center" vertical="center"/>
    </xf>
    <xf numFmtId="205" fontId="36" fillId="0" borderId="1" xfId="0" applyNumberFormat="1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91" fontId="45" fillId="0" borderId="1" xfId="0" applyNumberFormat="1" applyFont="1" applyBorder="1" applyAlignment="1">
      <alignment horizontal="center" vertical="center"/>
    </xf>
    <xf numFmtId="216" fontId="36" fillId="0" borderId="1" xfId="0" applyNumberFormat="1" applyFont="1" applyBorder="1" applyAlignment="1">
      <alignment horizontal="center" vertical="center"/>
    </xf>
    <xf numFmtId="216" fontId="36" fillId="0" borderId="1" xfId="0" applyNumberFormat="1" applyFont="1" applyBorder="1" applyAlignment="1">
      <alignment horizontal="center" vertical="center" shrinkToFit="1"/>
    </xf>
    <xf numFmtId="231" fontId="36" fillId="0" borderId="1" xfId="0" applyNumberFormat="1" applyFont="1" applyBorder="1" applyAlignment="1">
      <alignment horizontal="center" vertical="center"/>
    </xf>
    <xf numFmtId="0" fontId="179" fillId="7" borderId="19" xfId="0" applyFont="1" applyFill="1" applyBorder="1" applyAlignment="1">
      <alignment horizontal="center" vertical="center"/>
    </xf>
    <xf numFmtId="0" fontId="36" fillId="0" borderId="17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206" fontId="14" fillId="0" borderId="0" xfId="0" applyNumberFormat="1" applyFont="1" applyAlignment="1">
      <alignment horizontal="center" vertical="center" wrapText="1"/>
    </xf>
    <xf numFmtId="206" fontId="180" fillId="0" borderId="1" xfId="0" applyNumberFormat="1" applyFont="1" applyBorder="1" applyAlignment="1">
      <alignment horizontal="center" vertical="center" wrapText="1"/>
    </xf>
    <xf numFmtId="228" fontId="14" fillId="0" borderId="1" xfId="0" applyNumberFormat="1" applyFont="1" applyBorder="1" applyAlignment="1">
      <alignment horizontal="center" vertical="center" wrapText="1"/>
    </xf>
    <xf numFmtId="0" fontId="181" fillId="7" borderId="1" xfId="0" applyFont="1" applyFill="1" applyBorder="1" applyAlignment="1">
      <alignment horizontal="center" vertical="top"/>
    </xf>
    <xf numFmtId="233" fontId="181" fillId="7" borderId="1" xfId="0" applyNumberFormat="1" applyFont="1" applyFill="1" applyBorder="1" applyAlignment="1">
      <alignment horizontal="center" vertical="top"/>
    </xf>
    <xf numFmtId="234" fontId="181" fillId="7" borderId="1" xfId="0" applyNumberFormat="1" applyFont="1" applyFill="1" applyBorder="1" applyAlignment="1">
      <alignment horizontal="center" vertical="top"/>
    </xf>
    <xf numFmtId="0" fontId="182" fillId="7" borderId="1" xfId="0" applyFont="1" applyFill="1" applyBorder="1" applyAlignment="1">
      <alignment horizontal="center" vertical="top"/>
    </xf>
    <xf numFmtId="49" fontId="181" fillId="0" borderId="1" xfId="0" applyNumberFormat="1" applyFont="1" applyBorder="1" applyAlignment="1">
      <alignment horizontal="center" vertical="center"/>
    </xf>
    <xf numFmtId="233" fontId="181" fillId="0" borderId="1" xfId="0" applyNumberFormat="1" applyFont="1" applyBorder="1" applyAlignment="1">
      <alignment horizontal="center" vertical="center"/>
    </xf>
    <xf numFmtId="0" fontId="182" fillId="0" borderId="1" xfId="0" applyFont="1" applyBorder="1" applyAlignment="1">
      <alignment horizontal="center" vertical="center"/>
    </xf>
    <xf numFmtId="234" fontId="181" fillId="0" borderId="1" xfId="0" applyNumberFormat="1" applyFont="1" applyBorder="1">
      <alignment vertical="center"/>
    </xf>
    <xf numFmtId="179" fontId="36" fillId="0" borderId="1" xfId="0" applyNumberFormat="1" applyFont="1" applyBorder="1" applyAlignment="1">
      <alignment horizontal="center" vertical="center" wrapText="1"/>
    </xf>
    <xf numFmtId="0" fontId="183" fillId="0" borderId="1" xfId="0" applyFont="1" applyBorder="1" applyAlignment="1">
      <alignment horizontal="left" vertical="center"/>
    </xf>
    <xf numFmtId="191" fontId="36" fillId="0" borderId="1" xfId="0" applyNumberFormat="1" applyFont="1" applyBorder="1">
      <alignment vertical="center"/>
    </xf>
    <xf numFmtId="192" fontId="36" fillId="0" borderId="1" xfId="0" applyNumberFormat="1" applyFont="1" applyBorder="1">
      <alignment vertical="center"/>
    </xf>
    <xf numFmtId="0" fontId="36" fillId="0" borderId="3" xfId="0" applyFont="1" applyBorder="1" applyAlignment="1">
      <alignment horizontal="center"/>
    </xf>
    <xf numFmtId="178" fontId="36" fillId="0" borderId="1" xfId="0" applyNumberFormat="1" applyFont="1" applyBorder="1" applyAlignment="1">
      <alignment horizontal="right" vertical="center"/>
    </xf>
    <xf numFmtId="189" fontId="36" fillId="0" borderId="1" xfId="0" applyNumberFormat="1" applyFont="1" applyBorder="1">
      <alignment vertical="center"/>
    </xf>
    <xf numFmtId="180" fontId="36" fillId="0" borderId="1" xfId="0" applyNumberFormat="1" applyFont="1" applyBorder="1" applyAlignment="1">
      <alignment horizontal="right" vertical="center"/>
    </xf>
    <xf numFmtId="184" fontId="36" fillId="0" borderId="1" xfId="0" applyNumberFormat="1" applyFont="1" applyBorder="1" applyAlignment="1">
      <alignment horizontal="right" vertical="center"/>
    </xf>
    <xf numFmtId="189" fontId="160" fillId="0" borderId="1" xfId="0" applyNumberFormat="1" applyFont="1" applyBorder="1" applyAlignment="1">
      <alignment horizontal="center" vertical="center"/>
    </xf>
    <xf numFmtId="189" fontId="160" fillId="0" borderId="1" xfId="0" applyNumberFormat="1" applyFont="1" applyBorder="1">
      <alignment vertical="center"/>
    </xf>
    <xf numFmtId="0" fontId="14" fillId="0" borderId="0" xfId="0" applyFont="1" applyAlignment="1"/>
    <xf numFmtId="236" fontId="36" fillId="0" borderId="0" xfId="0" applyNumberFormat="1" applyFont="1" applyAlignment="1">
      <alignment horizontal="center" vertical="center" shrinkToFit="1"/>
    </xf>
    <xf numFmtId="49" fontId="38" fillId="0" borderId="1" xfId="0" applyNumberFormat="1" applyFont="1" applyBorder="1" applyAlignment="1">
      <alignment horizontal="center" vertical="center"/>
    </xf>
    <xf numFmtId="187" fontId="38" fillId="0" borderId="1" xfId="0" applyNumberFormat="1" applyFont="1" applyBorder="1" applyAlignment="1">
      <alignment horizontal="center" vertical="center"/>
    </xf>
    <xf numFmtId="208" fontId="38" fillId="0" borderId="1" xfId="0" applyNumberFormat="1" applyFont="1" applyBorder="1" applyAlignment="1">
      <alignment horizontal="center" vertical="center"/>
    </xf>
    <xf numFmtId="208" fontId="38" fillId="0" borderId="1" xfId="0" applyNumberFormat="1" applyFont="1" applyBorder="1" applyAlignment="1">
      <alignment horizontal="center" vertical="center" wrapText="1"/>
    </xf>
    <xf numFmtId="209" fontId="38" fillId="0" borderId="1" xfId="0" applyNumberFormat="1" applyFont="1" applyBorder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/>
    </xf>
    <xf numFmtId="235" fontId="14" fillId="0" borderId="1" xfId="0" applyNumberFormat="1" applyFont="1" applyBorder="1" applyAlignment="1">
      <alignment horizontal="center"/>
    </xf>
    <xf numFmtId="202" fontId="14" fillId="0" borderId="1" xfId="0" applyNumberFormat="1" applyFont="1" applyBorder="1" applyAlignment="1">
      <alignment horizontal="center"/>
    </xf>
    <xf numFmtId="193" fontId="14" fillId="0" borderId="1" xfId="0" applyNumberFormat="1" applyFont="1" applyBorder="1" applyAlignment="1">
      <alignment horizontal="right" vertical="center"/>
    </xf>
    <xf numFmtId="187" fontId="14" fillId="0" borderId="1" xfId="0" applyNumberFormat="1" applyFont="1" applyBorder="1" applyAlignment="1">
      <alignment horizontal="center"/>
    </xf>
    <xf numFmtId="0" fontId="116" fillId="0" borderId="144" xfId="0" applyFont="1" applyBorder="1" applyAlignment="1">
      <alignment horizontal="center" vertical="center"/>
    </xf>
    <xf numFmtId="0" fontId="186" fillId="0" borderId="0" xfId="0" applyFont="1" applyAlignment="1">
      <alignment horizontal="center" vertical="center"/>
    </xf>
    <xf numFmtId="0" fontId="183" fillId="0" borderId="1" xfId="0" applyFont="1" applyBorder="1" applyAlignment="1">
      <alignment horizontal="center" vertical="center"/>
    </xf>
    <xf numFmtId="0" fontId="186" fillId="0" borderId="1" xfId="0" applyFont="1" applyBorder="1" applyAlignment="1">
      <alignment horizontal="center" vertical="center"/>
    </xf>
    <xf numFmtId="0" fontId="185" fillId="0" borderId="1" xfId="0" applyFont="1" applyBorder="1" applyAlignment="1">
      <alignment horizontal="center" vertical="center"/>
    </xf>
    <xf numFmtId="0" fontId="18" fillId="0" borderId="0" xfId="0" applyFont="1">
      <alignment vertical="center"/>
    </xf>
    <xf numFmtId="0" fontId="136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 wrapText="1"/>
    </xf>
    <xf numFmtId="9" fontId="77" fillId="0" borderId="1" xfId="19" applyFont="1" applyBorder="1">
      <alignment vertical="center"/>
    </xf>
    <xf numFmtId="0" fontId="77" fillId="0" borderId="1" xfId="0" applyFont="1" applyBorder="1">
      <alignment vertical="center"/>
    </xf>
    <xf numFmtId="9" fontId="77" fillId="0" borderId="0" xfId="19" applyFont="1">
      <alignment vertical="center"/>
    </xf>
    <xf numFmtId="49" fontId="183" fillId="0" borderId="1" xfId="0" applyNumberFormat="1" applyFont="1" applyBorder="1" applyAlignment="1">
      <alignment horizontal="center" vertical="center" wrapText="1"/>
    </xf>
    <xf numFmtId="0" fontId="190" fillId="0" borderId="0" xfId="0" applyFont="1">
      <alignment vertical="center"/>
    </xf>
    <xf numFmtId="0" fontId="181" fillId="0" borderId="0" xfId="0" applyFont="1" applyAlignment="1">
      <alignment horizontal="left" vertical="top"/>
    </xf>
    <xf numFmtId="0" fontId="181" fillId="0" borderId="0" xfId="0" applyFont="1">
      <alignment vertical="center"/>
    </xf>
    <xf numFmtId="0" fontId="192" fillId="7" borderId="1" xfId="0" applyFont="1" applyFill="1" applyBorder="1" applyAlignment="1">
      <alignment horizontal="left" vertical="top"/>
    </xf>
    <xf numFmtId="234" fontId="17" fillId="7" borderId="1" xfId="0" applyNumberFormat="1" applyFont="1" applyFill="1" applyBorder="1" applyAlignment="1">
      <alignment horizontal="left" vertical="top"/>
    </xf>
    <xf numFmtId="228" fontId="17" fillId="7" borderId="1" xfId="0" applyNumberFormat="1" applyFont="1" applyFill="1" applyBorder="1" applyAlignment="1">
      <alignment horizontal="left" vertical="top" wrapText="1"/>
    </xf>
    <xf numFmtId="49" fontId="17" fillId="0" borderId="1" xfId="0" applyNumberFormat="1" applyFont="1" applyBorder="1" applyAlignment="1">
      <alignment horizontal="center" vertical="center"/>
    </xf>
    <xf numFmtId="234" fontId="17" fillId="0" borderId="1" xfId="0" applyNumberFormat="1" applyFont="1" applyBorder="1">
      <alignment vertical="center"/>
    </xf>
    <xf numFmtId="228" fontId="17" fillId="0" borderId="1" xfId="0" applyNumberFormat="1" applyFont="1" applyBorder="1">
      <alignment vertical="center"/>
    </xf>
    <xf numFmtId="0" fontId="17" fillId="0" borderId="1" xfId="0" applyFont="1" applyBorder="1">
      <alignment vertical="center"/>
    </xf>
    <xf numFmtId="187" fontId="45" fillId="7" borderId="1" xfId="0" applyNumberFormat="1" applyFont="1" applyFill="1" applyBorder="1" applyAlignment="1">
      <alignment horizontal="center" vertical="center"/>
    </xf>
    <xf numFmtId="208" fontId="45" fillId="7" borderId="1" xfId="0" applyNumberFormat="1" applyFont="1" applyFill="1" applyBorder="1" applyAlignment="1">
      <alignment horizontal="center" vertical="center" wrapText="1"/>
    </xf>
    <xf numFmtId="0" fontId="45" fillId="7" borderId="1" xfId="0" applyFont="1" applyFill="1" applyBorder="1" applyAlignment="1">
      <alignment horizontal="center" vertical="center"/>
    </xf>
    <xf numFmtId="209" fontId="45" fillId="7" borderId="1" xfId="0" applyNumberFormat="1" applyFont="1" applyFill="1" applyBorder="1" applyAlignment="1">
      <alignment horizontal="center" vertical="center" wrapText="1"/>
    </xf>
    <xf numFmtId="0" fontId="45" fillId="0" borderId="0" xfId="0" applyFont="1">
      <alignment vertical="center"/>
    </xf>
    <xf numFmtId="187" fontId="36" fillId="0" borderId="1" xfId="0" applyNumberFormat="1" applyFont="1" applyBorder="1" applyAlignment="1">
      <alignment horizontal="center"/>
    </xf>
    <xf numFmtId="0" fontId="193" fillId="0" borderId="0" xfId="0" applyFont="1">
      <alignment vertical="center"/>
    </xf>
    <xf numFmtId="237" fontId="36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 wrapText="1"/>
    </xf>
    <xf numFmtId="238" fontId="36" fillId="0" borderId="0" xfId="0" applyNumberFormat="1" applyFont="1" applyAlignment="1">
      <alignment horizontal="center" vertical="center" shrinkToFit="1"/>
    </xf>
    <xf numFmtId="238" fontId="0" fillId="0" borderId="0" xfId="0" applyNumberFormat="1" applyAlignment="1">
      <alignment horizontal="center" vertical="center"/>
    </xf>
    <xf numFmtId="239" fontId="2" fillId="0" borderId="0" xfId="0" applyNumberFormat="1" applyFont="1" applyAlignment="1">
      <alignment horizontal="center" vertical="center"/>
    </xf>
    <xf numFmtId="239" fontId="0" fillId="0" borderId="0" xfId="0" applyNumberFormat="1" applyAlignment="1">
      <alignment horizontal="center" vertical="center"/>
    </xf>
    <xf numFmtId="49" fontId="160" fillId="7" borderId="1" xfId="0" applyNumberFormat="1" applyFont="1" applyFill="1" applyBorder="1" applyAlignment="1">
      <alignment horizontal="center" vertical="center"/>
    </xf>
    <xf numFmtId="49" fontId="36" fillId="0" borderId="1" xfId="0" applyNumberFormat="1" applyFont="1" applyBorder="1" applyAlignment="1">
      <alignment horizontal="center" vertical="center"/>
    </xf>
    <xf numFmtId="198" fontId="36" fillId="0" borderId="1" xfId="0" applyNumberFormat="1" applyFont="1" applyBorder="1" applyAlignment="1">
      <alignment horizontal="center" vertical="center"/>
    </xf>
    <xf numFmtId="206" fontId="36" fillId="0" borderId="1" xfId="0" applyNumberFormat="1" applyFont="1" applyBorder="1" applyAlignment="1">
      <alignment horizontal="right" vertical="center"/>
    </xf>
    <xf numFmtId="0" fontId="45" fillId="0" borderId="1" xfId="0" applyFont="1" applyBorder="1" applyAlignment="1">
      <alignment horizontal="center" vertical="center" wrapText="1" shrinkToFit="1"/>
    </xf>
    <xf numFmtId="206" fontId="36" fillId="0" borderId="1" xfId="0" applyNumberFormat="1" applyFont="1" applyBorder="1" applyAlignment="1">
      <alignment horizontal="center" vertical="center"/>
    </xf>
    <xf numFmtId="0" fontId="14" fillId="0" borderId="0" xfId="19" applyNumberFormat="1" applyFont="1" applyAlignment="1"/>
    <xf numFmtId="9" fontId="14" fillId="0" borderId="0" xfId="19" applyFont="1" applyAlignment="1"/>
    <xf numFmtId="0" fontId="192" fillId="0" borderId="0" xfId="0" applyFont="1" applyAlignment="1">
      <alignment horizontal="center" vertical="center"/>
    </xf>
    <xf numFmtId="176" fontId="183" fillId="0" borderId="1" xfId="0" applyNumberFormat="1" applyFont="1" applyBorder="1" applyAlignment="1">
      <alignment horizontal="center" vertical="center"/>
    </xf>
    <xf numFmtId="240" fontId="5" fillId="0" borderId="1" xfId="0" applyNumberFormat="1" applyFont="1" applyBorder="1">
      <alignment vertical="center"/>
    </xf>
    <xf numFmtId="240" fontId="45" fillId="0" borderId="1" xfId="0" applyNumberFormat="1" applyFont="1" applyBorder="1" applyAlignment="1">
      <alignment horizontal="right" vertical="center"/>
    </xf>
    <xf numFmtId="49" fontId="5" fillId="0" borderId="3" xfId="0" applyNumberFormat="1" applyFont="1" applyBorder="1" applyAlignment="1">
      <alignment horizontal="center" vertical="center" wrapText="1"/>
    </xf>
    <xf numFmtId="186" fontId="5" fillId="0" borderId="1" xfId="0" applyNumberFormat="1" applyFont="1" applyBorder="1">
      <alignment vertical="center"/>
    </xf>
    <xf numFmtId="0" fontId="160" fillId="0" borderId="1" xfId="11" applyFont="1" applyBorder="1" applyAlignment="1">
      <alignment horizontal="center" vertical="center"/>
    </xf>
    <xf numFmtId="0" fontId="45" fillId="0" borderId="1" xfId="11" applyFont="1" applyBorder="1" applyAlignment="1">
      <alignment horizontal="center" vertical="center"/>
    </xf>
    <xf numFmtId="0" fontId="45" fillId="0" borderId="1" xfId="11" applyFont="1" applyBorder="1" applyAlignment="1">
      <alignment horizontal="center" vertical="center" wrapText="1"/>
    </xf>
    <xf numFmtId="0" fontId="192" fillId="0" borderId="0" xfId="0" applyFont="1">
      <alignment vertical="center"/>
    </xf>
    <xf numFmtId="0" fontId="196" fillId="0" borderId="1" xfId="11" applyFont="1" applyBorder="1" applyAlignment="1">
      <alignment horizontal="center" vertical="center" wrapText="1"/>
    </xf>
    <xf numFmtId="49" fontId="178" fillId="0" borderId="1" xfId="0" applyNumberFormat="1" applyFont="1" applyBorder="1" applyAlignment="1">
      <alignment horizontal="center" vertical="center" wrapText="1"/>
    </xf>
    <xf numFmtId="0" fontId="199" fillId="0" borderId="1" xfId="0" applyFont="1" applyBorder="1" applyAlignment="1">
      <alignment horizontal="center" vertical="center" wrapText="1"/>
    </xf>
    <xf numFmtId="9" fontId="36" fillId="0" borderId="1" xfId="19" applyFont="1" applyFill="1" applyBorder="1" applyAlignment="1">
      <alignment horizontal="center" vertical="center"/>
    </xf>
    <xf numFmtId="0" fontId="200" fillId="0" borderId="1" xfId="0" applyFont="1" applyBorder="1" applyAlignment="1">
      <alignment horizontal="center" vertical="center"/>
    </xf>
    <xf numFmtId="205" fontId="89" fillId="0" borderId="1" xfId="7" applyFont="1" applyFill="1" applyBorder="1" applyAlignment="1">
      <alignment horizontal="center" vertical="center"/>
    </xf>
    <xf numFmtId="0" fontId="90" fillId="0" borderId="1" xfId="0" applyFont="1" applyBorder="1" applyAlignment="1">
      <alignment horizontal="justify" vertical="center" wrapText="1"/>
    </xf>
    <xf numFmtId="205" fontId="89" fillId="0" borderId="1" xfId="7" applyFont="1" applyFill="1" applyBorder="1" applyAlignment="1">
      <alignment horizontal="center" vertical="center" wrapText="1"/>
    </xf>
    <xf numFmtId="0" fontId="116" fillId="0" borderId="146" xfId="0" applyFont="1" applyBorder="1" applyAlignment="1">
      <alignment horizontal="center" vertical="center"/>
    </xf>
    <xf numFmtId="0" fontId="201" fillId="0" borderId="0" xfId="0" applyFont="1">
      <alignment vertical="center"/>
    </xf>
    <xf numFmtId="205" fontId="178" fillId="0" borderId="1" xfId="7" applyFont="1" applyFill="1" applyBorder="1" applyAlignment="1">
      <alignment horizontal="center" vertical="center" wrapText="1"/>
    </xf>
    <xf numFmtId="0" fontId="133" fillId="0" borderId="0" xfId="0" applyFont="1">
      <alignment vertical="center"/>
    </xf>
    <xf numFmtId="189" fontId="5" fillId="0" borderId="0" xfId="0" applyNumberFormat="1" applyFont="1" applyAlignment="1">
      <alignment horizontal="center" vertical="center"/>
    </xf>
    <xf numFmtId="0" fontId="183" fillId="0" borderId="1" xfId="0" applyFont="1" applyBorder="1">
      <alignment vertical="center"/>
    </xf>
    <xf numFmtId="178" fontId="5" fillId="0" borderId="0" xfId="0" applyNumberFormat="1" applyFont="1" applyAlignment="1">
      <alignment horizontal="right" vertical="center"/>
    </xf>
    <xf numFmtId="0" fontId="183" fillId="0" borderId="0" xfId="0" applyFont="1">
      <alignment vertical="center"/>
    </xf>
    <xf numFmtId="241" fontId="5" fillId="0" borderId="1" xfId="0" applyNumberFormat="1" applyFont="1" applyBorder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3" fillId="0" borderId="1" xfId="0" applyFont="1" applyBorder="1">
      <alignment vertical="center"/>
    </xf>
    <xf numFmtId="206" fontId="90" fillId="0" borderId="1" xfId="0" applyNumberFormat="1" applyFont="1" applyBorder="1" applyAlignment="1">
      <alignment horizontal="center" vertical="center" wrapText="1"/>
    </xf>
    <xf numFmtId="0" fontId="90" fillId="0" borderId="3" xfId="0" applyFont="1" applyBorder="1" applyAlignment="1">
      <alignment horizontal="center" vertical="center" wrapText="1"/>
    </xf>
    <xf numFmtId="203" fontId="52" fillId="0" borderId="132" xfId="0" applyNumberFormat="1" applyFont="1" applyBorder="1" applyAlignment="1" applyProtection="1">
      <alignment horizontal="center" vertical="center"/>
      <protection locked="0"/>
    </xf>
    <xf numFmtId="0" fontId="159" fillId="0" borderId="3" xfId="0" applyFont="1" applyBorder="1" applyAlignment="1">
      <alignment horizontal="left" vertical="center"/>
    </xf>
    <xf numFmtId="0" fontId="159" fillId="0" borderId="0" xfId="0" applyFont="1" applyAlignment="1">
      <alignment horizontal="left" vertical="center"/>
    </xf>
    <xf numFmtId="183" fontId="5" fillId="0" borderId="1" xfId="0" applyNumberFormat="1" applyFont="1" applyBorder="1" applyAlignment="1">
      <alignment horizontal="right" vertical="center"/>
    </xf>
    <xf numFmtId="242" fontId="205" fillId="0" borderId="1" xfId="0" applyNumberFormat="1" applyFont="1" applyBorder="1" applyAlignment="1">
      <alignment horizontal="left" vertical="top"/>
    </xf>
    <xf numFmtId="38" fontId="205" fillId="0" borderId="1" xfId="2" applyFont="1" applyFill="1" applyBorder="1" applyAlignment="1">
      <alignment horizontal="center" wrapText="1"/>
    </xf>
    <xf numFmtId="0" fontId="209" fillId="0" borderId="0" xfId="0" applyFont="1" applyAlignment="1"/>
    <xf numFmtId="242" fontId="205" fillId="0" borderId="1" xfId="2" applyNumberFormat="1" applyFont="1" applyFill="1" applyBorder="1" applyAlignment="1">
      <alignment horizontal="center" vertical="center"/>
    </xf>
    <xf numFmtId="0" fontId="209" fillId="0" borderId="1" xfId="36" applyFont="1" applyFill="1" applyBorder="1">
      <alignment vertical="center"/>
    </xf>
    <xf numFmtId="0" fontId="209" fillId="0" borderId="1" xfId="0" applyFont="1" applyBorder="1">
      <alignment vertical="center"/>
    </xf>
    <xf numFmtId="242" fontId="209" fillId="0" borderId="1" xfId="0" applyNumberFormat="1" applyFont="1" applyBorder="1" applyProtection="1">
      <alignment vertical="center"/>
      <protection hidden="1"/>
    </xf>
    <xf numFmtId="0" fontId="209" fillId="0" borderId="1" xfId="0" applyFont="1" applyBorder="1" applyAlignment="1">
      <alignment horizontal="center" vertical="center"/>
    </xf>
    <xf numFmtId="243" fontId="209" fillId="0" borderId="1" xfId="0" applyNumberFormat="1" applyFont="1" applyBorder="1">
      <alignment vertical="center"/>
    </xf>
    <xf numFmtId="9" fontId="36" fillId="0" borderId="1" xfId="19" applyFont="1" applyFill="1" applyBorder="1" applyAlignment="1">
      <alignment horizontal="right" vertical="center"/>
    </xf>
    <xf numFmtId="0" fontId="200" fillId="0" borderId="1" xfId="0" applyFont="1" applyBorder="1" applyAlignment="1">
      <alignment horizontal="right" vertical="center"/>
    </xf>
    <xf numFmtId="0" fontId="211" fillId="0" borderId="0" xfId="0" applyFont="1">
      <alignment vertical="center"/>
    </xf>
    <xf numFmtId="0" fontId="83" fillId="0" borderId="7" xfId="0" applyFont="1" applyBorder="1" applyAlignment="1">
      <alignment horizontal="right" vertical="center"/>
    </xf>
    <xf numFmtId="0" fontId="49" fillId="0" borderId="8" xfId="0" applyFont="1" applyBorder="1" applyAlignment="1"/>
    <xf numFmtId="0" fontId="83" fillId="0" borderId="9" xfId="0" applyFont="1" applyBorder="1" applyAlignment="1">
      <alignment horizontal="right" vertical="center"/>
    </xf>
    <xf numFmtId="0" fontId="9" fillId="0" borderId="10" xfId="0" applyFont="1" applyBorder="1">
      <alignment vertical="center"/>
    </xf>
    <xf numFmtId="0" fontId="137" fillId="0" borderId="10" xfId="0" applyFont="1" applyBorder="1">
      <alignment vertical="center"/>
    </xf>
    <xf numFmtId="0" fontId="83" fillId="0" borderId="0" xfId="0" applyFont="1" applyAlignment="1">
      <alignment horizontal="right" vertical="center"/>
    </xf>
    <xf numFmtId="0" fontId="137" fillId="0" borderId="0" xfId="0" applyFont="1">
      <alignment vertical="center"/>
    </xf>
    <xf numFmtId="0" fontId="213" fillId="0" borderId="0" xfId="37" applyAlignment="1">
      <alignment vertical="center" wrapText="1"/>
    </xf>
    <xf numFmtId="244" fontId="215" fillId="0" borderId="0" xfId="18" applyNumberFormat="1" applyFont="1"/>
    <xf numFmtId="245" fontId="215" fillId="0" borderId="0" xfId="18" applyNumberFormat="1" applyFont="1"/>
    <xf numFmtId="0" fontId="13" fillId="0" borderId="0" xfId="18" applyFont="1"/>
    <xf numFmtId="0" fontId="215" fillId="0" borderId="0" xfId="18" applyFont="1"/>
    <xf numFmtId="0" fontId="214" fillId="0" borderId="0" xfId="18" applyFont="1" applyAlignment="1">
      <alignment horizontal="center"/>
    </xf>
    <xf numFmtId="0" fontId="214" fillId="0" borderId="0" xfId="18" applyFont="1" applyAlignment="1">
      <alignment horizontal="right"/>
    </xf>
    <xf numFmtId="49" fontId="217" fillId="0" borderId="0" xfId="18" applyNumberFormat="1" applyFont="1"/>
    <xf numFmtId="0" fontId="214" fillId="0" borderId="0" xfId="18" applyFont="1"/>
    <xf numFmtId="0" fontId="218" fillId="0" borderId="0" xfId="18" applyFont="1" applyAlignment="1">
      <alignment horizontal="center"/>
    </xf>
    <xf numFmtId="0" fontId="219" fillId="0" borderId="0" xfId="18" applyFont="1" applyAlignment="1">
      <alignment vertical="center"/>
    </xf>
    <xf numFmtId="49" fontId="218" fillId="0" borderId="0" xfId="18" applyNumberFormat="1" applyFont="1"/>
    <xf numFmtId="0" fontId="116" fillId="0" borderId="152" xfId="0" quotePrefix="1" applyFont="1" applyBorder="1" applyAlignment="1">
      <alignment horizontal="left" vertical="center"/>
    </xf>
    <xf numFmtId="0" fontId="220" fillId="0" borderId="0" xfId="0" applyFont="1">
      <alignment vertical="center"/>
    </xf>
    <xf numFmtId="0" fontId="221" fillId="0" borderId="0" xfId="0" applyFont="1">
      <alignment vertical="center"/>
    </xf>
    <xf numFmtId="0" fontId="40" fillId="0" borderId="3" xfId="0" applyFont="1" applyBorder="1" applyAlignment="1">
      <alignment horizontal="center" vertical="center"/>
    </xf>
    <xf numFmtId="0" fontId="224" fillId="0" borderId="1" xfId="0" applyFont="1" applyBorder="1" applyAlignment="1">
      <alignment horizontal="center" vertical="center"/>
    </xf>
    <xf numFmtId="0" fontId="183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center" vertical="center" wrapText="1"/>
    </xf>
    <xf numFmtId="49" fontId="45" fillId="7" borderId="1" xfId="0" applyNumberFormat="1" applyFont="1" applyFill="1" applyBorder="1" applyAlignment="1">
      <alignment horizontal="center" vertical="center"/>
    </xf>
    <xf numFmtId="208" fontId="45" fillId="7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235" fontId="36" fillId="0" borderId="1" xfId="0" applyNumberFormat="1" applyFont="1" applyBorder="1" applyAlignment="1">
      <alignment horizontal="center"/>
    </xf>
    <xf numFmtId="0" fontId="91" fillId="0" borderId="1" xfId="0" applyFont="1" applyBorder="1" applyAlignment="1">
      <alignment horizontal="center" vertical="center"/>
    </xf>
    <xf numFmtId="49" fontId="42" fillId="0" borderId="1" xfId="0" applyNumberFormat="1" applyFont="1" applyBorder="1" applyAlignment="1">
      <alignment horizontal="left" vertical="center"/>
    </xf>
    <xf numFmtId="49" fontId="88" fillId="0" borderId="1" xfId="0" applyNumberFormat="1" applyFont="1" applyBorder="1" applyAlignment="1">
      <alignment horizontal="center" vertical="center"/>
    </xf>
    <xf numFmtId="178" fontId="36" fillId="0" borderId="1" xfId="0" applyNumberFormat="1" applyFont="1" applyBorder="1" applyAlignment="1">
      <alignment horizontal="center" vertical="center"/>
    </xf>
    <xf numFmtId="189" fontId="36" fillId="0" borderId="1" xfId="0" applyNumberFormat="1" applyFont="1" applyBorder="1" applyAlignment="1">
      <alignment horizontal="center" vertical="center"/>
    </xf>
    <xf numFmtId="49" fontId="45" fillId="23" borderId="1" xfId="0" applyNumberFormat="1" applyFont="1" applyFill="1" applyBorder="1" applyAlignment="1">
      <alignment horizontal="center" vertical="center"/>
    </xf>
    <xf numFmtId="0" fontId="45" fillId="23" borderId="1" xfId="0" applyFont="1" applyFill="1" applyBorder="1" applyAlignment="1">
      <alignment horizontal="center" vertical="center"/>
    </xf>
    <xf numFmtId="187" fontId="45" fillId="23" borderId="1" xfId="0" applyNumberFormat="1" applyFont="1" applyFill="1" applyBorder="1" applyAlignment="1">
      <alignment horizontal="center" vertical="center" wrapText="1"/>
    </xf>
    <xf numFmtId="208" fontId="45" fillId="23" borderId="1" xfId="0" applyNumberFormat="1" applyFont="1" applyFill="1" applyBorder="1" applyAlignment="1">
      <alignment horizontal="center" vertical="center" wrapText="1"/>
    </xf>
    <xf numFmtId="246" fontId="45" fillId="23" borderId="1" xfId="7" applyNumberFormat="1" applyFont="1" applyFill="1" applyBorder="1" applyAlignment="1">
      <alignment horizontal="center" vertical="center" wrapText="1"/>
    </xf>
    <xf numFmtId="0" fontId="177" fillId="0" borderId="0" xfId="0" applyFont="1" applyAlignment="1">
      <alignment horizontal="right" vertical="center"/>
    </xf>
    <xf numFmtId="247" fontId="36" fillId="0" borderId="1" xfId="0" applyNumberFormat="1" applyFont="1" applyBorder="1" applyAlignment="1">
      <alignment horizontal="center"/>
    </xf>
    <xf numFmtId="10" fontId="177" fillId="0" borderId="0" xfId="19" applyNumberFormat="1" applyFont="1">
      <alignment vertical="center"/>
    </xf>
    <xf numFmtId="0" fontId="177" fillId="0" borderId="0" xfId="0" applyFont="1">
      <alignment vertical="center"/>
    </xf>
    <xf numFmtId="248" fontId="56" fillId="0" borderId="1" xfId="0" applyNumberFormat="1" applyFont="1" applyBorder="1" applyAlignment="1">
      <alignment vertical="center" shrinkToFit="1"/>
    </xf>
    <xf numFmtId="189" fontId="40" fillId="0" borderId="1" xfId="0" applyNumberFormat="1" applyFont="1" applyBorder="1">
      <alignment vertical="center"/>
    </xf>
    <xf numFmtId="0" fontId="40" fillId="0" borderId="7" xfId="0" applyFont="1" applyBorder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0" fontId="225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203" fontId="5" fillId="0" borderId="7" xfId="0" applyNumberFormat="1" applyFont="1" applyBorder="1" applyAlignment="1">
      <alignment horizontal="right" vertical="center"/>
    </xf>
    <xf numFmtId="0" fontId="5" fillId="0" borderId="7" xfId="0" applyFont="1" applyBorder="1" applyAlignment="1">
      <alignment horizontal="center" vertical="center" wrapText="1"/>
    </xf>
    <xf numFmtId="9" fontId="36" fillId="0" borderId="0" xfId="19" applyFont="1" applyFill="1" applyAlignment="1">
      <alignment horizontal="center" vertical="center"/>
    </xf>
    <xf numFmtId="189" fontId="5" fillId="0" borderId="1" xfId="0" applyNumberFormat="1" applyFont="1" applyBorder="1" applyAlignment="1">
      <alignment vertical="center" wrapText="1"/>
    </xf>
    <xf numFmtId="183" fontId="116" fillId="0" borderId="132" xfId="0" applyNumberFormat="1" applyFont="1" applyBorder="1" applyAlignment="1">
      <alignment horizontal="center" vertical="center"/>
    </xf>
    <xf numFmtId="0" fontId="88" fillId="0" borderId="1" xfId="0" applyFont="1" applyBorder="1" applyAlignment="1">
      <alignment horizontal="center" vertical="center"/>
    </xf>
    <xf numFmtId="0" fontId="76" fillId="0" borderId="1" xfId="0" applyFont="1" applyBorder="1" applyAlignment="1">
      <alignment horizontal="left" vertical="center"/>
    </xf>
    <xf numFmtId="0" fontId="31" fillId="0" borderId="1" xfId="0" applyFont="1" applyBorder="1">
      <alignment vertical="center"/>
    </xf>
    <xf numFmtId="0" fontId="228" fillId="0" borderId="0" xfId="0" applyFont="1" applyAlignment="1">
      <alignment horizontal="left" vertical="center" indent="1"/>
    </xf>
    <xf numFmtId="0" fontId="229" fillId="0" borderId="0" xfId="0" applyFont="1" applyAlignment="1">
      <alignment horizontal="left" vertical="center" indent="1"/>
    </xf>
    <xf numFmtId="0" fontId="76" fillId="0" borderId="1" xfId="0" applyFont="1" applyBorder="1" applyAlignment="1">
      <alignment horizontal="right" vertical="center"/>
    </xf>
    <xf numFmtId="0" fontId="230" fillId="0" borderId="0" xfId="0" applyFont="1">
      <alignment vertical="center"/>
    </xf>
    <xf numFmtId="0" fontId="231" fillId="0" borderId="0" xfId="0" applyFont="1" applyAlignment="1">
      <alignment horizontal="justify" vertical="center"/>
    </xf>
    <xf numFmtId="0" fontId="200" fillId="0" borderId="0" xfId="0" applyFont="1" applyAlignment="1">
      <alignment horizontal="justify" vertical="center"/>
    </xf>
    <xf numFmtId="0" fontId="5" fillId="0" borderId="26" xfId="0" applyFont="1" applyBorder="1" applyAlignment="1">
      <alignment horizontal="center" vertical="center"/>
    </xf>
    <xf numFmtId="0" fontId="116" fillId="0" borderId="137" xfId="0" applyFont="1" applyBorder="1" applyAlignment="1">
      <alignment horizontal="center" vertical="center"/>
    </xf>
    <xf numFmtId="0" fontId="232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9" fontId="36" fillId="0" borderId="1" xfId="19" applyFont="1" applyFill="1" applyBorder="1" applyAlignment="1">
      <alignment horizontal="center"/>
    </xf>
    <xf numFmtId="187" fontId="116" fillId="0" borderId="132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91" fontId="5" fillId="0" borderId="13" xfId="0" applyNumberFormat="1" applyFont="1" applyBorder="1">
      <alignment vertical="center"/>
    </xf>
    <xf numFmtId="176" fontId="5" fillId="0" borderId="1" xfId="0" applyNumberFormat="1" applyFont="1" applyBorder="1" applyAlignment="1">
      <alignment horizontal="right" vertical="center"/>
    </xf>
    <xf numFmtId="189" fontId="40" fillId="0" borderId="1" xfId="0" applyNumberFormat="1" applyFont="1" applyBorder="1" applyAlignment="1">
      <alignment horizontal="right" vertical="center"/>
    </xf>
    <xf numFmtId="188" fontId="116" fillId="0" borderId="132" xfId="0" applyNumberFormat="1" applyFont="1" applyBorder="1" applyAlignment="1">
      <alignment horizontal="center" vertical="center"/>
    </xf>
    <xf numFmtId="184" fontId="116" fillId="0" borderId="132" xfId="0" applyNumberFormat="1" applyFont="1" applyBorder="1" applyAlignment="1">
      <alignment horizontal="center" vertical="center"/>
    </xf>
    <xf numFmtId="49" fontId="160" fillId="0" borderId="1" xfId="0" applyNumberFormat="1" applyFont="1" applyBorder="1" applyAlignment="1">
      <alignment horizontal="center" vertical="center" shrinkToFit="1"/>
    </xf>
    <xf numFmtId="49" fontId="45" fillId="0" borderId="1" xfId="0" applyNumberFormat="1" applyFont="1" applyBorder="1" applyAlignment="1">
      <alignment horizontal="center" vertical="center" shrinkToFit="1"/>
    </xf>
    <xf numFmtId="186" fontId="36" fillId="0" borderId="1" xfId="0" applyNumberFormat="1" applyFont="1" applyBorder="1" applyAlignment="1">
      <alignment horizontal="center" vertical="center"/>
    </xf>
    <xf numFmtId="183" fontId="36" fillId="0" borderId="1" xfId="0" applyNumberFormat="1" applyFont="1" applyBorder="1" applyAlignment="1">
      <alignment horizontal="right" vertical="center"/>
    </xf>
    <xf numFmtId="0" fontId="233" fillId="0" borderId="0" xfId="0" applyFont="1">
      <alignment vertical="center"/>
    </xf>
    <xf numFmtId="49" fontId="183" fillId="0" borderId="0" xfId="0" applyNumberFormat="1" applyFont="1" applyAlignment="1">
      <alignment horizontal="center" vertical="center" wrapText="1"/>
    </xf>
    <xf numFmtId="0" fontId="185" fillId="0" borderId="1" xfId="0" applyFont="1" applyBorder="1">
      <alignment vertical="center"/>
    </xf>
    <xf numFmtId="9" fontId="77" fillId="0" borderId="0" xfId="19" applyFont="1" applyBorder="1">
      <alignment vertical="center"/>
    </xf>
    <xf numFmtId="228" fontId="36" fillId="0" borderId="1" xfId="0" applyNumberFormat="1" applyFont="1" applyBorder="1" applyAlignment="1">
      <alignment horizontal="center" vertical="center"/>
    </xf>
    <xf numFmtId="0" fontId="203" fillId="0" borderId="1" xfId="0" applyFont="1" applyBorder="1" applyAlignment="1">
      <alignment horizontal="center" vertical="center"/>
    </xf>
    <xf numFmtId="17" fontId="36" fillId="0" borderId="1" xfId="0" quotePrefix="1" applyNumberFormat="1" applyFont="1" applyBorder="1" applyAlignment="1">
      <alignment horizontal="center" vertical="center"/>
    </xf>
    <xf numFmtId="9" fontId="36" fillId="0" borderId="0" xfId="19" applyFont="1" applyFill="1" applyBorder="1" applyAlignment="1">
      <alignment horizontal="center"/>
    </xf>
    <xf numFmtId="0" fontId="136" fillId="0" borderId="13" xfId="0" applyFont="1" applyBorder="1" applyAlignment="1">
      <alignment horizontal="center" vertical="center"/>
    </xf>
    <xf numFmtId="9" fontId="36" fillId="0" borderId="13" xfId="19" applyFont="1" applyFill="1" applyBorder="1" applyAlignment="1">
      <alignment horizontal="center"/>
    </xf>
    <xf numFmtId="192" fontId="116" fillId="0" borderId="137" xfId="0" applyNumberFormat="1" applyFont="1" applyBorder="1" applyAlignment="1">
      <alignment horizontal="center" vertical="center"/>
    </xf>
    <xf numFmtId="176" fontId="116" fillId="0" borderId="132" xfId="0" applyNumberFormat="1" applyFont="1" applyBorder="1" applyAlignment="1">
      <alignment horizontal="center" vertical="center"/>
    </xf>
    <xf numFmtId="222" fontId="116" fillId="0" borderId="132" xfId="0" applyNumberFormat="1" applyFont="1" applyBorder="1" applyAlignment="1">
      <alignment horizontal="center" vertical="center"/>
    </xf>
    <xf numFmtId="184" fontId="6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right"/>
    </xf>
    <xf numFmtId="179" fontId="75" fillId="0" borderId="1" xfId="0" applyNumberFormat="1" applyFont="1" applyBorder="1" applyAlignment="1">
      <alignment horizontal="right" vertical="center" wrapText="1"/>
    </xf>
    <xf numFmtId="0" fontId="6" fillId="0" borderId="3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160" fillId="0" borderId="1" xfId="0" applyFont="1" applyBorder="1">
      <alignment vertical="center"/>
    </xf>
    <xf numFmtId="0" fontId="36" fillId="0" borderId="1" xfId="0" applyFont="1" applyBorder="1">
      <alignment vertical="center"/>
    </xf>
    <xf numFmtId="0" fontId="45" fillId="0" borderId="1" xfId="0" applyFont="1" applyBorder="1">
      <alignment vertical="center"/>
    </xf>
    <xf numFmtId="242" fontId="45" fillId="0" borderId="1" xfId="0" applyNumberFormat="1" applyFont="1" applyBorder="1" applyAlignment="1">
      <alignment horizontal="left" vertical="top"/>
    </xf>
    <xf numFmtId="0" fontId="45" fillId="0" borderId="1" xfId="35" applyFont="1" applyBorder="1" applyAlignment="1">
      <alignment horizontal="center" vertical="center" wrapText="1"/>
    </xf>
    <xf numFmtId="242" fontId="45" fillId="0" borderId="1" xfId="2" applyNumberFormat="1" applyFont="1" applyFill="1" applyBorder="1" applyAlignment="1">
      <alignment horizontal="center" vertical="center"/>
    </xf>
    <xf numFmtId="0" fontId="36" fillId="0" borderId="1" xfId="0" applyFont="1" applyBorder="1" applyAlignment="1"/>
    <xf numFmtId="242" fontId="36" fillId="0" borderId="1" xfId="0" applyNumberFormat="1" applyFont="1" applyBorder="1" applyAlignment="1"/>
    <xf numFmtId="0" fontId="36" fillId="0" borderId="1" xfId="36" applyFont="1" applyFill="1" applyBorder="1">
      <alignment vertical="center"/>
    </xf>
    <xf numFmtId="0" fontId="36" fillId="0" borderId="1" xfId="10" applyFont="1" applyFill="1" applyBorder="1">
      <alignment vertical="center"/>
    </xf>
    <xf numFmtId="0" fontId="160" fillId="0" borderId="1" xfId="35" applyFont="1" applyBorder="1" applyAlignment="1">
      <alignment horizontal="left" vertical="center"/>
    </xf>
    <xf numFmtId="0" fontId="175" fillId="0" borderId="1" xfId="35" applyFont="1" applyBorder="1" applyAlignment="1">
      <alignment horizontal="left" vertical="center"/>
    </xf>
    <xf numFmtId="0" fontId="240" fillId="0" borderId="1" xfId="0" applyFont="1" applyBorder="1">
      <alignment vertical="center"/>
    </xf>
    <xf numFmtId="0" fontId="45" fillId="0" borderId="1" xfId="35" applyFont="1" applyBorder="1" applyAlignment="1">
      <alignment horizontal="right" vertical="center" wrapText="1"/>
    </xf>
    <xf numFmtId="0" fontId="45" fillId="0" borderId="1" xfId="0" applyFont="1" applyBorder="1" applyAlignment="1">
      <alignment horizontal="right"/>
    </xf>
    <xf numFmtId="0" fontId="45" fillId="0" borderId="1" xfId="2" applyNumberFormat="1" applyFont="1" applyFill="1" applyBorder="1" applyAlignment="1">
      <alignment horizontal="right" vertical="center" wrapText="1"/>
    </xf>
    <xf numFmtId="38" fontId="45" fillId="0" borderId="1" xfId="2" applyFont="1" applyFill="1" applyBorder="1" applyAlignment="1">
      <alignment horizontal="right" wrapText="1"/>
    </xf>
    <xf numFmtId="0" fontId="36" fillId="0" borderId="1" xfId="0" applyFont="1" applyBorder="1" applyAlignment="1">
      <alignment horizontal="right"/>
    </xf>
    <xf numFmtId="0" fontId="36" fillId="0" borderId="1" xfId="0" applyFont="1" applyBorder="1" applyAlignment="1">
      <alignment horizontal="right" vertical="center"/>
    </xf>
    <xf numFmtId="243" fontId="36" fillId="0" borderId="1" xfId="0" applyNumberFormat="1" applyFont="1" applyBorder="1" applyAlignment="1">
      <alignment horizontal="right" vertical="center"/>
    </xf>
    <xf numFmtId="0" fontId="36" fillId="0" borderId="1" xfId="0" applyFont="1" applyBorder="1" applyAlignment="1" applyProtection="1">
      <alignment horizontal="right" vertical="center"/>
      <protection locked="0"/>
    </xf>
    <xf numFmtId="0" fontId="36" fillId="0" borderId="1" xfId="0" applyFont="1" applyBorder="1" applyAlignment="1" applyProtection="1">
      <alignment horizontal="right" vertical="center"/>
      <protection hidden="1"/>
    </xf>
    <xf numFmtId="243" fontId="36" fillId="0" borderId="1" xfId="0" applyNumberFormat="1" applyFont="1" applyBorder="1" applyAlignment="1" applyProtection="1">
      <alignment horizontal="right" vertical="center"/>
      <protection hidden="1"/>
    </xf>
    <xf numFmtId="0" fontId="36" fillId="0" borderId="1" xfId="0" applyFont="1" applyBorder="1" applyAlignment="1">
      <alignment horizontal="left"/>
    </xf>
    <xf numFmtId="0" fontId="36" fillId="0" borderId="1" xfId="0" applyFont="1" applyBorder="1" applyAlignment="1">
      <alignment horizontal="left" vertical="center"/>
    </xf>
    <xf numFmtId="0" fontId="36" fillId="0" borderId="1" xfId="0" applyFont="1" applyBorder="1" applyAlignment="1" applyProtection="1">
      <alignment horizontal="left" vertical="center" shrinkToFit="1"/>
      <protection hidden="1"/>
    </xf>
    <xf numFmtId="234" fontId="4" fillId="7" borderId="1" xfId="0" applyNumberFormat="1" applyFont="1" applyFill="1" applyBorder="1" applyAlignment="1">
      <alignment horizontal="center" vertical="top"/>
    </xf>
    <xf numFmtId="0" fontId="181" fillId="0" borderId="0" xfId="0" applyFont="1" applyAlignment="1">
      <alignment horizontal="center" vertical="top"/>
    </xf>
    <xf numFmtId="233" fontId="241" fillId="0" borderId="1" xfId="0" applyNumberFormat="1" applyFont="1" applyBorder="1" applyAlignment="1">
      <alignment horizontal="center" vertical="center"/>
    </xf>
    <xf numFmtId="234" fontId="4" fillId="0" borderId="1" xfId="0" applyNumberFormat="1" applyFont="1" applyBorder="1">
      <alignment vertical="center"/>
    </xf>
    <xf numFmtId="234" fontId="12" fillId="0" borderId="1" xfId="0" applyNumberFormat="1" applyFont="1" applyBorder="1">
      <alignment vertical="center"/>
    </xf>
    <xf numFmtId="0" fontId="38" fillId="23" borderId="1" xfId="0" applyFont="1" applyFill="1" applyBorder="1" applyAlignment="1">
      <alignment horizontal="center" vertical="center"/>
    </xf>
    <xf numFmtId="0" fontId="38" fillId="23" borderId="1" xfId="0" applyFont="1" applyFill="1" applyBorder="1" applyAlignment="1">
      <alignment horizontal="center" vertical="center" shrinkToFit="1"/>
    </xf>
    <xf numFmtId="0" fontId="38" fillId="23" borderId="1" xfId="0" applyFont="1" applyFill="1" applyBorder="1" applyAlignment="1">
      <alignment horizontal="center" vertical="center" wrapText="1" shrinkToFit="1"/>
    </xf>
    <xf numFmtId="246" fontId="243" fillId="23" borderId="1" xfId="7" applyNumberFormat="1" applyFont="1" applyFill="1" applyBorder="1" applyAlignment="1">
      <alignment horizontal="center" vertical="center" wrapText="1"/>
    </xf>
    <xf numFmtId="10" fontId="244" fillId="0" borderId="0" xfId="19" applyNumberFormat="1" applyFont="1" applyFill="1" applyAlignment="1">
      <alignment horizontal="center" vertical="center"/>
    </xf>
    <xf numFmtId="205" fontId="170" fillId="0" borderId="0" xfId="0" applyNumberFormat="1" applyFont="1" applyAlignment="1">
      <alignment horizontal="center" vertical="center"/>
    </xf>
    <xf numFmtId="0" fontId="245" fillId="0" borderId="0" xfId="0" applyFont="1" applyAlignment="1">
      <alignment horizontal="center" vertical="center"/>
    </xf>
    <xf numFmtId="0" fontId="91" fillId="0" borderId="0" xfId="0" applyFont="1">
      <alignment vertical="center"/>
    </xf>
    <xf numFmtId="0" fontId="172" fillId="0" borderId="1" xfId="0" applyFont="1" applyBorder="1" applyAlignment="1">
      <alignment horizontal="center"/>
    </xf>
    <xf numFmtId="235" fontId="172" fillId="0" borderId="1" xfId="0" applyNumberFormat="1" applyFont="1" applyBorder="1" applyAlignment="1">
      <alignment horizontal="center"/>
    </xf>
    <xf numFmtId="229" fontId="14" fillId="0" borderId="1" xfId="0" applyNumberFormat="1" applyFont="1" applyBorder="1" applyAlignment="1">
      <alignment horizontal="center"/>
    </xf>
    <xf numFmtId="0" fontId="14" fillId="0" borderId="1" xfId="19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249" fontId="14" fillId="0" borderId="1" xfId="0" applyNumberFormat="1" applyFont="1" applyBorder="1" applyAlignment="1">
      <alignment horizontal="center"/>
    </xf>
    <xf numFmtId="237" fontId="14" fillId="0" borderId="1" xfId="0" applyNumberFormat="1" applyFont="1" applyBorder="1" applyAlignment="1">
      <alignment horizontal="center"/>
    </xf>
    <xf numFmtId="250" fontId="172" fillId="0" borderId="1" xfId="0" applyNumberFormat="1" applyFont="1" applyBorder="1" applyAlignment="1">
      <alignment horizontal="center"/>
    </xf>
    <xf numFmtId="193" fontId="161" fillId="0" borderId="1" xfId="0" applyNumberFormat="1" applyFont="1" applyBorder="1" applyAlignment="1">
      <alignment horizontal="right" vertical="center"/>
    </xf>
    <xf numFmtId="251" fontId="170" fillId="0" borderId="0" xfId="0" applyNumberFormat="1" applyFont="1" applyAlignment="1">
      <alignment horizontal="right"/>
    </xf>
    <xf numFmtId="0" fontId="246" fillId="0" borderId="0" xfId="0" applyFont="1" applyAlignment="1">
      <alignment horizontal="justify" vertical="center"/>
    </xf>
    <xf numFmtId="0" fontId="40" fillId="0" borderId="0" xfId="0" applyFont="1" applyAlignment="1">
      <alignment horizontal="justify" vertical="center"/>
    </xf>
    <xf numFmtId="0" fontId="246" fillId="0" borderId="1" xfId="0" applyFont="1" applyBorder="1" applyAlignment="1">
      <alignment horizontal="center" vertical="center"/>
    </xf>
    <xf numFmtId="0" fontId="247" fillId="0" borderId="1" xfId="0" applyFont="1" applyBorder="1" applyAlignment="1">
      <alignment horizontal="center" vertical="center"/>
    </xf>
    <xf numFmtId="178" fontId="66" fillId="0" borderId="1" xfId="0" applyNumberFormat="1" applyFont="1" applyBorder="1" applyAlignment="1">
      <alignment horizontal="right" vertical="center"/>
    </xf>
    <xf numFmtId="0" fontId="248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241" fontId="183" fillId="0" borderId="1" xfId="0" applyNumberFormat="1" applyFont="1" applyBorder="1" applyAlignment="1">
      <alignment horizontal="center" vertical="center"/>
    </xf>
    <xf numFmtId="179" fontId="52" fillId="0" borderId="131" xfId="0" applyNumberFormat="1" applyFont="1" applyBorder="1" applyAlignment="1" applyProtection="1">
      <alignment horizontal="center" vertical="center"/>
      <protection locked="0"/>
    </xf>
    <xf numFmtId="203" fontId="226" fillId="0" borderId="1" xfId="0" applyNumberFormat="1" applyFont="1" applyBorder="1" applyAlignment="1">
      <alignment horizontal="right" vertical="center"/>
    </xf>
    <xf numFmtId="0" fontId="226" fillId="0" borderId="0" xfId="0" applyFont="1">
      <alignment vertical="center"/>
    </xf>
    <xf numFmtId="252" fontId="243" fillId="23" borderId="1" xfId="7" applyNumberFormat="1" applyFont="1" applyFill="1" applyBorder="1" applyAlignment="1">
      <alignment horizontal="center" vertical="center" wrapText="1"/>
    </xf>
    <xf numFmtId="253" fontId="24" fillId="0" borderId="3" xfId="0" applyNumberFormat="1" applyFont="1" applyBorder="1" applyAlignment="1">
      <alignment horizontal="right" vertical="center"/>
    </xf>
    <xf numFmtId="0" fontId="249" fillId="0" borderId="0" xfId="0" applyFont="1" applyAlignment="1">
      <alignment horizontal="center" vertical="center"/>
    </xf>
    <xf numFmtId="206" fontId="38" fillId="0" borderId="1" xfId="0" applyNumberFormat="1" applyFont="1" applyBorder="1" applyAlignment="1">
      <alignment horizontal="right" vertical="center"/>
    </xf>
    <xf numFmtId="198" fontId="14" fillId="0" borderId="1" xfId="0" applyNumberFormat="1" applyFont="1" applyBorder="1" applyAlignment="1">
      <alignment horizontal="center" vertical="center"/>
    </xf>
    <xf numFmtId="0" fontId="91" fillId="0" borderId="0" xfId="0" applyFont="1" applyAlignment="1">
      <alignment horizontal="center" vertical="center"/>
    </xf>
    <xf numFmtId="0" fontId="161" fillId="0" borderId="1" xfId="0" applyFont="1" applyBorder="1" applyAlignment="1">
      <alignment horizontal="center" vertical="center"/>
    </xf>
    <xf numFmtId="199" fontId="14" fillId="0" borderId="1" xfId="0" applyNumberFormat="1" applyFont="1" applyBorder="1" applyAlignment="1">
      <alignment horizontal="center" vertical="center"/>
    </xf>
    <xf numFmtId="254" fontId="91" fillId="0" borderId="0" xfId="0" applyNumberFormat="1" applyFont="1" applyAlignment="1">
      <alignment horizontal="center" vertical="center"/>
    </xf>
    <xf numFmtId="0" fontId="90" fillId="0" borderId="0" xfId="0" applyFont="1" applyAlignment="1">
      <alignment horizontal="center" vertical="center" wrapText="1"/>
    </xf>
    <xf numFmtId="191" fontId="116" fillId="0" borderId="137" xfId="0" applyNumberFormat="1" applyFont="1" applyBorder="1" applyAlignment="1">
      <alignment horizontal="center" vertical="center"/>
    </xf>
    <xf numFmtId="178" fontId="116" fillId="0" borderId="137" xfId="0" applyNumberFormat="1" applyFont="1" applyBorder="1" applyAlignment="1">
      <alignment horizontal="center" vertical="center"/>
    </xf>
    <xf numFmtId="188" fontId="116" fillId="0" borderId="137" xfId="0" applyNumberFormat="1" applyFont="1" applyBorder="1" applyAlignment="1">
      <alignment horizontal="center" vertical="center"/>
    </xf>
    <xf numFmtId="0" fontId="116" fillId="0" borderId="137" xfId="0" applyFont="1" applyBorder="1" applyAlignment="1">
      <alignment horizontal="center" vertical="center" wrapText="1"/>
    </xf>
    <xf numFmtId="188" fontId="5" fillId="0" borderId="1" xfId="0" applyNumberFormat="1" applyFont="1" applyBorder="1" applyAlignment="1">
      <alignment horizontal="right" vertical="center"/>
    </xf>
    <xf numFmtId="180" fontId="52" fillId="0" borderId="131" xfId="0" applyNumberFormat="1" applyFont="1" applyBorder="1" applyAlignment="1" applyProtection="1">
      <alignment horizontal="center" vertical="center"/>
      <protection locked="0"/>
    </xf>
    <xf numFmtId="187" fontId="52" fillId="0" borderId="131" xfId="0" applyNumberFormat="1" applyFont="1" applyBorder="1" applyAlignment="1" applyProtection="1">
      <alignment horizontal="center" vertical="center"/>
      <protection locked="0"/>
    </xf>
    <xf numFmtId="178" fontId="52" fillId="0" borderId="131" xfId="0" applyNumberFormat="1" applyFont="1" applyBorder="1" applyAlignment="1" applyProtection="1">
      <alignment horizontal="center" vertical="center"/>
      <protection locked="0"/>
    </xf>
    <xf numFmtId="206" fontId="52" fillId="0" borderId="131" xfId="0" applyNumberFormat="1" applyFont="1" applyBorder="1" applyAlignment="1" applyProtection="1">
      <alignment horizontal="center" vertical="center"/>
      <protection locked="0"/>
    </xf>
    <xf numFmtId="0" fontId="250" fillId="4" borderId="116" xfId="0" applyFont="1" applyFill="1" applyBorder="1" applyProtection="1">
      <alignment vertical="center"/>
      <protection locked="0"/>
    </xf>
    <xf numFmtId="0" fontId="251" fillId="4" borderId="116" xfId="0" applyFont="1" applyFill="1" applyBorder="1" applyProtection="1">
      <alignment vertical="center"/>
      <protection locked="0"/>
    </xf>
    <xf numFmtId="0" fontId="45" fillId="0" borderId="1" xfId="0" applyFont="1" applyBorder="1" applyAlignment="1"/>
    <xf numFmtId="0" fontId="45" fillId="0" borderId="1" xfId="2" applyNumberFormat="1" applyFont="1" applyFill="1" applyBorder="1" applyAlignment="1">
      <alignment horizontal="center" vertical="center" wrapText="1"/>
    </xf>
    <xf numFmtId="243" fontId="36" fillId="0" borderId="1" xfId="0" applyNumberFormat="1" applyFont="1" applyBorder="1">
      <alignment vertical="center"/>
    </xf>
    <xf numFmtId="0" fontId="36" fillId="0" borderId="1" xfId="0" applyFont="1" applyBorder="1" applyProtection="1">
      <alignment vertical="center"/>
      <protection locked="0"/>
    </xf>
    <xf numFmtId="0" fontId="36" fillId="0" borderId="1" xfId="0" applyFont="1" applyBorder="1" applyProtection="1">
      <alignment vertical="center"/>
      <protection hidden="1"/>
    </xf>
    <xf numFmtId="0" fontId="36" fillId="0" borderId="1" xfId="0" applyFont="1" applyBorder="1" applyAlignment="1" applyProtection="1">
      <alignment horizontal="center" vertical="center"/>
      <protection hidden="1"/>
    </xf>
    <xf numFmtId="243" fontId="36" fillId="0" borderId="1" xfId="0" applyNumberFormat="1" applyFont="1" applyBorder="1" applyProtection="1">
      <alignment vertical="center"/>
      <protection hidden="1"/>
    </xf>
    <xf numFmtId="0" fontId="36" fillId="0" borderId="1" xfId="0" applyFont="1" applyBorder="1" applyAlignment="1" applyProtection="1">
      <alignment vertical="center" shrinkToFit="1"/>
      <protection hidden="1"/>
    </xf>
    <xf numFmtId="242" fontId="36" fillId="0" borderId="1" xfId="0" applyNumberFormat="1" applyFont="1" applyBorder="1">
      <alignment vertical="center"/>
    </xf>
    <xf numFmtId="242" fontId="36" fillId="0" borderId="1" xfId="0" applyNumberFormat="1" applyFont="1" applyBorder="1" applyProtection="1">
      <alignment vertical="center"/>
      <protection hidden="1"/>
    </xf>
    <xf numFmtId="49" fontId="183" fillId="0" borderId="1" xfId="0" applyNumberFormat="1" applyFont="1" applyBorder="1" applyAlignment="1">
      <alignment horizontal="center" vertical="center" shrinkToFit="1"/>
    </xf>
    <xf numFmtId="255" fontId="36" fillId="0" borderId="1" xfId="0" applyNumberFormat="1" applyFont="1" applyBorder="1" applyAlignment="1">
      <alignment horizontal="center" vertical="center" shrinkToFit="1"/>
    </xf>
    <xf numFmtId="0" fontId="252" fillId="0" borderId="1" xfId="0" applyFont="1" applyBorder="1" applyAlignment="1">
      <alignment horizontal="center" vertical="center"/>
    </xf>
    <xf numFmtId="49" fontId="36" fillId="0" borderId="1" xfId="0" applyNumberFormat="1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/>
    </xf>
    <xf numFmtId="255" fontId="31" fillId="0" borderId="1" xfId="0" applyNumberFormat="1" applyFont="1" applyBorder="1" applyAlignment="1">
      <alignment horizontal="center" vertical="center" shrinkToFit="1"/>
    </xf>
    <xf numFmtId="255" fontId="3" fillId="0" borderId="1" xfId="0" applyNumberFormat="1" applyFont="1" applyBorder="1" applyAlignment="1">
      <alignment horizontal="center" vertical="center" shrinkToFit="1"/>
    </xf>
    <xf numFmtId="255" fontId="253" fillId="0" borderId="1" xfId="0" applyNumberFormat="1" applyFont="1" applyBorder="1" applyAlignment="1">
      <alignment horizontal="center" vertical="center" wrapText="1" shrinkToFit="1"/>
    </xf>
    <xf numFmtId="205" fontId="178" fillId="0" borderId="1" xfId="7" applyFont="1" applyFill="1" applyBorder="1" applyAlignment="1">
      <alignment horizontal="center" vertical="center"/>
    </xf>
    <xf numFmtId="49" fontId="183" fillId="0" borderId="1" xfId="0" applyNumberFormat="1" applyFont="1" applyBorder="1" applyAlignment="1">
      <alignment horizontal="center" vertical="center" wrapText="1" shrinkToFit="1"/>
    </xf>
    <xf numFmtId="210" fontId="6" fillId="0" borderId="1" xfId="0" applyNumberFormat="1" applyFont="1" applyBorder="1">
      <alignment vertical="center"/>
    </xf>
    <xf numFmtId="189" fontId="6" fillId="6" borderId="27" xfId="0" applyNumberFormat="1" applyFont="1" applyFill="1" applyBorder="1">
      <alignment vertical="center"/>
    </xf>
    <xf numFmtId="0" fontId="184" fillId="0" borderId="0" xfId="0" applyFont="1" applyAlignment="1">
      <alignment horizontal="center" vertical="center"/>
    </xf>
    <xf numFmtId="0" fontId="184" fillId="5" borderId="0" xfId="0" applyFont="1" applyFill="1" applyAlignment="1">
      <alignment horizontal="center" vertical="center"/>
    </xf>
    <xf numFmtId="49" fontId="6" fillId="5" borderId="1" xfId="0" applyNumberFormat="1" applyFont="1" applyFill="1" applyBorder="1" applyAlignment="1">
      <alignment horizontal="left" vertical="center"/>
    </xf>
    <xf numFmtId="0" fontId="6" fillId="5" borderId="1" xfId="0" applyFont="1" applyFill="1" applyBorder="1">
      <alignment vertical="center"/>
    </xf>
    <xf numFmtId="0" fontId="6" fillId="5" borderId="1" xfId="0" applyFont="1" applyFill="1" applyBorder="1" applyAlignment="1">
      <alignment horizontal="left" vertical="center"/>
    </xf>
    <xf numFmtId="187" fontId="6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178" fontId="58" fillId="5" borderId="1" xfId="0" applyNumberFormat="1" applyFont="1" applyFill="1" applyBorder="1" applyAlignment="1">
      <alignment horizontal="right" vertical="center"/>
    </xf>
    <xf numFmtId="180" fontId="58" fillId="5" borderId="1" xfId="0" applyNumberFormat="1" applyFont="1" applyFill="1" applyBorder="1" applyAlignment="1">
      <alignment horizontal="right" vertical="center"/>
    </xf>
    <xf numFmtId="0" fontId="8" fillId="5" borderId="1" xfId="0" applyFont="1" applyFill="1" applyBorder="1" applyAlignment="1">
      <alignment horizontal="center"/>
    </xf>
    <xf numFmtId="179" fontId="74" fillId="5" borderId="1" xfId="0" applyNumberFormat="1" applyFont="1" applyFill="1" applyBorder="1" applyAlignment="1">
      <alignment horizontal="center" vertical="center" wrapText="1"/>
    </xf>
    <xf numFmtId="179" fontId="5" fillId="5" borderId="1" xfId="0" applyNumberFormat="1" applyFont="1" applyFill="1" applyBorder="1" applyAlignment="1">
      <alignment horizontal="center" vertical="center" wrapText="1"/>
    </xf>
    <xf numFmtId="179" fontId="33" fillId="5" borderId="1" xfId="0" applyNumberFormat="1" applyFont="1" applyFill="1" applyBorder="1" applyAlignment="1">
      <alignment horizontal="center" vertical="center" wrapText="1"/>
    </xf>
    <xf numFmtId="206" fontId="6" fillId="5" borderId="1" xfId="0" applyNumberFormat="1" applyFont="1" applyFill="1" applyBorder="1">
      <alignment vertical="center"/>
    </xf>
    <xf numFmtId="0" fontId="6" fillId="5" borderId="0" xfId="0" applyFont="1" applyFill="1">
      <alignment vertical="center"/>
    </xf>
    <xf numFmtId="189" fontId="6" fillId="5" borderId="1" xfId="0" applyNumberFormat="1" applyFont="1" applyFill="1" applyBorder="1">
      <alignment vertical="center"/>
    </xf>
    <xf numFmtId="185" fontId="6" fillId="5" borderId="1" xfId="0" applyNumberFormat="1" applyFont="1" applyFill="1" applyBorder="1">
      <alignment vertical="center"/>
    </xf>
    <xf numFmtId="0" fontId="6" fillId="5" borderId="26" xfId="0" applyFont="1" applyFill="1" applyBorder="1" applyAlignment="1">
      <alignment horizontal="center" vertical="center"/>
    </xf>
    <xf numFmtId="227" fontId="161" fillId="5" borderId="0" xfId="19" applyNumberFormat="1" applyFont="1" applyFill="1">
      <alignment vertical="center"/>
    </xf>
    <xf numFmtId="0" fontId="62" fillId="5" borderId="1" xfId="0" applyFont="1" applyFill="1" applyBorder="1" applyAlignment="1">
      <alignment horizontal="center" vertical="center"/>
    </xf>
    <xf numFmtId="191" fontId="6" fillId="5" borderId="1" xfId="0" applyNumberFormat="1" applyFont="1" applyFill="1" applyBorder="1">
      <alignment vertical="center"/>
    </xf>
    <xf numFmtId="210" fontId="6" fillId="5" borderId="1" xfId="0" applyNumberFormat="1" applyFont="1" applyFill="1" applyBorder="1">
      <alignment vertical="center"/>
    </xf>
    <xf numFmtId="183" fontId="58" fillId="5" borderId="1" xfId="0" applyNumberFormat="1" applyFont="1" applyFill="1" applyBorder="1" applyAlignment="1">
      <alignment horizontal="right" vertical="center"/>
    </xf>
    <xf numFmtId="189" fontId="16" fillId="5" borderId="1" xfId="0" applyNumberFormat="1" applyFont="1" applyFill="1" applyBorder="1" applyAlignment="1">
      <alignment horizontal="center" vertical="center"/>
    </xf>
    <xf numFmtId="193" fontId="6" fillId="5" borderId="0" xfId="0" applyNumberFormat="1" applyFont="1" applyFill="1">
      <alignment vertical="center"/>
    </xf>
    <xf numFmtId="212" fontId="6" fillId="5" borderId="0" xfId="0" applyNumberFormat="1" applyFont="1" applyFill="1">
      <alignment vertical="center"/>
    </xf>
    <xf numFmtId="184" fontId="6" fillId="5" borderId="1" xfId="0" applyNumberFormat="1" applyFont="1" applyFill="1" applyBorder="1" applyAlignment="1">
      <alignment horizontal="right" vertical="center"/>
    </xf>
    <xf numFmtId="192" fontId="6" fillId="5" borderId="1" xfId="0" applyNumberFormat="1" applyFont="1" applyFill="1" applyBorder="1">
      <alignment vertical="center"/>
    </xf>
    <xf numFmtId="189" fontId="6" fillId="5" borderId="12" xfId="0" applyNumberFormat="1" applyFont="1" applyFill="1" applyBorder="1">
      <alignment vertical="center"/>
    </xf>
    <xf numFmtId="0" fontId="4" fillId="5" borderId="0" xfId="0" applyFont="1" applyFill="1">
      <alignment vertical="center"/>
    </xf>
    <xf numFmtId="0" fontId="4" fillId="5" borderId="0" xfId="0" applyFont="1" applyFill="1" applyAlignment="1">
      <alignment horizontal="right" vertical="center"/>
    </xf>
    <xf numFmtId="189" fontId="6" fillId="5" borderId="27" xfId="0" applyNumberFormat="1" applyFont="1" applyFill="1" applyBorder="1">
      <alignment vertical="center"/>
    </xf>
    <xf numFmtId="227" fontId="161" fillId="0" borderId="0" xfId="19" applyNumberFormat="1" applyFont="1" applyFill="1">
      <alignment vertical="center"/>
    </xf>
    <xf numFmtId="204" fontId="58" fillId="0" borderId="1" xfId="0" applyNumberFormat="1" applyFont="1" applyBorder="1" applyAlignment="1">
      <alignment horizontal="right" vertical="center"/>
    </xf>
    <xf numFmtId="256" fontId="58" fillId="0" borderId="1" xfId="0" applyNumberFormat="1" applyFont="1" applyBorder="1" applyAlignment="1">
      <alignment horizontal="right" vertical="center"/>
    </xf>
    <xf numFmtId="189" fontId="6" fillId="6" borderId="1" xfId="0" applyNumberFormat="1" applyFont="1" applyFill="1" applyBorder="1" applyAlignment="1">
      <alignment horizontal="right" vertical="center"/>
    </xf>
    <xf numFmtId="0" fontId="36" fillId="0" borderId="13" xfId="0" applyFont="1" applyBorder="1">
      <alignment vertical="center"/>
    </xf>
    <xf numFmtId="0" fontId="14" fillId="0" borderId="1" xfId="36" applyFont="1" applyFill="1" applyBorder="1">
      <alignment vertical="center"/>
    </xf>
    <xf numFmtId="242" fontId="14" fillId="0" borderId="1" xfId="0" applyNumberFormat="1" applyFont="1" applyBorder="1" applyAlignment="1"/>
    <xf numFmtId="0" fontId="14" fillId="0" borderId="1" xfId="0" applyFont="1" applyBorder="1" applyProtection="1">
      <alignment vertical="center"/>
      <protection locked="0"/>
    </xf>
    <xf numFmtId="0" fontId="14" fillId="0" borderId="1" xfId="0" applyFont="1" applyBorder="1" applyProtection="1">
      <alignment vertical="center"/>
      <protection hidden="1"/>
    </xf>
    <xf numFmtId="0" fontId="14" fillId="0" borderId="1" xfId="0" applyFont="1" applyBorder="1" applyAlignment="1" applyProtection="1">
      <alignment horizontal="center" vertical="center"/>
      <protection hidden="1"/>
    </xf>
    <xf numFmtId="243" fontId="14" fillId="0" borderId="1" xfId="0" applyNumberFormat="1" applyFont="1" applyBorder="1" applyProtection="1">
      <alignment vertical="center"/>
      <protection hidden="1"/>
    </xf>
    <xf numFmtId="0" fontId="14" fillId="0" borderId="1" xfId="0" applyFont="1" applyBorder="1" applyAlignment="1" applyProtection="1">
      <alignment vertical="center" shrinkToFit="1"/>
      <protection hidden="1"/>
    </xf>
    <xf numFmtId="0" fontId="14" fillId="0" borderId="1" xfId="0" applyFont="1" applyBorder="1">
      <alignment vertical="center"/>
    </xf>
    <xf numFmtId="243" fontId="14" fillId="0" borderId="1" xfId="0" applyNumberFormat="1" applyFont="1" applyBorder="1">
      <alignment vertical="center"/>
    </xf>
    <xf numFmtId="179" fontId="195" fillId="5" borderId="1" xfId="0" applyNumberFormat="1" applyFont="1" applyFill="1" applyBorder="1" applyAlignment="1">
      <alignment horizontal="center" vertical="center" wrapText="1"/>
    </xf>
    <xf numFmtId="178" fontId="255" fillId="0" borderId="1" xfId="0" applyNumberFormat="1" applyFont="1" applyBorder="1" applyAlignment="1">
      <alignment horizontal="center" vertical="center"/>
    </xf>
    <xf numFmtId="0" fontId="256" fillId="0" borderId="1" xfId="0" applyFont="1" applyBorder="1" applyAlignment="1">
      <alignment horizontal="center"/>
    </xf>
    <xf numFmtId="176" fontId="6" fillId="0" borderId="1" xfId="0" quotePrefix="1" applyNumberFormat="1" applyFont="1" applyBorder="1" applyAlignment="1">
      <alignment horizontal="center" vertical="center"/>
    </xf>
    <xf numFmtId="190" fontId="12" fillId="5" borderId="1" xfId="0" applyNumberFormat="1" applyFont="1" applyFill="1" applyBorder="1" applyAlignment="1">
      <alignment horizontal="center" vertical="center"/>
    </xf>
    <xf numFmtId="179" fontId="93" fillId="5" borderId="1" xfId="0" applyNumberFormat="1" applyFont="1" applyFill="1" applyBorder="1" applyAlignment="1">
      <alignment horizontal="center" vertical="center" wrapText="1"/>
    </xf>
    <xf numFmtId="0" fontId="66" fillId="5" borderId="1" xfId="0" applyFont="1" applyFill="1" applyBorder="1" applyAlignment="1">
      <alignment horizontal="center" vertical="center"/>
    </xf>
    <xf numFmtId="256" fontId="58" fillId="5" borderId="1" xfId="0" applyNumberFormat="1" applyFont="1" applyFill="1" applyBorder="1" applyAlignment="1">
      <alignment horizontal="right" vertical="center"/>
    </xf>
    <xf numFmtId="179" fontId="76" fillId="5" borderId="1" xfId="0" applyNumberFormat="1" applyFont="1" applyFill="1" applyBorder="1" applyAlignment="1">
      <alignment horizontal="center" vertical="center" wrapText="1"/>
    </xf>
    <xf numFmtId="189" fontId="66" fillId="5" borderId="1" xfId="0" applyNumberFormat="1" applyFont="1" applyFill="1" applyBorder="1" applyAlignment="1">
      <alignment horizontal="right" vertical="center"/>
    </xf>
    <xf numFmtId="183" fontId="66" fillId="0" borderId="1" xfId="0" applyNumberFormat="1" applyFont="1" applyBorder="1" applyAlignment="1">
      <alignment horizontal="right" vertical="center"/>
    </xf>
    <xf numFmtId="0" fontId="116" fillId="0" borderId="162" xfId="0" applyFont="1" applyBorder="1" applyAlignment="1" applyProtection="1">
      <alignment horizontal="center" vertical="center"/>
      <protection locked="0"/>
    </xf>
    <xf numFmtId="0" fontId="116" fillId="0" borderId="163" xfId="0" applyFont="1" applyBorder="1" applyAlignment="1" applyProtection="1">
      <alignment horizontal="center" vertical="center"/>
      <protection locked="0"/>
    </xf>
    <xf numFmtId="0" fontId="116" fillId="13" borderId="36" xfId="0" applyFont="1" applyFill="1" applyBorder="1" applyAlignment="1">
      <alignment horizontal="center" vertical="center" wrapText="1"/>
    </xf>
    <xf numFmtId="0" fontId="116" fillId="13" borderId="37" xfId="0" applyFont="1" applyFill="1" applyBorder="1" applyAlignment="1">
      <alignment horizontal="center" vertical="center"/>
    </xf>
    <xf numFmtId="0" fontId="116" fillId="13" borderId="9" xfId="0" applyFont="1" applyFill="1" applyBorder="1" applyAlignment="1">
      <alignment horizontal="center" vertical="center"/>
    </xf>
    <xf numFmtId="0" fontId="52" fillId="11" borderId="123" xfId="0" applyFont="1" applyFill="1" applyBorder="1" applyAlignment="1" applyProtection="1">
      <alignment horizontal="left" vertical="center"/>
      <protection locked="0"/>
    </xf>
    <xf numFmtId="0" fontId="52" fillId="11" borderId="124" xfId="0" applyFont="1" applyFill="1" applyBorder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center" wrapText="1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49" fillId="0" borderId="45" xfId="0" applyFont="1" applyBorder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top"/>
      <protection locked="0"/>
    </xf>
    <xf numFmtId="0" fontId="109" fillId="0" borderId="0" xfId="0" applyFont="1" applyAlignment="1" applyProtection="1">
      <alignment horizontal="left" vertical="center"/>
      <protection locked="0"/>
    </xf>
    <xf numFmtId="213" fontId="52" fillId="0" borderId="45" xfId="0" applyNumberFormat="1" applyFont="1" applyBorder="1" applyAlignment="1" applyProtection="1">
      <alignment horizontal="left" vertical="center"/>
      <protection locked="0"/>
    </xf>
    <xf numFmtId="0" fontId="52" fillId="11" borderId="129" xfId="0" applyFont="1" applyFill="1" applyBorder="1" applyAlignment="1" applyProtection="1">
      <alignment horizontal="left" vertical="center"/>
      <protection locked="0"/>
    </xf>
    <xf numFmtId="0" fontId="52" fillId="11" borderId="92" xfId="0" applyFont="1" applyFill="1" applyBorder="1" applyAlignment="1" applyProtection="1">
      <alignment horizontal="left" vertical="center"/>
      <protection locked="0"/>
    </xf>
    <xf numFmtId="0" fontId="52" fillId="0" borderId="123" xfId="0" applyFont="1" applyBorder="1" applyAlignment="1" applyProtection="1">
      <alignment horizontal="left" vertical="center"/>
      <protection locked="0"/>
    </xf>
    <xf numFmtId="0" fontId="52" fillId="0" borderId="125" xfId="0" applyFont="1" applyBorder="1" applyAlignment="1" applyProtection="1">
      <alignment horizontal="left" vertical="center"/>
      <protection locked="0"/>
    </xf>
    <xf numFmtId="0" fontId="52" fillId="0" borderId="124" xfId="0" applyFont="1" applyBorder="1" applyAlignment="1" applyProtection="1">
      <alignment horizontal="left" vertical="center"/>
      <protection locked="0"/>
    </xf>
    <xf numFmtId="0" fontId="54" fillId="0" borderId="65" xfId="0" applyFont="1" applyBorder="1" applyAlignment="1" applyProtection="1">
      <alignment horizontal="center" vertical="center"/>
      <protection locked="0"/>
    </xf>
    <xf numFmtId="0" fontId="54" fillId="0" borderId="66" xfId="0" applyFont="1" applyBorder="1" applyAlignment="1" applyProtection="1">
      <alignment horizontal="center" vertical="center"/>
      <protection locked="0"/>
    </xf>
    <xf numFmtId="0" fontId="54" fillId="0" borderId="138" xfId="0" applyFont="1" applyBorder="1" applyAlignment="1" applyProtection="1">
      <alignment horizontal="center" vertical="center"/>
      <protection locked="0"/>
    </xf>
    <xf numFmtId="0" fontId="54" fillId="0" borderId="35" xfId="0" applyFont="1" applyBorder="1" applyAlignment="1" applyProtection="1">
      <alignment horizontal="center" vertical="center"/>
      <protection locked="0"/>
    </xf>
    <xf numFmtId="0" fontId="54" fillId="0" borderId="63" xfId="0" applyFont="1" applyBorder="1" applyAlignment="1" applyProtection="1">
      <alignment horizontal="center" vertical="center"/>
      <protection locked="0"/>
    </xf>
    <xf numFmtId="0" fontId="54" fillId="0" borderId="56" xfId="0" applyFont="1" applyBorder="1" applyAlignment="1" applyProtection="1">
      <alignment horizontal="center" vertical="center"/>
      <protection locked="0"/>
    </xf>
    <xf numFmtId="213" fontId="52" fillId="11" borderId="119" xfId="0" applyNumberFormat="1" applyFont="1" applyFill="1" applyBorder="1" applyAlignment="1" applyProtection="1">
      <alignment horizontal="left" vertical="center"/>
      <protection locked="0"/>
    </xf>
    <xf numFmtId="0" fontId="52" fillId="11" borderId="116" xfId="0" applyFont="1" applyFill="1" applyBorder="1" applyAlignment="1" applyProtection="1">
      <alignment horizontal="left" vertical="center"/>
      <protection locked="0"/>
    </xf>
    <xf numFmtId="0" fontId="52" fillId="11" borderId="117" xfId="0" applyFont="1" applyFill="1" applyBorder="1" applyAlignment="1" applyProtection="1">
      <alignment horizontal="left" vertical="center"/>
      <protection locked="0"/>
    </xf>
    <xf numFmtId="0" fontId="52" fillId="11" borderId="119" xfId="0" applyFont="1" applyFill="1" applyBorder="1" applyAlignment="1" applyProtection="1">
      <alignment horizontal="left" vertical="center"/>
      <protection locked="0"/>
    </xf>
    <xf numFmtId="206" fontId="54" fillId="0" borderId="107" xfId="0" applyNumberFormat="1" applyFont="1" applyBorder="1" applyAlignment="1" applyProtection="1">
      <alignment horizontal="center" vertical="center"/>
      <protection locked="0"/>
    </xf>
    <xf numFmtId="206" fontId="54" fillId="0" borderId="139" xfId="0" applyNumberFormat="1" applyFont="1" applyBorder="1" applyAlignment="1" applyProtection="1">
      <alignment horizontal="center" vertical="center"/>
      <protection locked="0"/>
    </xf>
    <xf numFmtId="206" fontId="52" fillId="0" borderId="16" xfId="0" applyNumberFormat="1" applyFont="1" applyBorder="1" applyAlignment="1" applyProtection="1">
      <alignment horizontal="center" vertical="center"/>
      <protection locked="0"/>
    </xf>
    <xf numFmtId="0" fontId="54" fillId="0" borderId="67" xfId="0" applyFont="1" applyBorder="1" applyAlignment="1" applyProtection="1">
      <alignment horizontal="center" vertical="center"/>
      <protection locked="0"/>
    </xf>
    <xf numFmtId="0" fontId="54" fillId="0" borderId="68" xfId="0" applyFont="1" applyBorder="1" applyAlignment="1" applyProtection="1">
      <alignment horizontal="center" vertical="center"/>
      <protection locked="0"/>
    </xf>
    <xf numFmtId="0" fontId="126" fillId="11" borderId="119" xfId="0" applyFont="1" applyFill="1" applyBorder="1" applyAlignment="1" applyProtection="1">
      <alignment horizontal="center" vertical="center"/>
      <protection locked="0"/>
    </xf>
    <xf numFmtId="0" fontId="102" fillId="11" borderId="116" xfId="0" applyFont="1" applyFill="1" applyBorder="1" applyAlignment="1" applyProtection="1">
      <alignment horizontal="center" vertical="center"/>
      <protection locked="0"/>
    </xf>
    <xf numFmtId="0" fontId="54" fillId="0" borderId="131" xfId="0" applyFont="1" applyBorder="1" applyAlignment="1" applyProtection="1">
      <alignment horizontal="center" vertical="center"/>
      <protection locked="0"/>
    </xf>
    <xf numFmtId="0" fontId="54" fillId="0" borderId="130" xfId="0" applyFont="1" applyBorder="1" applyAlignment="1" applyProtection="1">
      <alignment horizontal="center" vertical="center"/>
      <protection locked="0"/>
    </xf>
    <xf numFmtId="0" fontId="54" fillId="0" borderId="134" xfId="0" applyFont="1" applyBorder="1" applyAlignment="1" applyProtection="1">
      <alignment horizontal="center" vertical="center"/>
      <protection locked="0"/>
    </xf>
    <xf numFmtId="0" fontId="54" fillId="0" borderId="135" xfId="0" applyFont="1" applyBorder="1" applyAlignment="1" applyProtection="1">
      <alignment horizontal="center" vertical="center"/>
      <protection locked="0"/>
    </xf>
    <xf numFmtId="206" fontId="52" fillId="0" borderId="107" xfId="0" applyNumberFormat="1" applyFont="1" applyBorder="1" applyAlignment="1" applyProtection="1">
      <alignment horizontal="center" vertical="center"/>
      <protection locked="0"/>
    </xf>
    <xf numFmtId="206" fontId="52" fillId="0" borderId="139" xfId="0" applyNumberFormat="1" applyFont="1" applyBorder="1" applyAlignment="1" applyProtection="1">
      <alignment horizontal="center" vertical="center"/>
      <protection locked="0"/>
    </xf>
    <xf numFmtId="0" fontId="102" fillId="0" borderId="119" xfId="0" applyFont="1" applyBorder="1" applyAlignment="1" applyProtection="1">
      <alignment horizontal="left" vertical="center"/>
      <protection locked="0"/>
    </xf>
    <xf numFmtId="0" fontId="102" fillId="0" borderId="116" xfId="0" applyFont="1" applyBorder="1" applyAlignment="1" applyProtection="1">
      <alignment horizontal="left" vertical="center"/>
      <protection locked="0"/>
    </xf>
    <xf numFmtId="0" fontId="54" fillId="0" borderId="38" xfId="0" applyFont="1" applyBorder="1" applyAlignment="1" applyProtection="1">
      <alignment horizontal="center" vertical="center"/>
      <protection locked="0"/>
    </xf>
    <xf numFmtId="0" fontId="54" fillId="0" borderId="3" xfId="0" applyFont="1" applyBorder="1" applyAlignment="1" applyProtection="1">
      <alignment horizontal="center" vertical="center"/>
      <protection locked="0"/>
    </xf>
    <xf numFmtId="0" fontId="54" fillId="0" borderId="71" xfId="0" applyFont="1" applyBorder="1" applyAlignment="1" applyProtection="1">
      <alignment horizontal="center" vertical="center"/>
      <protection locked="0"/>
    </xf>
    <xf numFmtId="0" fontId="54" fillId="0" borderId="21" xfId="0" applyFont="1" applyBorder="1" applyAlignment="1" applyProtection="1">
      <alignment horizontal="center" vertical="center"/>
      <protection locked="0"/>
    </xf>
    <xf numFmtId="0" fontId="116" fillId="0" borderId="157" xfId="0" applyFont="1" applyBorder="1" applyAlignment="1">
      <alignment horizontal="left" vertical="center" shrinkToFit="1"/>
    </xf>
    <xf numFmtId="0" fontId="116" fillId="0" borderId="158" xfId="0" applyFont="1" applyBorder="1" applyAlignment="1">
      <alignment horizontal="left" vertical="center" shrinkToFit="1"/>
    </xf>
    <xf numFmtId="0" fontId="116" fillId="0" borderId="159" xfId="0" applyFont="1" applyBorder="1" applyAlignment="1">
      <alignment horizontal="left" vertical="center" shrinkToFit="1"/>
    </xf>
    <xf numFmtId="0" fontId="116" fillId="0" borderId="0" xfId="0" applyFont="1" applyAlignment="1">
      <alignment horizontal="left" vertical="center" shrinkToFit="1"/>
    </xf>
    <xf numFmtId="0" fontId="115" fillId="0" borderId="0" xfId="0" applyFont="1" applyAlignment="1">
      <alignment horizontal="left" vertical="center"/>
    </xf>
    <xf numFmtId="0" fontId="120" fillId="0" borderId="0" xfId="0" applyFont="1" applyAlignment="1">
      <alignment horizontal="center" vertical="center"/>
    </xf>
    <xf numFmtId="0" fontId="116" fillId="0" borderId="151" xfId="0" applyFont="1" applyBorder="1" applyAlignment="1">
      <alignment horizontal="left" vertical="center" shrinkToFit="1"/>
    </xf>
    <xf numFmtId="0" fontId="116" fillId="0" borderId="152" xfId="0" applyFont="1" applyBorder="1" applyAlignment="1">
      <alignment horizontal="left" vertical="center" shrinkToFit="1"/>
    </xf>
    <xf numFmtId="0" fontId="116" fillId="0" borderId="153" xfId="0" applyFont="1" applyBorder="1" applyAlignment="1">
      <alignment horizontal="left" vertical="center" shrinkToFit="1"/>
    </xf>
    <xf numFmtId="0" fontId="116" fillId="0" borderId="120" xfId="0" applyFont="1" applyBorder="1" applyAlignment="1">
      <alignment horizontal="left" vertical="center" shrinkToFit="1"/>
    </xf>
    <xf numFmtId="0" fontId="116" fillId="0" borderId="113" xfId="0" applyFont="1" applyBorder="1" applyAlignment="1">
      <alignment horizontal="left" vertical="center" shrinkToFit="1"/>
    </xf>
    <xf numFmtId="0" fontId="116" fillId="0" borderId="155" xfId="0" applyFont="1" applyBorder="1" applyAlignment="1">
      <alignment horizontal="left" vertical="center" shrinkToFit="1"/>
    </xf>
    <xf numFmtId="0" fontId="116" fillId="0" borderId="120" xfId="0" applyFont="1" applyBorder="1" applyAlignment="1">
      <alignment horizontal="left" vertical="center" wrapText="1" shrinkToFit="1"/>
    </xf>
    <xf numFmtId="0" fontId="116" fillId="0" borderId="113" xfId="0" applyFont="1" applyBorder="1" applyAlignment="1">
      <alignment horizontal="left" vertical="center" wrapText="1" shrinkToFit="1"/>
    </xf>
    <xf numFmtId="0" fontId="116" fillId="0" borderId="155" xfId="0" applyFont="1" applyBorder="1" applyAlignment="1">
      <alignment horizontal="left" vertical="center" wrapText="1" shrinkToFit="1"/>
    </xf>
    <xf numFmtId="0" fontId="214" fillId="0" borderId="0" xfId="18" applyFont="1" applyAlignment="1">
      <alignment horizontal="center"/>
    </xf>
    <xf numFmtId="0" fontId="214" fillId="0" borderId="0" xfId="18" applyFont="1" applyAlignment="1">
      <alignment horizontal="center" vertical="center"/>
    </xf>
    <xf numFmtId="0" fontId="214" fillId="0" borderId="0" xfId="18" applyFont="1" applyAlignment="1">
      <alignment horizontal="right"/>
    </xf>
    <xf numFmtId="0" fontId="218" fillId="0" borderId="0" xfId="18" applyFont="1" applyAlignment="1">
      <alignment horizontal="center"/>
    </xf>
    <xf numFmtId="38" fontId="45" fillId="0" borderId="1" xfId="2" applyFont="1" applyFill="1" applyBorder="1" applyAlignment="1">
      <alignment horizontal="center" wrapText="1"/>
    </xf>
    <xf numFmtId="0" fontId="160" fillId="0" borderId="1" xfId="35" applyFont="1" applyBorder="1" applyAlignment="1">
      <alignment horizontal="center" vertical="center"/>
    </xf>
    <xf numFmtId="0" fontId="45" fillId="0" borderId="1" xfId="35" applyFont="1" applyBorder="1" applyAlignment="1">
      <alignment horizontal="center" vertical="center" wrapText="1"/>
    </xf>
    <xf numFmtId="0" fontId="45" fillId="0" borderId="1" xfId="2" applyNumberFormat="1" applyFont="1" applyFill="1" applyBorder="1" applyAlignment="1">
      <alignment horizontal="center" vertical="center" wrapText="1"/>
    </xf>
    <xf numFmtId="0" fontId="45" fillId="0" borderId="1" xfId="35" applyFont="1" applyBorder="1" applyAlignment="1">
      <alignment horizontal="center" vertical="center"/>
    </xf>
    <xf numFmtId="38" fontId="45" fillId="0" borderId="1" xfId="2" applyFont="1" applyFill="1" applyBorder="1" applyAlignment="1">
      <alignment horizontal="right" wrapText="1"/>
    </xf>
    <xf numFmtId="0" fontId="160" fillId="0" borderId="1" xfId="35" applyFont="1" applyBorder="1" applyAlignment="1">
      <alignment horizontal="left" vertical="center"/>
    </xf>
    <xf numFmtId="0" fontId="45" fillId="0" borderId="1" xfId="35" applyFont="1" applyBorder="1" applyAlignment="1">
      <alignment horizontal="right" vertical="center" wrapText="1"/>
    </xf>
    <xf numFmtId="0" fontId="45" fillId="0" borderId="1" xfId="2" applyNumberFormat="1" applyFont="1" applyFill="1" applyBorder="1" applyAlignment="1">
      <alignment horizontal="right" vertical="center" wrapText="1"/>
    </xf>
    <xf numFmtId="0" fontId="5" fillId="0" borderId="36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68" xfId="0" applyFont="1" applyBorder="1" applyAlignment="1">
      <alignment horizontal="center" vertical="center"/>
    </xf>
    <xf numFmtId="38" fontId="205" fillId="0" borderId="16" xfId="2" applyFont="1" applyFill="1" applyBorder="1" applyAlignment="1">
      <alignment horizontal="center" wrapText="1"/>
    </xf>
    <xf numFmtId="38" fontId="205" fillId="0" borderId="21" xfId="2" applyFont="1" applyFill="1" applyBorder="1" applyAlignment="1">
      <alignment horizontal="center" wrapText="1"/>
    </xf>
    <xf numFmtId="0" fontId="205" fillId="0" borderId="16" xfId="35" applyFont="1" applyBorder="1" applyAlignment="1">
      <alignment horizontal="center" vertical="center"/>
    </xf>
    <xf numFmtId="0" fontId="205" fillId="0" borderId="21" xfId="35" applyFont="1" applyBorder="1" applyAlignment="1">
      <alignment horizontal="center" vertical="center"/>
    </xf>
    <xf numFmtId="0" fontId="80" fillId="0" borderId="36" xfId="0" applyFont="1" applyBorder="1" applyAlignment="1">
      <alignment horizontal="center" vertical="center" wrapText="1"/>
    </xf>
    <xf numFmtId="0" fontId="80" fillId="0" borderId="9" xfId="0" applyFont="1" applyBorder="1" applyAlignment="1">
      <alignment horizontal="center" vertical="center" wrapText="1"/>
    </xf>
    <xf numFmtId="0" fontId="150" fillId="0" borderId="168" xfId="0" applyFont="1" applyBorder="1" applyAlignment="1">
      <alignment horizontal="center" vertical="center" wrapText="1"/>
    </xf>
    <xf numFmtId="0" fontId="150" fillId="0" borderId="9" xfId="0" applyFont="1" applyBorder="1" applyAlignment="1">
      <alignment horizontal="center" vertical="center" wrapText="1"/>
    </xf>
    <xf numFmtId="0" fontId="205" fillId="0" borderId="1" xfId="35" applyFont="1" applyBorder="1" applyAlignment="1">
      <alignment horizontal="center" vertical="center"/>
    </xf>
    <xf numFmtId="0" fontId="208" fillId="0" borderId="16" xfId="2" applyNumberFormat="1" applyFont="1" applyFill="1" applyBorder="1" applyAlignment="1">
      <alignment horizontal="center" vertical="center" wrapText="1"/>
    </xf>
    <xf numFmtId="0" fontId="208" fillId="0" borderId="21" xfId="2" applyNumberFormat="1" applyFont="1" applyFill="1" applyBorder="1" applyAlignment="1">
      <alignment horizontal="center" vertical="center" wrapText="1"/>
    </xf>
    <xf numFmtId="0" fontId="95" fillId="0" borderId="36" xfId="0" applyFont="1" applyBorder="1" applyAlignment="1">
      <alignment horizontal="center" vertical="center"/>
    </xf>
    <xf numFmtId="0" fontId="95" fillId="0" borderId="170" xfId="0" applyFont="1" applyBorder="1" applyAlignment="1">
      <alignment horizontal="center" vertical="center"/>
    </xf>
    <xf numFmtId="0" fontId="152" fillId="20" borderId="85" xfId="0" applyFont="1" applyFill="1" applyBorder="1" applyAlignment="1">
      <alignment horizontal="center" vertical="center"/>
    </xf>
    <xf numFmtId="0" fontId="152" fillId="20" borderId="86" xfId="0" applyFont="1" applyFill="1" applyBorder="1" applyAlignment="1">
      <alignment horizontal="center" vertical="center"/>
    </xf>
    <xf numFmtId="0" fontId="152" fillId="20" borderId="169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178" fontId="6" fillId="0" borderId="16" xfId="0" applyNumberFormat="1" applyFont="1" applyBorder="1" applyAlignment="1">
      <alignment horizontal="center" vertical="center"/>
    </xf>
    <xf numFmtId="178" fontId="6" fillId="0" borderId="3" xfId="0" applyNumberFormat="1" applyFont="1" applyBorder="1" applyAlignment="1">
      <alignment horizontal="center" vertical="center"/>
    </xf>
    <xf numFmtId="178" fontId="6" fillId="0" borderId="21" xfId="0" applyNumberFormat="1" applyFont="1" applyBorder="1" applyAlignment="1">
      <alignment horizontal="center" vertical="center"/>
    </xf>
    <xf numFmtId="176" fontId="16" fillId="0" borderId="12" xfId="0" applyNumberFormat="1" applyFont="1" applyBorder="1" applyAlignment="1">
      <alignment horizontal="center" vertical="center"/>
    </xf>
    <xf numFmtId="176" fontId="16" fillId="0" borderId="13" xfId="0" applyNumberFormat="1" applyFont="1" applyBorder="1" applyAlignment="1">
      <alignment horizontal="center" vertical="center"/>
    </xf>
    <xf numFmtId="190" fontId="12" fillId="0" borderId="16" xfId="0" applyNumberFormat="1" applyFont="1" applyBorder="1" applyAlignment="1">
      <alignment horizontal="center" vertical="center"/>
    </xf>
    <xf numFmtId="190" fontId="12" fillId="0" borderId="3" xfId="0" applyNumberFormat="1" applyFont="1" applyBorder="1" applyAlignment="1">
      <alignment horizontal="center" vertical="center"/>
    </xf>
    <xf numFmtId="190" fontId="12" fillId="0" borderId="21" xfId="0" applyNumberFormat="1" applyFont="1" applyBorder="1" applyAlignment="1">
      <alignment horizontal="center" vertical="center"/>
    </xf>
    <xf numFmtId="189" fontId="6" fillId="0" borderId="16" xfId="0" applyNumberFormat="1" applyFont="1" applyBorder="1" applyAlignment="1">
      <alignment horizontal="center" vertical="center"/>
    </xf>
    <xf numFmtId="189" fontId="6" fillId="0" borderId="3" xfId="0" applyNumberFormat="1" applyFont="1" applyBorder="1" applyAlignment="1">
      <alignment horizontal="center" vertical="center"/>
    </xf>
    <xf numFmtId="189" fontId="6" fillId="0" borderId="21" xfId="0" applyNumberFormat="1" applyFont="1" applyBorder="1" applyAlignment="1">
      <alignment horizontal="center" vertical="center"/>
    </xf>
    <xf numFmtId="178" fontId="6" fillId="0" borderId="16" xfId="0" applyNumberFormat="1" applyFont="1" applyBorder="1" applyAlignment="1">
      <alignment horizontal="center" vertical="center" wrapText="1"/>
    </xf>
    <xf numFmtId="178" fontId="6" fillId="0" borderId="3" xfId="0" applyNumberFormat="1" applyFont="1" applyBorder="1" applyAlignment="1">
      <alignment horizontal="center" vertical="center" wrapText="1"/>
    </xf>
    <xf numFmtId="178" fontId="6" fillId="0" borderId="21" xfId="0" applyNumberFormat="1" applyFont="1" applyBorder="1" applyAlignment="1">
      <alignment horizontal="center" vertical="center" wrapText="1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184" fontId="4" fillId="0" borderId="12" xfId="0" applyNumberFormat="1" applyFont="1" applyBorder="1" applyAlignment="1">
      <alignment horizontal="center" vertical="center"/>
    </xf>
    <xf numFmtId="184" fontId="4" fillId="0" borderId="11" xfId="0" applyNumberFormat="1" applyFont="1" applyBorder="1" applyAlignment="1">
      <alignment horizontal="center" vertical="center"/>
    </xf>
    <xf numFmtId="184" fontId="4" fillId="0" borderId="13" xfId="0" applyNumberFormat="1" applyFont="1" applyBorder="1" applyAlignment="1">
      <alignment horizontal="center" vertical="center"/>
    </xf>
    <xf numFmtId="0" fontId="97" fillId="0" borderId="61" xfId="0" applyFont="1" applyBorder="1" applyAlignment="1">
      <alignment horizontal="center" vertical="center"/>
    </xf>
    <xf numFmtId="0" fontId="97" fillId="0" borderId="59" xfId="0" applyFont="1" applyBorder="1" applyAlignment="1">
      <alignment horizontal="center" vertical="center"/>
    </xf>
    <xf numFmtId="0" fontId="97" fillId="0" borderId="54" xfId="0" applyFont="1" applyBorder="1" applyAlignment="1">
      <alignment horizontal="center" vertical="center"/>
    </xf>
    <xf numFmtId="0" fontId="97" fillId="0" borderId="55" xfId="0" applyFont="1" applyBorder="1" applyAlignment="1">
      <alignment horizontal="center" vertical="center"/>
    </xf>
    <xf numFmtId="212" fontId="97" fillId="0" borderId="59" xfId="0" applyNumberFormat="1" applyFont="1" applyBorder="1" applyAlignment="1">
      <alignment horizontal="center" vertical="center"/>
    </xf>
    <xf numFmtId="212" fontId="97" fillId="0" borderId="54" xfId="0" applyNumberFormat="1" applyFont="1" applyBorder="1" applyAlignment="1">
      <alignment horizontal="center" vertical="center"/>
    </xf>
    <xf numFmtId="212" fontId="97" fillId="0" borderId="55" xfId="0" applyNumberFormat="1" applyFont="1" applyBorder="1" applyAlignment="1">
      <alignment horizontal="center" vertical="center"/>
    </xf>
    <xf numFmtId="0" fontId="97" fillId="0" borderId="59" xfId="0" applyFont="1" applyBorder="1" applyAlignment="1">
      <alignment horizontal="left" vertical="center" shrinkToFit="1"/>
    </xf>
    <xf numFmtId="0" fontId="97" fillId="0" borderId="54" xfId="0" applyFont="1" applyBorder="1" applyAlignment="1">
      <alignment horizontal="left" vertical="center" shrinkToFit="1"/>
    </xf>
    <xf numFmtId="0" fontId="97" fillId="0" borderId="58" xfId="0" applyFont="1" applyBorder="1" applyAlignment="1">
      <alignment horizontal="left" vertical="center" shrinkToFit="1"/>
    </xf>
    <xf numFmtId="0" fontId="97" fillId="0" borderId="60" xfId="0" applyFont="1" applyBorder="1" applyAlignment="1">
      <alignment horizontal="left" vertical="center" shrinkToFit="1"/>
    </xf>
    <xf numFmtId="214" fontId="97" fillId="0" borderId="59" xfId="0" applyNumberFormat="1" applyFont="1" applyBorder="1" applyAlignment="1">
      <alignment horizontal="center" vertical="center"/>
    </xf>
    <xf numFmtId="214" fontId="97" fillId="0" borderId="60" xfId="0" applyNumberFormat="1" applyFont="1" applyBorder="1" applyAlignment="1">
      <alignment horizontal="center" vertical="center"/>
    </xf>
    <xf numFmtId="215" fontId="97" fillId="0" borderId="58" xfId="0" applyNumberFormat="1" applyFont="1" applyBorder="1" applyAlignment="1">
      <alignment horizontal="center" vertical="center"/>
    </xf>
    <xf numFmtId="215" fontId="97" fillId="0" borderId="60" xfId="0" applyNumberFormat="1" applyFont="1" applyBorder="1" applyAlignment="1">
      <alignment horizontal="center" vertical="center"/>
    </xf>
    <xf numFmtId="183" fontId="97" fillId="0" borderId="58" xfId="0" applyNumberFormat="1" applyFont="1" applyBorder="1" applyAlignment="1">
      <alignment horizontal="center" vertical="center"/>
    </xf>
    <xf numFmtId="183" fontId="97" fillId="0" borderId="55" xfId="0" applyNumberFormat="1" applyFont="1" applyBorder="1" applyAlignment="1">
      <alignment horizontal="center" vertical="center"/>
    </xf>
    <xf numFmtId="0" fontId="98" fillId="0" borderId="59" xfId="0" applyFont="1" applyBorder="1">
      <alignment vertical="center"/>
    </xf>
    <xf numFmtId="0" fontId="98" fillId="0" borderId="54" xfId="0" applyFont="1" applyBorder="1">
      <alignment vertical="center"/>
    </xf>
    <xf numFmtId="0" fontId="98" fillId="0" borderId="58" xfId="0" applyFont="1" applyBorder="1">
      <alignment vertical="center"/>
    </xf>
    <xf numFmtId="0" fontId="98" fillId="0" borderId="55" xfId="0" applyFont="1" applyBorder="1">
      <alignment vertical="center"/>
    </xf>
    <xf numFmtId="0" fontId="97" fillId="0" borderId="73" xfId="0" applyFont="1" applyBorder="1">
      <alignment vertical="center"/>
    </xf>
    <xf numFmtId="0" fontId="97" fillId="0" borderId="42" xfId="0" applyFont="1" applyBorder="1">
      <alignment vertical="center"/>
    </xf>
    <xf numFmtId="0" fontId="97" fillId="0" borderId="43" xfId="0" applyFont="1" applyBorder="1">
      <alignment vertical="center"/>
    </xf>
    <xf numFmtId="0" fontId="97" fillId="0" borderId="58" xfId="0" applyFont="1" applyBorder="1" applyAlignment="1">
      <alignment horizontal="left" vertical="center"/>
    </xf>
    <xf numFmtId="0" fontId="97" fillId="0" borderId="54" xfId="0" applyFont="1" applyBorder="1" applyAlignment="1">
      <alignment horizontal="left" vertical="center"/>
    </xf>
    <xf numFmtId="0" fontId="97" fillId="0" borderId="55" xfId="0" applyFont="1" applyBorder="1" applyAlignment="1">
      <alignment horizontal="left" vertical="center"/>
    </xf>
    <xf numFmtId="0" fontId="97" fillId="0" borderId="58" xfId="0" applyFont="1" applyBorder="1">
      <alignment vertical="center"/>
    </xf>
    <xf numFmtId="0" fontId="97" fillId="0" borderId="54" xfId="0" applyFont="1" applyBorder="1">
      <alignment vertical="center"/>
    </xf>
    <xf numFmtId="0" fontId="97" fillId="0" borderId="55" xfId="0" applyFont="1" applyBorder="1">
      <alignment vertical="center"/>
    </xf>
    <xf numFmtId="0" fontId="98" fillId="0" borderId="75" xfId="0" applyFont="1" applyBorder="1" applyAlignment="1">
      <alignment horizontal="left" vertical="center"/>
    </xf>
    <xf numFmtId="0" fontId="98" fillId="0" borderId="46" xfId="0" applyFont="1" applyBorder="1" applyAlignment="1">
      <alignment horizontal="left" vertical="center"/>
    </xf>
    <xf numFmtId="0" fontId="97" fillId="0" borderId="75" xfId="0" applyFont="1" applyBorder="1" applyAlignment="1">
      <alignment horizontal="left" vertical="center"/>
    </xf>
    <xf numFmtId="0" fontId="97" fillId="0" borderId="46" xfId="0" applyFont="1" applyBorder="1" applyAlignment="1">
      <alignment horizontal="left" vertical="center"/>
    </xf>
    <xf numFmtId="0" fontId="97" fillId="0" borderId="47" xfId="0" applyFont="1" applyBorder="1" applyAlignment="1">
      <alignment horizontal="left" vertical="center"/>
    </xf>
    <xf numFmtId="0" fontId="98" fillId="0" borderId="41" xfId="0" applyFont="1" applyBorder="1">
      <alignment vertical="center"/>
    </xf>
    <xf numFmtId="0" fontId="98" fillId="0" borderId="39" xfId="0" applyFont="1" applyBorder="1">
      <alignment vertical="center"/>
    </xf>
    <xf numFmtId="0" fontId="98" fillId="0" borderId="40" xfId="0" applyFont="1" applyBorder="1">
      <alignment vertical="center"/>
    </xf>
    <xf numFmtId="0" fontId="98" fillId="0" borderId="72" xfId="0" applyFont="1" applyBorder="1" applyAlignment="1">
      <alignment horizontal="left" vertical="center"/>
    </xf>
    <xf numFmtId="0" fontId="98" fillId="0" borderId="39" xfId="0" applyFont="1" applyBorder="1" applyAlignment="1">
      <alignment horizontal="left" vertical="center"/>
    </xf>
    <xf numFmtId="0" fontId="98" fillId="0" borderId="40" xfId="0" applyFont="1" applyBorder="1" applyAlignment="1">
      <alignment horizontal="left" vertical="center"/>
    </xf>
    <xf numFmtId="0" fontId="98" fillId="0" borderId="62" xfId="0" applyFont="1" applyBorder="1">
      <alignment vertical="center"/>
    </xf>
    <xf numFmtId="0" fontId="98" fillId="0" borderId="42" xfId="0" applyFont="1" applyBorder="1">
      <alignment vertical="center"/>
    </xf>
    <xf numFmtId="0" fontId="48" fillId="0" borderId="0" xfId="0" applyFont="1" applyAlignment="1">
      <alignment horizontal="left" vertical="center" wrapText="1"/>
    </xf>
    <xf numFmtId="0" fontId="94" fillId="0" borderId="0" xfId="0" applyFont="1" applyAlignment="1">
      <alignment horizontal="left" vertical="center"/>
    </xf>
    <xf numFmtId="0" fontId="94" fillId="0" borderId="45" xfId="0" applyFont="1" applyBorder="1" applyAlignment="1">
      <alignment horizontal="left" vertical="center"/>
    </xf>
    <xf numFmtId="0" fontId="100" fillId="0" borderId="0" xfId="0" applyFont="1" applyAlignment="1">
      <alignment horizontal="left" vertical="center"/>
    </xf>
    <xf numFmtId="0" fontId="101" fillId="0" borderId="0" xfId="0" applyFont="1" applyAlignment="1">
      <alignment horizontal="left" vertical="center"/>
    </xf>
    <xf numFmtId="0" fontId="97" fillId="0" borderId="45" xfId="0" applyFont="1" applyBorder="1" applyAlignment="1">
      <alignment horizontal="left" vertical="center"/>
    </xf>
    <xf numFmtId="213" fontId="97" fillId="0" borderId="45" xfId="0" applyNumberFormat="1" applyFont="1" applyBorder="1" applyAlignment="1">
      <alignment horizontal="center" vertical="center"/>
    </xf>
    <xf numFmtId="0" fontId="98" fillId="0" borderId="70" xfId="0" applyFont="1" applyBorder="1" applyAlignment="1">
      <alignment horizontal="left" vertical="top"/>
    </xf>
    <xf numFmtId="0" fontId="98" fillId="0" borderId="44" xfId="0" applyFont="1" applyBorder="1" applyAlignment="1">
      <alignment horizontal="left" vertical="top"/>
    </xf>
    <xf numFmtId="0" fontId="98" fillId="0" borderId="71" xfId="0" applyFont="1" applyBorder="1" applyAlignment="1">
      <alignment horizontal="left" vertical="top"/>
    </xf>
    <xf numFmtId="0" fontId="98" fillId="0" borderId="0" xfId="0" applyFont="1" applyAlignment="1">
      <alignment horizontal="left" vertical="top"/>
    </xf>
    <xf numFmtId="0" fontId="98" fillId="0" borderId="51" xfId="0" applyFont="1" applyBorder="1" applyAlignment="1">
      <alignment horizontal="left" vertical="top"/>
    </xf>
    <xf numFmtId="0" fontId="98" fillId="0" borderId="45" xfId="0" applyFont="1" applyBorder="1" applyAlignment="1">
      <alignment horizontal="left" vertical="top"/>
    </xf>
    <xf numFmtId="0" fontId="98" fillId="0" borderId="72" xfId="0" applyFont="1" applyBorder="1">
      <alignment vertical="center"/>
    </xf>
    <xf numFmtId="0" fontId="97" fillId="0" borderId="59" xfId="0" applyFont="1" applyBorder="1">
      <alignment vertical="center"/>
    </xf>
    <xf numFmtId="0" fontId="97" fillId="0" borderId="74" xfId="0" applyFont="1" applyBorder="1">
      <alignment vertical="center"/>
    </xf>
    <xf numFmtId="0" fontId="97" fillId="0" borderId="46" xfId="0" applyFont="1" applyBorder="1">
      <alignment vertical="center"/>
    </xf>
    <xf numFmtId="0" fontId="97" fillId="0" borderId="75" xfId="0" applyFont="1" applyBorder="1">
      <alignment vertical="center"/>
    </xf>
    <xf numFmtId="0" fontId="97" fillId="0" borderId="47" xfId="0" applyFont="1" applyBorder="1">
      <alignment vertical="center"/>
    </xf>
    <xf numFmtId="0" fontId="98" fillId="0" borderId="74" xfId="0" applyFont="1" applyBorder="1">
      <alignment vertical="center"/>
    </xf>
    <xf numFmtId="0" fontId="98" fillId="0" borderId="46" xfId="0" applyFont="1" applyBorder="1">
      <alignment vertical="center"/>
    </xf>
    <xf numFmtId="0" fontId="97" fillId="0" borderId="80" xfId="0" applyFont="1" applyBorder="1">
      <alignment vertical="center"/>
    </xf>
    <xf numFmtId="0" fontId="97" fillId="0" borderId="81" xfId="0" applyFont="1" applyBorder="1">
      <alignment vertical="center"/>
    </xf>
    <xf numFmtId="0" fontId="97" fillId="0" borderId="82" xfId="0" applyFont="1" applyBorder="1">
      <alignment vertical="center"/>
    </xf>
    <xf numFmtId="0" fontId="97" fillId="0" borderId="62" xfId="0" applyFont="1" applyBorder="1" applyAlignment="1">
      <alignment horizontal="left" vertical="center" shrinkToFit="1"/>
    </xf>
    <xf numFmtId="0" fontId="97" fillId="0" borderId="42" xfId="0" applyFont="1" applyBorder="1" applyAlignment="1">
      <alignment horizontal="left" vertical="center" shrinkToFit="1"/>
    </xf>
    <xf numFmtId="0" fontId="97" fillId="0" borderId="43" xfId="0" applyFont="1" applyBorder="1" applyAlignment="1">
      <alignment horizontal="left" vertical="center" shrinkToFit="1"/>
    </xf>
    <xf numFmtId="0" fontId="97" fillId="0" borderId="74" xfId="0" applyFont="1" applyBorder="1" applyAlignment="1">
      <alignment horizontal="left" vertical="center"/>
    </xf>
    <xf numFmtId="213" fontId="97" fillId="0" borderId="74" xfId="0" applyNumberFormat="1" applyFont="1" applyBorder="1" applyAlignment="1">
      <alignment horizontal="left" vertical="center"/>
    </xf>
    <xf numFmtId="213" fontId="97" fillId="0" borderId="46" xfId="0" applyNumberFormat="1" applyFont="1" applyBorder="1" applyAlignment="1">
      <alignment horizontal="left" vertical="center"/>
    </xf>
    <xf numFmtId="213" fontId="97" fillId="0" borderId="47" xfId="0" applyNumberFormat="1" applyFont="1" applyBorder="1" applyAlignment="1">
      <alignment horizontal="left" vertical="center"/>
    </xf>
    <xf numFmtId="0" fontId="97" fillId="0" borderId="76" xfId="0" applyFont="1" applyBorder="1" applyAlignment="1">
      <alignment horizontal="left" vertical="center"/>
    </xf>
    <xf numFmtId="0" fontId="97" fillId="0" borderId="48" xfId="0" applyFont="1" applyBorder="1" applyAlignment="1">
      <alignment horizontal="left" vertical="center"/>
    </xf>
    <xf numFmtId="0" fontId="97" fillId="0" borderId="62" xfId="0" applyFont="1" applyBorder="1" applyAlignment="1">
      <alignment horizontal="center" vertical="center"/>
    </xf>
    <xf numFmtId="0" fontId="97" fillId="0" borderId="42" xfId="0" applyFont="1" applyBorder="1" applyAlignment="1">
      <alignment horizontal="center" vertical="center"/>
    </xf>
    <xf numFmtId="0" fontId="97" fillId="0" borderId="43" xfId="0" applyFont="1" applyBorder="1" applyAlignment="1">
      <alignment horizontal="center" vertical="center"/>
    </xf>
    <xf numFmtId="0" fontId="97" fillId="0" borderId="63" xfId="0" applyFont="1" applyBorder="1" applyAlignment="1">
      <alignment horizontal="center" vertical="center"/>
    </xf>
    <xf numFmtId="0" fontId="97" fillId="0" borderId="64" xfId="0" applyFont="1" applyBorder="1" applyAlignment="1">
      <alignment horizontal="center" vertical="center"/>
    </xf>
    <xf numFmtId="0" fontId="97" fillId="0" borderId="65" xfId="0" applyFont="1" applyBorder="1" applyAlignment="1">
      <alignment horizontal="center" vertical="center"/>
    </xf>
    <xf numFmtId="0" fontId="97" fillId="0" borderId="56" xfId="0" applyFont="1" applyBorder="1" applyAlignment="1">
      <alignment horizontal="center" vertical="center"/>
    </xf>
    <xf numFmtId="0" fontId="97" fillId="0" borderId="49" xfId="0" applyFont="1" applyBorder="1" applyAlignment="1">
      <alignment horizontal="center" vertical="center"/>
    </xf>
    <xf numFmtId="0" fontId="97" fillId="0" borderId="66" xfId="0" applyFont="1" applyBorder="1" applyAlignment="1">
      <alignment horizontal="center" vertical="center"/>
    </xf>
    <xf numFmtId="0" fontId="97" fillId="0" borderId="67" xfId="0" applyFont="1" applyBorder="1" applyAlignment="1">
      <alignment horizontal="center" vertical="center"/>
    </xf>
    <xf numFmtId="0" fontId="97" fillId="0" borderId="68" xfId="0" applyFont="1" applyBorder="1" applyAlignment="1">
      <alignment horizontal="center" vertical="center"/>
    </xf>
    <xf numFmtId="0" fontId="97" fillId="0" borderId="69" xfId="0" applyFont="1" applyBorder="1" applyAlignment="1">
      <alignment horizontal="center" vertical="center"/>
    </xf>
    <xf numFmtId="0" fontId="97" fillId="0" borderId="77" xfId="0" applyFont="1" applyBorder="1" applyAlignment="1">
      <alignment horizontal="center" vertical="center"/>
    </xf>
    <xf numFmtId="0" fontId="97" fillId="0" borderId="78" xfId="0" applyFont="1" applyBorder="1" applyAlignment="1">
      <alignment horizontal="center" vertical="center"/>
    </xf>
    <xf numFmtId="0" fontId="97" fillId="0" borderId="79" xfId="0" applyFont="1" applyBorder="1" applyAlignment="1">
      <alignment horizontal="center" vertical="center"/>
    </xf>
    <xf numFmtId="0" fontId="97" fillId="0" borderId="97" xfId="0" applyFont="1" applyBorder="1" applyAlignment="1">
      <alignment horizontal="left" vertical="center"/>
    </xf>
    <xf numFmtId="0" fontId="97" fillId="0" borderId="98" xfId="0" applyFont="1" applyBorder="1" applyAlignment="1">
      <alignment horizontal="left" vertical="center"/>
    </xf>
    <xf numFmtId="0" fontId="97" fillId="0" borderId="99" xfId="0" applyFont="1" applyBorder="1" applyAlignment="1">
      <alignment horizontal="left" vertical="center"/>
    </xf>
    <xf numFmtId="0" fontId="97" fillId="0" borderId="74" xfId="0" applyFont="1" applyBorder="1" applyAlignment="1">
      <alignment horizontal="center" vertical="center"/>
    </xf>
    <xf numFmtId="0" fontId="97" fillId="0" borderId="46" xfId="0" applyFont="1" applyBorder="1" applyAlignment="1">
      <alignment horizontal="center" vertical="center"/>
    </xf>
    <xf numFmtId="0" fontId="97" fillId="0" borderId="47" xfId="0" applyFont="1" applyBorder="1" applyAlignment="1">
      <alignment horizontal="center" vertical="center"/>
    </xf>
    <xf numFmtId="0" fontId="97" fillId="0" borderId="55" xfId="0" applyFont="1" applyBorder="1" applyAlignment="1">
      <alignment horizontal="left" vertical="center" shrinkToFit="1"/>
    </xf>
    <xf numFmtId="0" fontId="97" fillId="0" borderId="0" xfId="0" applyFont="1" applyAlignment="1">
      <alignment horizontal="center" vertical="center"/>
    </xf>
    <xf numFmtId="0" fontId="97" fillId="0" borderId="87" xfId="0" applyFont="1" applyBorder="1" applyAlignment="1">
      <alignment horizontal="center" vertical="center"/>
    </xf>
    <xf numFmtId="212" fontId="97" fillId="0" borderId="70" xfId="0" applyNumberFormat="1" applyFont="1" applyBorder="1" applyAlignment="1">
      <alignment horizontal="center" vertical="center"/>
    </xf>
    <xf numFmtId="212" fontId="97" fillId="0" borderId="44" xfId="0" applyNumberFormat="1" applyFont="1" applyBorder="1" applyAlignment="1">
      <alignment horizontal="center" vertical="center"/>
    </xf>
    <xf numFmtId="212" fontId="97" fillId="0" borderId="83" xfId="0" applyNumberFormat="1" applyFont="1" applyBorder="1" applyAlignment="1">
      <alignment horizontal="center" vertical="center"/>
    </xf>
    <xf numFmtId="212" fontId="97" fillId="0" borderId="74" xfId="0" applyNumberFormat="1" applyFont="1" applyBorder="1" applyAlignment="1">
      <alignment horizontal="center" vertical="center"/>
    </xf>
    <xf numFmtId="212" fontId="97" fillId="0" borderId="46" xfId="0" applyNumberFormat="1" applyFont="1" applyBorder="1" applyAlignment="1">
      <alignment horizontal="center" vertical="center"/>
    </xf>
    <xf numFmtId="212" fontId="97" fillId="0" borderId="47" xfId="0" applyNumberFormat="1" applyFont="1" applyBorder="1" applyAlignment="1">
      <alignment horizontal="center" vertical="center"/>
    </xf>
    <xf numFmtId="0" fontId="99" fillId="0" borderId="44" xfId="0" applyFont="1" applyBorder="1" applyAlignment="1">
      <alignment horizontal="right" vertical="center"/>
    </xf>
    <xf numFmtId="0" fontId="99" fillId="0" borderId="44" xfId="0" applyFont="1" applyBorder="1" applyAlignment="1">
      <alignment horizontal="left" vertical="center"/>
    </xf>
    <xf numFmtId="0" fontId="99" fillId="0" borderId="83" xfId="0" applyFont="1" applyBorder="1" applyAlignment="1">
      <alignment horizontal="left" vertical="center"/>
    </xf>
    <xf numFmtId="0" fontId="97" fillId="0" borderId="12" xfId="0" applyFont="1" applyBorder="1" applyAlignment="1">
      <alignment horizontal="center" vertical="center"/>
    </xf>
    <xf numFmtId="0" fontId="97" fillId="0" borderId="11" xfId="0" applyFont="1" applyBorder="1" applyAlignment="1">
      <alignment horizontal="center" vertical="center"/>
    </xf>
    <xf numFmtId="215" fontId="97" fillId="0" borderId="75" xfId="0" applyNumberFormat="1" applyFont="1" applyBorder="1" applyAlignment="1">
      <alignment horizontal="center" vertical="center"/>
    </xf>
    <xf numFmtId="215" fontId="97" fillId="0" borderId="84" xfId="0" applyNumberFormat="1" applyFont="1" applyBorder="1" applyAlignment="1">
      <alignment horizontal="center" vertical="center"/>
    </xf>
    <xf numFmtId="183" fontId="97" fillId="0" borderId="75" xfId="0" applyNumberFormat="1" applyFont="1" applyBorder="1" applyAlignment="1">
      <alignment horizontal="center" vertical="center"/>
    </xf>
    <xf numFmtId="183" fontId="97" fillId="0" borderId="47" xfId="0" applyNumberFormat="1" applyFont="1" applyBorder="1" applyAlignment="1">
      <alignment horizontal="center" vertical="center"/>
    </xf>
    <xf numFmtId="0" fontId="97" fillId="0" borderId="88" xfId="0" applyFont="1" applyBorder="1" applyAlignment="1">
      <alignment horizontal="right" vertical="center"/>
    </xf>
    <xf numFmtId="0" fontId="97" fillId="0" borderId="1" xfId="0" applyFont="1" applyBorder="1" applyAlignment="1">
      <alignment horizontal="center" vertical="center"/>
    </xf>
    <xf numFmtId="0" fontId="97" fillId="0" borderId="12" xfId="0" applyFont="1" applyBorder="1" applyAlignment="1">
      <alignment horizontal="left" vertical="center"/>
    </xf>
    <xf numFmtId="0" fontId="97" fillId="0" borderId="11" xfId="0" applyFont="1" applyBorder="1" applyAlignment="1">
      <alignment horizontal="left" vertical="center"/>
    </xf>
    <xf numFmtId="0" fontId="97" fillId="0" borderId="13" xfId="0" applyFont="1" applyBorder="1" applyAlignment="1">
      <alignment horizontal="left" vertical="center"/>
    </xf>
    <xf numFmtId="212" fontId="97" fillId="0" borderId="89" xfId="0" applyNumberFormat="1" applyFont="1" applyBorder="1" applyAlignment="1">
      <alignment horizontal="center" vertical="center"/>
    </xf>
    <xf numFmtId="212" fontId="97" fillId="0" borderId="86" xfId="0" applyNumberFormat="1" applyFont="1" applyBorder="1" applyAlignment="1">
      <alignment horizontal="center" vertical="center"/>
    </xf>
    <xf numFmtId="212" fontId="97" fillId="0" borderId="8" xfId="0" applyNumberFormat="1" applyFont="1" applyBorder="1" applyAlignment="1">
      <alignment horizontal="center" vertical="center"/>
    </xf>
    <xf numFmtId="2" fontId="98" fillId="0" borderId="90" xfId="0" applyNumberFormat="1" applyFont="1" applyBorder="1" applyAlignment="1">
      <alignment horizontal="center" vertical="center"/>
    </xf>
    <xf numFmtId="2" fontId="98" fillId="0" borderId="91" xfId="0" applyNumberFormat="1" applyFont="1" applyBorder="1" applyAlignment="1">
      <alignment horizontal="center" vertical="center"/>
    </xf>
    <xf numFmtId="2" fontId="98" fillId="0" borderId="92" xfId="0" applyNumberFormat="1" applyFont="1" applyBorder="1" applyAlignment="1">
      <alignment horizontal="center" vertical="center"/>
    </xf>
    <xf numFmtId="0" fontId="97" fillId="0" borderId="70" xfId="0" applyFont="1" applyBorder="1" applyAlignment="1">
      <alignment horizontal="center" vertical="center"/>
    </xf>
    <xf numFmtId="0" fontId="97" fillId="0" borderId="44" xfId="0" applyFont="1" applyBorder="1" applyAlignment="1">
      <alignment horizontal="center" vertical="center"/>
    </xf>
    <xf numFmtId="0" fontId="97" fillId="0" borderId="93" xfId="0" applyFont="1" applyBorder="1" applyAlignment="1">
      <alignment horizontal="left" vertical="center"/>
    </xf>
    <xf numFmtId="0" fontId="97" fillId="0" borderId="82" xfId="0" applyFont="1" applyBorder="1" applyAlignment="1">
      <alignment horizontal="left" vertical="center"/>
    </xf>
    <xf numFmtId="212" fontId="97" fillId="0" borderId="12" xfId="0" applyNumberFormat="1" applyFont="1" applyBorder="1" applyAlignment="1">
      <alignment horizontal="center" vertical="center"/>
    </xf>
    <xf numFmtId="212" fontId="97" fillId="0" borderId="11" xfId="0" applyNumberFormat="1" applyFont="1" applyBorder="1" applyAlignment="1">
      <alignment horizontal="center" vertical="center"/>
    </xf>
    <xf numFmtId="212" fontId="97" fillId="0" borderId="13" xfId="0" applyNumberFormat="1" applyFont="1" applyBorder="1" applyAlignment="1">
      <alignment horizontal="center" vertical="center"/>
    </xf>
    <xf numFmtId="0" fontId="97" fillId="0" borderId="75" xfId="0" applyFont="1" applyBorder="1" applyAlignment="1">
      <alignment horizontal="left" vertical="center" shrinkToFit="1"/>
    </xf>
    <xf numFmtId="0" fontId="97" fillId="0" borderId="46" xfId="0" applyFont="1" applyBorder="1" applyAlignment="1">
      <alignment horizontal="left" vertical="center" shrinkToFit="1"/>
    </xf>
    <xf numFmtId="0" fontId="97" fillId="0" borderId="84" xfId="0" applyFont="1" applyBorder="1" applyAlignment="1">
      <alignment horizontal="left" vertical="center" shrinkToFit="1"/>
    </xf>
    <xf numFmtId="0" fontId="97" fillId="0" borderId="90" xfId="0" applyFont="1" applyBorder="1" applyAlignment="1">
      <alignment horizontal="center" vertical="center"/>
    </xf>
    <xf numFmtId="0" fontId="97" fillId="0" borderId="92" xfId="0" applyFont="1" applyBorder="1" applyAlignment="1">
      <alignment horizontal="center" vertical="center"/>
    </xf>
    <xf numFmtId="0" fontId="97" fillId="0" borderId="94" xfId="0" applyFont="1" applyBorder="1" applyAlignment="1">
      <alignment horizontal="center" vertical="center"/>
    </xf>
    <xf numFmtId="0" fontId="97" fillId="0" borderId="95" xfId="0" applyFont="1" applyBorder="1" applyAlignment="1">
      <alignment horizontal="center" vertical="center"/>
    </xf>
    <xf numFmtId="212" fontId="97" fillId="0" borderId="62" xfId="0" applyNumberFormat="1" applyFont="1" applyBorder="1" applyAlignment="1">
      <alignment horizontal="center" vertical="center"/>
    </xf>
    <xf numFmtId="212" fontId="97" fillId="0" borderId="42" xfId="0" applyNumberFormat="1" applyFont="1" applyBorder="1" applyAlignment="1">
      <alignment horizontal="center" vertical="center"/>
    </xf>
    <xf numFmtId="212" fontId="97" fillId="0" borderId="43" xfId="0" applyNumberFormat="1" applyFont="1" applyBorder="1" applyAlignment="1">
      <alignment horizontal="center" vertical="center"/>
    </xf>
    <xf numFmtId="183" fontId="97" fillId="0" borderId="73" xfId="0" applyNumberFormat="1" applyFont="1" applyBorder="1" applyAlignment="1">
      <alignment horizontal="center" vertical="center"/>
    </xf>
    <xf numFmtId="183" fontId="97" fillId="0" borderId="43" xfId="0" applyNumberFormat="1" applyFont="1" applyBorder="1" applyAlignment="1">
      <alignment horizontal="center" vertical="center"/>
    </xf>
    <xf numFmtId="215" fontId="97" fillId="0" borderId="73" xfId="0" applyNumberFormat="1" applyFont="1" applyBorder="1" applyAlignment="1">
      <alignment horizontal="center" vertical="center"/>
    </xf>
    <xf numFmtId="215" fontId="97" fillId="0" borderId="96" xfId="0" applyNumberFormat="1" applyFont="1" applyBorder="1" applyAlignment="1">
      <alignment horizontal="center" vertical="center"/>
    </xf>
    <xf numFmtId="214" fontId="97" fillId="0" borderId="62" xfId="0" applyNumberFormat="1" applyFont="1" applyBorder="1" applyAlignment="1">
      <alignment horizontal="center" vertical="center"/>
    </xf>
    <xf numFmtId="214" fontId="97" fillId="0" borderId="96" xfId="0" applyNumberFormat="1" applyFont="1" applyBorder="1" applyAlignment="1">
      <alignment horizontal="center" vertical="center"/>
    </xf>
    <xf numFmtId="0" fontId="97" fillId="0" borderId="0" xfId="0" applyFont="1" applyAlignment="1">
      <alignment horizontal="left" vertical="center"/>
    </xf>
    <xf numFmtId="0" fontId="97" fillId="0" borderId="85" xfId="0" applyFont="1" applyBorder="1" applyAlignment="1">
      <alignment horizontal="center" vertical="center"/>
    </xf>
    <xf numFmtId="0" fontId="97" fillId="0" borderId="86" xfId="0" applyFont="1" applyBorder="1" applyAlignment="1">
      <alignment horizontal="center" vertical="center"/>
    </xf>
    <xf numFmtId="214" fontId="97" fillId="0" borderId="74" xfId="0" applyNumberFormat="1" applyFont="1" applyBorder="1" applyAlignment="1">
      <alignment horizontal="center" vertical="center"/>
    </xf>
    <xf numFmtId="214" fontId="97" fillId="0" borderId="84" xfId="0" applyNumberFormat="1" applyFont="1" applyBorder="1" applyAlignment="1">
      <alignment horizontal="center" vertical="center"/>
    </xf>
    <xf numFmtId="0" fontId="97" fillId="0" borderId="74" xfId="0" applyFont="1" applyBorder="1" applyAlignment="1">
      <alignment horizontal="left" vertical="center" shrinkToFit="1"/>
    </xf>
  </cellXfs>
  <cellStyles count="38">
    <cellStyle name="Normal 2" xfId="1" xr:uid="{00000000-0005-0000-0000-000000000000}"/>
    <cellStyle name="パーセント" xfId="19" builtinId="5"/>
    <cellStyle name="ハイパーリンク" xfId="37" builtinId="8"/>
    <cellStyle name="桁区切り" xfId="2" builtinId="6"/>
    <cellStyle name="桁区切り 2" xfId="3" xr:uid="{00000000-0005-0000-0000-000002000000}"/>
    <cellStyle name="桁区切り 3" xfId="4" xr:uid="{00000000-0005-0000-0000-000003000000}"/>
    <cellStyle name="桁区切り 4" xfId="33" xr:uid="{3723354A-08B3-4BAB-A7BD-FD8C7EC3136E}"/>
    <cellStyle name="通貨" xfId="5" builtinId="7"/>
    <cellStyle name="通貨 2" xfId="6" xr:uid="{00000000-0005-0000-0000-000005000000}"/>
    <cellStyle name="通貨 3" xfId="7" xr:uid="{00000000-0005-0000-0000-000006000000}"/>
    <cellStyle name="通貨 3 2" xfId="31" xr:uid="{6674FED8-2B9A-41AC-980C-BD3868E9EED1}"/>
    <cellStyle name="通貨 4" xfId="34" xr:uid="{BCFF4F48-DF3A-4E47-9E0C-8BAE26E8C2D0}"/>
    <cellStyle name="標準" xfId="0" builtinId="0"/>
    <cellStyle name="標準 10" xfId="26" xr:uid="{E6865F7D-C4AA-4C98-AE44-145CF1F34B77}"/>
    <cellStyle name="標準 11" xfId="17" xr:uid="{3FA020E9-A79C-4058-B757-1929A34B0FF7}"/>
    <cellStyle name="標準 12" xfId="27" xr:uid="{5E71E43B-EF83-497E-A72C-F9E64C0271EF}"/>
    <cellStyle name="標準 13" xfId="28" xr:uid="{D19536F5-D2CA-4E4B-B48C-960B6E996B52}"/>
    <cellStyle name="標準 14" xfId="29" xr:uid="{15B80412-313A-4FFE-B808-8E3102C91388}"/>
    <cellStyle name="標準 15" xfId="8" xr:uid="{00000000-0005-0000-0000-000008000000}"/>
    <cellStyle name="標準 16" xfId="30" xr:uid="{41BBB06C-C175-43F6-918F-1F657ED312CE}"/>
    <cellStyle name="標準 17" xfId="18" xr:uid="{52689775-D2AF-451D-AB82-D969E17736AC}"/>
    <cellStyle name="標準 18" xfId="32" xr:uid="{8EA4420C-ADCE-473B-8284-2C15100CE304}"/>
    <cellStyle name="標準 2" xfId="9" xr:uid="{00000000-0005-0000-0000-000009000000}"/>
    <cellStyle name="標準 2 2" xfId="10" xr:uid="{00000000-0005-0000-0000-00000A000000}"/>
    <cellStyle name="標準 2 2 2" xfId="16" xr:uid="{00000000-0005-0000-0000-00000B000000}"/>
    <cellStyle name="標準 2 3" xfId="11" xr:uid="{00000000-0005-0000-0000-00000C000000}"/>
    <cellStyle name="標準 2 4" xfId="13" xr:uid="{00000000-0005-0000-0000-00000D000000}"/>
    <cellStyle name="標準 3" xfId="12" xr:uid="{00000000-0005-0000-0000-00000E000000}"/>
    <cellStyle name="標準 3 2" xfId="14" xr:uid="{00000000-0005-0000-0000-00000F000000}"/>
    <cellStyle name="標準 4" xfId="15" xr:uid="{00000000-0005-0000-0000-000010000000}"/>
    <cellStyle name="標準 4 2" xfId="20" xr:uid="{E078701B-DF58-476F-8A1D-3FF42E023698}"/>
    <cellStyle name="標準 5" xfId="21" xr:uid="{B7468410-268E-40A3-87B7-930E89C3012E}"/>
    <cellStyle name="標準 6" xfId="22" xr:uid="{E098531F-9790-45A8-8A3A-84A50831F272}"/>
    <cellStyle name="標準 7" xfId="23" xr:uid="{EFD7CCEF-32B7-4F47-AA1D-A8FE15209EA2}"/>
    <cellStyle name="標準 8" xfId="24" xr:uid="{F2599607-C237-4344-888B-2F8FBB0AD684}"/>
    <cellStyle name="標準 9" xfId="25" xr:uid="{687DBE96-7EBD-401D-961B-74746BC12E15}"/>
    <cellStyle name="標準_Sheet1" xfId="35" xr:uid="{2749ADED-0D6E-49BF-AE98-985042DB7F94}"/>
    <cellStyle name="標準_TempData1" xfId="36" xr:uid="{10755A48-D6F9-4F73-A8D8-0488E9248A5B}"/>
  </cellStyles>
  <dxfs count="100"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indexed="6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H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263002</xdr:colOff>
      <xdr:row>1</xdr:row>
      <xdr:rowOff>50426</xdr:rowOff>
    </xdr:from>
    <xdr:ext cx="65" cy="19083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77552" y="250451"/>
          <a:ext cx="65" cy="1908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ja-JP" altLang="en-US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3</xdr:row>
      <xdr:rowOff>81645</xdr:rowOff>
    </xdr:from>
    <xdr:to>
      <xdr:col>10</xdr:col>
      <xdr:colOff>776475</xdr:colOff>
      <xdr:row>4</xdr:row>
      <xdr:rowOff>166008</xdr:rowOff>
    </xdr:to>
    <xdr:sp macro="[0]!PDF_BackOrder_SFAmerica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925175" y="738870"/>
          <a:ext cx="1548000" cy="303438"/>
        </a:xfrm>
        <a:prstGeom prst="bevel">
          <a:avLst/>
        </a:prstGeom>
        <a:ln w="9525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11</xdr:col>
      <xdr:colOff>195943</xdr:colOff>
      <xdr:row>3</xdr:row>
      <xdr:rowOff>81645</xdr:rowOff>
    </xdr:from>
    <xdr:to>
      <xdr:col>12</xdr:col>
      <xdr:colOff>791443</xdr:colOff>
      <xdr:row>4</xdr:row>
      <xdr:rowOff>166008</xdr:rowOff>
    </xdr:to>
    <xdr:sp macro="[0]!PDF_BackOrder_SFOsaka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845143" y="738870"/>
          <a:ext cx="1548000" cy="303438"/>
        </a:xfrm>
        <a:prstGeom prst="bevel">
          <a:avLst/>
        </a:prstGeom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13</xdr:col>
      <xdr:colOff>186418</xdr:colOff>
      <xdr:row>3</xdr:row>
      <xdr:rowOff>81645</xdr:rowOff>
    </xdr:from>
    <xdr:to>
      <xdr:col>14</xdr:col>
      <xdr:colOff>781918</xdr:colOff>
      <xdr:row>4</xdr:row>
      <xdr:rowOff>166008</xdr:rowOff>
    </xdr:to>
    <xdr:sp macro="[0]!PDF_同時実行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4740618" y="738870"/>
          <a:ext cx="1548000" cy="303438"/>
        </a:xfrm>
        <a:prstGeom prst="bevel">
          <a:avLst/>
        </a:prstGeom>
        <a:ln w="9525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9</xdr:col>
      <xdr:colOff>171450</xdr:colOff>
      <xdr:row>5</xdr:row>
      <xdr:rowOff>39462</xdr:rowOff>
    </xdr:from>
    <xdr:to>
      <xdr:col>10</xdr:col>
      <xdr:colOff>776475</xdr:colOff>
      <xdr:row>6</xdr:row>
      <xdr:rowOff>123825</xdr:rowOff>
    </xdr:to>
    <xdr:sp macro="[0]!EXCEL_BackOrder_SFAmerica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925175" y="1134837"/>
          <a:ext cx="1548000" cy="303438"/>
        </a:xfrm>
        <a:prstGeom prst="bevel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11</xdr:col>
      <xdr:colOff>195943</xdr:colOff>
      <xdr:row>5</xdr:row>
      <xdr:rowOff>39462</xdr:rowOff>
    </xdr:from>
    <xdr:to>
      <xdr:col>12</xdr:col>
      <xdr:colOff>791443</xdr:colOff>
      <xdr:row>6</xdr:row>
      <xdr:rowOff>123825</xdr:rowOff>
    </xdr:to>
    <xdr:sp macro="[0]!EXCEL_BackOrder_SFOsak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845143" y="1134837"/>
          <a:ext cx="1548000" cy="303438"/>
        </a:xfrm>
        <a:prstGeom prst="bevel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 editAs="oneCell">
    <xdr:from>
      <xdr:col>6</xdr:col>
      <xdr:colOff>28575</xdr:colOff>
      <xdr:row>15</xdr:row>
      <xdr:rowOff>228600</xdr:rowOff>
    </xdr:from>
    <xdr:to>
      <xdr:col>6</xdr:col>
      <xdr:colOff>333375</xdr:colOff>
      <xdr:row>17</xdr:row>
      <xdr:rowOff>1</xdr:rowOff>
    </xdr:to>
    <xdr:sp macro="" textlink="">
      <xdr:nvSpPr>
        <xdr:cNvPr id="17412" name="Option Button 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300-000004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15</xdr:row>
      <xdr:rowOff>228600</xdr:rowOff>
    </xdr:from>
    <xdr:to>
      <xdr:col>7</xdr:col>
      <xdr:colOff>314325</xdr:colOff>
      <xdr:row>17</xdr:row>
      <xdr:rowOff>1</xdr:rowOff>
    </xdr:to>
    <xdr:sp macro="" textlink="">
      <xdr:nvSpPr>
        <xdr:cNvPr id="17413" name="Option Button 5" hidden="1">
          <a:extLst>
            <a:ext uri="{63B3BB69-23CF-44E3-9099-C40C66FF867C}">
              <a14:compatExt xmlns:a14="http://schemas.microsoft.com/office/drawing/2010/main" spid="_x0000_s17413"/>
            </a:ext>
            <a:ext uri="{FF2B5EF4-FFF2-40B4-BE49-F238E27FC236}">
              <a16:creationId xmlns:a16="http://schemas.microsoft.com/office/drawing/2014/main" id="{00000000-0008-0000-0300-000005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186417</xdr:colOff>
      <xdr:row>5</xdr:row>
      <xdr:rowOff>39462</xdr:rowOff>
    </xdr:from>
    <xdr:to>
      <xdr:col>14</xdr:col>
      <xdr:colOff>781917</xdr:colOff>
      <xdr:row>6</xdr:row>
      <xdr:rowOff>123825</xdr:rowOff>
    </xdr:to>
    <xdr:sp macro="[0]!EXCEL_BackOrder_BOTH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4740617" y="1134837"/>
          <a:ext cx="1548000" cy="303438"/>
        </a:xfrm>
        <a:prstGeom prst="bevel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5</xdr:col>
      <xdr:colOff>57150</xdr:colOff>
      <xdr:row>2</xdr:row>
      <xdr:rowOff>0</xdr:rowOff>
    </xdr:from>
    <xdr:to>
      <xdr:col>5</xdr:col>
      <xdr:colOff>904875</xdr:colOff>
      <xdr:row>4</xdr:row>
      <xdr:rowOff>114300</xdr:rowOff>
    </xdr:to>
    <xdr:sp macro="" textlink="">
      <xdr:nvSpPr>
        <xdr:cNvPr id="17417" name="Button 9" hidden="1">
          <a:extLst>
            <a:ext uri="{63B3BB69-23CF-44E3-9099-C40C66FF867C}">
              <a14:compatExt xmlns:a14="http://schemas.microsoft.com/office/drawing/2010/main" spid="_x0000_s17417"/>
            </a:ext>
            <a:ext uri="{FF2B5EF4-FFF2-40B4-BE49-F238E27FC236}">
              <a16:creationId xmlns:a16="http://schemas.microsoft.com/office/drawing/2014/main" id="{00000000-0008-0000-0300-000009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SF米国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明細コピー</a:t>
          </a:r>
        </a:p>
      </xdr:txBody>
    </xdr:sp>
    <xdr:clientData fPrintsWithSheet="0"/>
  </xdr:twoCellAnchor>
  <xdr:twoCellAnchor>
    <xdr:from>
      <xdr:col>6</xdr:col>
      <xdr:colOff>57150</xdr:colOff>
      <xdr:row>2</xdr:row>
      <xdr:rowOff>0</xdr:rowOff>
    </xdr:from>
    <xdr:to>
      <xdr:col>6</xdr:col>
      <xdr:colOff>904875</xdr:colOff>
      <xdr:row>4</xdr:row>
      <xdr:rowOff>114300</xdr:rowOff>
    </xdr:to>
    <xdr:sp macro="" textlink="">
      <xdr:nvSpPr>
        <xdr:cNvPr id="17418" name="Button 10" hidden="1">
          <a:extLst>
            <a:ext uri="{63B3BB69-23CF-44E3-9099-C40C66FF867C}">
              <a14:compatExt xmlns:a14="http://schemas.microsoft.com/office/drawing/2010/main" spid="_x0000_s17418"/>
            </a:ext>
            <a:ext uri="{FF2B5EF4-FFF2-40B4-BE49-F238E27FC236}">
              <a16:creationId xmlns:a16="http://schemas.microsoft.com/office/drawing/2014/main" id="{00000000-0008-0000-0300-00000A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SF大阪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明細コピー</a:t>
          </a:r>
        </a:p>
      </xdr:txBody>
    </xdr:sp>
    <xdr:clientData fPrintsWithSheet="0"/>
  </xdr:twoCellAnchor>
  <xdr:twoCellAnchor>
    <xdr:from>
      <xdr:col>7</xdr:col>
      <xdr:colOff>57150</xdr:colOff>
      <xdr:row>2</xdr:row>
      <xdr:rowOff>0</xdr:rowOff>
    </xdr:from>
    <xdr:to>
      <xdr:col>7</xdr:col>
      <xdr:colOff>904875</xdr:colOff>
      <xdr:row>4</xdr:row>
      <xdr:rowOff>114300</xdr:rowOff>
    </xdr:to>
    <xdr:sp macro="" textlink="">
      <xdr:nvSpPr>
        <xdr:cNvPr id="17422" name="Button 14" hidden="1">
          <a:extLst>
            <a:ext uri="{63B3BB69-23CF-44E3-9099-C40C66FF867C}">
              <a14:compatExt xmlns:a14="http://schemas.microsoft.com/office/drawing/2010/main" spid="_x0000_s17422"/>
            </a:ext>
            <a:ext uri="{FF2B5EF4-FFF2-40B4-BE49-F238E27FC236}">
              <a16:creationId xmlns:a16="http://schemas.microsoft.com/office/drawing/2014/main" id="{00000000-0008-0000-0300-00000E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明細を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クリア</a:t>
          </a:r>
        </a:p>
      </xdr:txBody>
    </xdr:sp>
    <xdr:clientData fPrintsWithSheet="0"/>
  </xdr:twoCellAnchor>
  <xdr:twoCellAnchor>
    <xdr:from>
      <xdr:col>8</xdr:col>
      <xdr:colOff>49306</xdr:colOff>
      <xdr:row>1</xdr:row>
      <xdr:rowOff>219075</xdr:rowOff>
    </xdr:from>
    <xdr:to>
      <xdr:col>8</xdr:col>
      <xdr:colOff>897031</xdr:colOff>
      <xdr:row>4</xdr:row>
      <xdr:rowOff>114300</xdr:rowOff>
    </xdr:to>
    <xdr:sp macro="" textlink="">
      <xdr:nvSpPr>
        <xdr:cNvPr id="17427" name="Button 19" hidden="1">
          <a:extLst>
            <a:ext uri="{63B3BB69-23CF-44E3-9099-C40C66FF867C}">
              <a14:compatExt xmlns:a14="http://schemas.microsoft.com/office/drawing/2010/main" spid="_x0000_s17427"/>
            </a:ext>
            <a:ext uri="{FF2B5EF4-FFF2-40B4-BE49-F238E27FC236}">
              <a16:creationId xmlns:a16="http://schemas.microsoft.com/office/drawing/2014/main" id="{00000000-0008-0000-0300-000013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改ページ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設定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228600</xdr:rowOff>
        </xdr:from>
        <xdr:to>
          <xdr:col>6</xdr:col>
          <xdr:colOff>333375</xdr:colOff>
          <xdr:row>17</xdr:row>
          <xdr:rowOff>0</xdr:rowOff>
        </xdr:to>
        <xdr:sp macro="" textlink="">
          <xdr:nvSpPr>
            <xdr:cNvPr id="50177" name="Option 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228600</xdr:rowOff>
        </xdr:from>
        <xdr:to>
          <xdr:col>7</xdr:col>
          <xdr:colOff>323850</xdr:colOff>
          <xdr:row>17</xdr:row>
          <xdr:rowOff>0</xdr:rowOff>
        </xdr:to>
        <xdr:sp macro="" textlink="">
          <xdr:nvSpPr>
            <xdr:cNvPr id="50178" name="Option 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0</xdr:rowOff>
        </xdr:from>
        <xdr:to>
          <xdr:col>5</xdr:col>
          <xdr:colOff>904875</xdr:colOff>
          <xdr:row>4</xdr:row>
          <xdr:rowOff>114300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3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SF米国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0</xdr:rowOff>
        </xdr:from>
        <xdr:to>
          <xdr:col>6</xdr:col>
          <xdr:colOff>904875</xdr:colOff>
          <xdr:row>4</xdr:row>
          <xdr:rowOff>114300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SF大阪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0</xdr:rowOff>
        </xdr:from>
        <xdr:to>
          <xdr:col>7</xdr:col>
          <xdr:colOff>904875</xdr:colOff>
          <xdr:row>4</xdr:row>
          <xdr:rowOff>114300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2</xdr:row>
          <xdr:rowOff>0</xdr:rowOff>
        </xdr:from>
        <xdr:to>
          <xdr:col>8</xdr:col>
          <xdr:colOff>895350</xdr:colOff>
          <xdr:row>4</xdr:row>
          <xdr:rowOff>114300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3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</xdr:row>
          <xdr:rowOff>228600</xdr:rowOff>
        </xdr:from>
        <xdr:to>
          <xdr:col>6</xdr:col>
          <xdr:colOff>323850</xdr:colOff>
          <xdr:row>17</xdr:row>
          <xdr:rowOff>0</xdr:rowOff>
        </xdr:to>
        <xdr:sp macro="" textlink="">
          <xdr:nvSpPr>
            <xdr:cNvPr id="18435" name="Option 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4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15</xdr:row>
          <xdr:rowOff>228600</xdr:rowOff>
        </xdr:from>
        <xdr:to>
          <xdr:col>7</xdr:col>
          <xdr:colOff>285750</xdr:colOff>
          <xdr:row>17</xdr:row>
          <xdr:rowOff>0</xdr:rowOff>
        </xdr:to>
        <xdr:sp macro="" textlink="">
          <xdr:nvSpPr>
            <xdr:cNvPr id="18436" name="Option 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4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0</xdr:rowOff>
        </xdr:from>
        <xdr:to>
          <xdr:col>5</xdr:col>
          <xdr:colOff>904875</xdr:colOff>
          <xdr:row>4</xdr:row>
          <xdr:rowOff>114300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4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SF米国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0</xdr:rowOff>
        </xdr:from>
        <xdr:to>
          <xdr:col>6</xdr:col>
          <xdr:colOff>904875</xdr:colOff>
          <xdr:row>4</xdr:row>
          <xdr:rowOff>114300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4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SF大阪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0</xdr:rowOff>
        </xdr:from>
        <xdr:to>
          <xdr:col>7</xdr:col>
          <xdr:colOff>904875</xdr:colOff>
          <xdr:row>4</xdr:row>
          <xdr:rowOff>114300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4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2</xdr:row>
          <xdr:rowOff>0</xdr:rowOff>
        </xdr:from>
        <xdr:to>
          <xdr:col>8</xdr:col>
          <xdr:colOff>895350</xdr:colOff>
          <xdr:row>4</xdr:row>
          <xdr:rowOff>114300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4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</xdr:row>
          <xdr:rowOff>38100</xdr:rowOff>
        </xdr:from>
        <xdr:to>
          <xdr:col>5</xdr:col>
          <xdr:colOff>942975</xdr:colOff>
          <xdr:row>5</xdr:row>
          <xdr:rowOff>95250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5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19050</xdr:rowOff>
        </xdr:from>
        <xdr:to>
          <xdr:col>8</xdr:col>
          <xdr:colOff>876300</xdr:colOff>
          <xdr:row>4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注文明細コピー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4</xdr:row>
          <xdr:rowOff>38100</xdr:rowOff>
        </xdr:from>
        <xdr:to>
          <xdr:col>6</xdr:col>
          <xdr:colOff>914400</xdr:colOff>
          <xdr:row>5</xdr:row>
          <xdr:rowOff>95250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注記クリア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38100</xdr:rowOff>
        </xdr:from>
        <xdr:to>
          <xdr:col>7</xdr:col>
          <xdr:colOff>895350</xdr:colOff>
          <xdr:row>5</xdr:row>
          <xdr:rowOff>95250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メモクリア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38100</xdr:rowOff>
        </xdr:from>
        <xdr:to>
          <xdr:col>8</xdr:col>
          <xdr:colOff>876300</xdr:colOff>
          <xdr:row>5</xdr:row>
          <xdr:rowOff>95250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56030</xdr:colOff>
      <xdr:row>2</xdr:row>
      <xdr:rowOff>49999</xdr:rowOff>
    </xdr:from>
    <xdr:to>
      <xdr:col>10</xdr:col>
      <xdr:colOff>526676</xdr:colOff>
      <xdr:row>4</xdr:row>
      <xdr:rowOff>131641</xdr:rowOff>
    </xdr:to>
    <xdr:sp macro="[0]!PDF_発注書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668001" y="419793"/>
          <a:ext cx="1423146" cy="417819"/>
        </a:xfrm>
        <a:prstGeom prst="bevel">
          <a:avLst/>
        </a:prstGeom>
        <a:ln w="12700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>
              <a:latin typeface="+mn-ea"/>
              <a:ea typeface="+mn-ea"/>
            </a:rPr>
            <a:t>PDF</a:t>
          </a:r>
          <a:r>
            <a:rPr kumimoji="1" lang="ja-JP" altLang="en-US" sz="14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10</xdr:col>
      <xdr:colOff>593913</xdr:colOff>
      <xdr:row>2</xdr:row>
      <xdr:rowOff>44824</xdr:rowOff>
    </xdr:from>
    <xdr:to>
      <xdr:col>11</xdr:col>
      <xdr:colOff>302559</xdr:colOff>
      <xdr:row>4</xdr:row>
      <xdr:rowOff>131641</xdr:rowOff>
    </xdr:to>
    <xdr:sp macro="[0]!EXCEL_発注書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58384" y="414618"/>
          <a:ext cx="1423146" cy="422994"/>
        </a:xfrm>
        <a:prstGeom prst="bevel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>
              <a:latin typeface="+mn-ea"/>
              <a:ea typeface="+mn-ea"/>
            </a:rPr>
            <a:t>EXCEL</a:t>
          </a:r>
          <a:r>
            <a:rPr kumimoji="1" lang="ja-JP" altLang="en-US" sz="1400">
              <a:latin typeface="+mn-ea"/>
              <a:ea typeface="+mn-ea"/>
            </a:rPr>
            <a:t>で保存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5</xdr:row>
          <xdr:rowOff>228600</xdr:rowOff>
        </xdr:from>
        <xdr:to>
          <xdr:col>22</xdr:col>
          <xdr:colOff>323850</xdr:colOff>
          <xdr:row>7</xdr:row>
          <xdr:rowOff>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133350</xdr:colOff>
          <xdr:row>5</xdr:row>
          <xdr:rowOff>228600</xdr:rowOff>
        </xdr:from>
        <xdr:to>
          <xdr:col>26</xdr:col>
          <xdr:colOff>66675</xdr:colOff>
          <xdr:row>7</xdr:row>
          <xdr:rowOff>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User001/Desktop/Outerwear%20Quotation%20=%20Offer%20List%20=%2030-JULY-2019/Updated%20Price%20List%20by%20Dickson%20-%2015-JULY-2022/20220715%20%20EU%20USA%20Market%20Price%20List%20US%20with%20new%20column%20heading-15JULY2022.xlsm" TargetMode="External"/><Relationship Id="rId1" Type="http://schemas.openxmlformats.org/officeDocument/2006/relationships/externalLinkPath" Target="/Users/User001/Desktop/Outerwear%20Quotation%20=%20Offer%20List%20=%2030-JULY-2019/Updated%20Price%20List%20by%20Dickson%20-%2015-JULY-2022/20220715%20%20EU%20USA%20Market%20Price%20List%20US%20with%20new%20column%20heading-15JULY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w To"/>
      <sheetName val="OfferList"/>
      <sheetName val="History"/>
      <sheetName val="Unit_List"/>
      <sheetName val="Master"/>
    </sheetNames>
    <sheetDataSet>
      <sheetData sheetId="0"/>
      <sheetData sheetId="1"/>
      <sheetData sheetId="2"/>
      <sheetData sheetId="3"/>
      <sheetData sheetId="4">
        <row r="2">
          <cell r="D2" t="str">
            <v>FOB Qingdao China</v>
          </cell>
          <cell r="K2" t="str">
            <v>USD</v>
          </cell>
        </row>
        <row r="3">
          <cell r="D3" t="str">
            <v>FOB Chiang Mai Thailand</v>
          </cell>
          <cell r="K3" t="str">
            <v>RMB</v>
          </cell>
        </row>
        <row r="4">
          <cell r="D4" t="str">
            <v>FOB</v>
          </cell>
          <cell r="K4" t="str">
            <v>EUR</v>
          </cell>
        </row>
        <row r="5">
          <cell r="D5" t="str">
            <v>CIF by air or courier</v>
          </cell>
          <cell r="K5" t="str">
            <v>THB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&#36890;&#24120;&#21336;&#20385;@580&#20870;/m&#12391;&#12398;&#12461;&#12496;&#12479;&#29983;&#29987;&#12525;&#12483;&#12488;&#12399;20&#21453;&#12391;&#12377;&#12290;1&#12316;9&#21453;&#12391;&#12398;&#29983;&#29987;&#12399;@100&#20870;/m&#12450;&#12483;&#12503;10&#12316;19&#21453;&#12384;&#12392;@50&#20870;/m&#12450;&#12483;&#12503;&#12392;&#12394;&#12426;&#12414;&#12377;&#12290;" TargetMode="External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1602"/>
  <sheetViews>
    <sheetView tabSelected="1" view="pageBreakPreview" zoomScaleNormal="100" zoomScaleSheetLayoutView="100" workbookViewId="0">
      <pane xSplit="11" ySplit="8" topLeftCell="L101" activePane="bottomRight" state="frozen"/>
      <selection pane="topRight" activeCell="L1" sqref="L1"/>
      <selection pane="bottomLeft" activeCell="A8" sqref="A8"/>
      <selection pane="bottomRight" activeCell="G100" sqref="G100"/>
    </sheetView>
  </sheetViews>
  <sheetFormatPr defaultRowHeight="18" customHeight="1"/>
  <cols>
    <col min="1" max="1" width="5.375" style="1" bestFit="1" customWidth="1"/>
    <col min="2" max="2" width="4.75" style="24" customWidth="1"/>
    <col min="3" max="3" width="31.125" style="3" customWidth="1"/>
    <col min="4" max="4" width="22.125" style="1" customWidth="1"/>
    <col min="5" max="5" width="17.5" style="1" customWidth="1"/>
    <col min="6" max="6" width="12" style="1" customWidth="1"/>
    <col min="7" max="7" width="40.75" style="1" customWidth="1"/>
    <col min="8" max="8" width="11.5" style="1" customWidth="1"/>
    <col min="9" max="9" width="11.375" style="1" bestFit="1" customWidth="1"/>
    <col min="10" max="10" width="12.5" style="1" customWidth="1"/>
    <col min="11" max="11" width="16.375" style="1" bestFit="1" customWidth="1"/>
    <col min="12" max="12" width="14.875" style="1" bestFit="1" customWidth="1"/>
    <col min="13" max="13" width="14.875" style="24" customWidth="1"/>
    <col min="14" max="14" width="17" style="1" customWidth="1"/>
    <col min="15" max="15" width="14.75" style="2" bestFit="1" customWidth="1"/>
    <col min="16" max="16" width="13.625" style="236" bestFit="1" customWidth="1"/>
    <col min="17" max="17" width="16.375" style="602" bestFit="1" customWidth="1"/>
    <col min="18" max="18" width="15.875" style="1" customWidth="1"/>
    <col min="19" max="19" width="16.25" style="1" bestFit="1" customWidth="1"/>
    <col min="20" max="20" width="15.625" style="1" customWidth="1"/>
    <col min="21" max="21" width="16.25" style="1" customWidth="1"/>
    <col min="22" max="22" width="16.625" style="202" bestFit="1" customWidth="1"/>
    <col min="23" max="23" width="17" bestFit="1" customWidth="1"/>
    <col min="24" max="256" width="9" style="1"/>
    <col min="257" max="257" width="5.375" style="1" bestFit="1" customWidth="1"/>
    <col min="258" max="258" width="4.75" style="1" customWidth="1"/>
    <col min="259" max="259" width="17.625" style="1" customWidth="1"/>
    <col min="260" max="260" width="22.125" style="1" customWidth="1"/>
    <col min="261" max="261" width="17.5" style="1" customWidth="1"/>
    <col min="262" max="262" width="12" style="1" customWidth="1"/>
    <col min="263" max="263" width="40.75" style="1" customWidth="1"/>
    <col min="264" max="264" width="11.5" style="1" customWidth="1"/>
    <col min="265" max="265" width="11.375" style="1" bestFit="1" customWidth="1"/>
    <col min="266" max="266" width="12.5" style="1" customWidth="1"/>
    <col min="267" max="267" width="16.375" style="1" bestFit="1" customWidth="1"/>
    <col min="268" max="268" width="14.875" style="1" bestFit="1" customWidth="1"/>
    <col min="269" max="269" width="14.875" style="1" customWidth="1"/>
    <col min="270" max="270" width="14.875" style="1" bestFit="1" customWidth="1"/>
    <col min="271" max="271" width="14.75" style="1" bestFit="1" customWidth="1"/>
    <col min="272" max="272" width="13.625" style="1" bestFit="1" customWidth="1"/>
    <col min="273" max="273" width="16.375" style="1" bestFit="1" customWidth="1"/>
    <col min="274" max="274" width="15.875" style="1" customWidth="1"/>
    <col min="275" max="275" width="14.875" style="1" bestFit="1" customWidth="1"/>
    <col min="276" max="276" width="15.625" style="1" customWidth="1"/>
    <col min="277" max="277" width="16.25" style="1" customWidth="1"/>
    <col min="278" max="278" width="16.625" style="1" bestFit="1" customWidth="1"/>
    <col min="279" max="512" width="9" style="1"/>
    <col min="513" max="513" width="5.375" style="1" bestFit="1" customWidth="1"/>
    <col min="514" max="514" width="4.75" style="1" customWidth="1"/>
    <col min="515" max="515" width="17.625" style="1" customWidth="1"/>
    <col min="516" max="516" width="22.125" style="1" customWidth="1"/>
    <col min="517" max="517" width="17.5" style="1" customWidth="1"/>
    <col min="518" max="518" width="12" style="1" customWidth="1"/>
    <col min="519" max="519" width="40.75" style="1" customWidth="1"/>
    <col min="520" max="520" width="11.5" style="1" customWidth="1"/>
    <col min="521" max="521" width="11.375" style="1" bestFit="1" customWidth="1"/>
    <col min="522" max="522" width="12.5" style="1" customWidth="1"/>
    <col min="523" max="523" width="16.375" style="1" bestFit="1" customWidth="1"/>
    <col min="524" max="524" width="14.875" style="1" bestFit="1" customWidth="1"/>
    <col min="525" max="525" width="14.875" style="1" customWidth="1"/>
    <col min="526" max="526" width="14.875" style="1" bestFit="1" customWidth="1"/>
    <col min="527" max="527" width="14.75" style="1" bestFit="1" customWidth="1"/>
    <col min="528" max="528" width="13.625" style="1" bestFit="1" customWidth="1"/>
    <col min="529" max="529" width="16.375" style="1" bestFit="1" customWidth="1"/>
    <col min="530" max="530" width="15.875" style="1" customWidth="1"/>
    <col min="531" max="531" width="14.875" style="1" bestFit="1" customWidth="1"/>
    <col min="532" max="532" width="15.625" style="1" customWidth="1"/>
    <col min="533" max="533" width="16.25" style="1" customWidth="1"/>
    <col min="534" max="534" width="16.625" style="1" bestFit="1" customWidth="1"/>
    <col min="535" max="768" width="9" style="1"/>
    <col min="769" max="769" width="5.375" style="1" bestFit="1" customWidth="1"/>
    <col min="770" max="770" width="4.75" style="1" customWidth="1"/>
    <col min="771" max="771" width="17.625" style="1" customWidth="1"/>
    <col min="772" max="772" width="22.125" style="1" customWidth="1"/>
    <col min="773" max="773" width="17.5" style="1" customWidth="1"/>
    <col min="774" max="774" width="12" style="1" customWidth="1"/>
    <col min="775" max="775" width="40.75" style="1" customWidth="1"/>
    <col min="776" max="776" width="11.5" style="1" customWidth="1"/>
    <col min="777" max="777" width="11.375" style="1" bestFit="1" customWidth="1"/>
    <col min="778" max="778" width="12.5" style="1" customWidth="1"/>
    <col min="779" max="779" width="16.375" style="1" bestFit="1" customWidth="1"/>
    <col min="780" max="780" width="14.875" style="1" bestFit="1" customWidth="1"/>
    <col min="781" max="781" width="14.875" style="1" customWidth="1"/>
    <col min="782" max="782" width="14.875" style="1" bestFit="1" customWidth="1"/>
    <col min="783" max="783" width="14.75" style="1" bestFit="1" customWidth="1"/>
    <col min="784" max="784" width="13.625" style="1" bestFit="1" customWidth="1"/>
    <col min="785" max="785" width="16.375" style="1" bestFit="1" customWidth="1"/>
    <col min="786" max="786" width="15.875" style="1" customWidth="1"/>
    <col min="787" max="787" width="14.875" style="1" bestFit="1" customWidth="1"/>
    <col min="788" max="788" width="15.625" style="1" customWidth="1"/>
    <col min="789" max="789" width="16.25" style="1" customWidth="1"/>
    <col min="790" max="790" width="16.625" style="1" bestFit="1" customWidth="1"/>
    <col min="791" max="1024" width="9" style="1"/>
    <col min="1025" max="1025" width="5.375" style="1" bestFit="1" customWidth="1"/>
    <col min="1026" max="1026" width="4.75" style="1" customWidth="1"/>
    <col min="1027" max="1027" width="17.625" style="1" customWidth="1"/>
    <col min="1028" max="1028" width="22.125" style="1" customWidth="1"/>
    <col min="1029" max="1029" width="17.5" style="1" customWidth="1"/>
    <col min="1030" max="1030" width="12" style="1" customWidth="1"/>
    <col min="1031" max="1031" width="40.75" style="1" customWidth="1"/>
    <col min="1032" max="1032" width="11.5" style="1" customWidth="1"/>
    <col min="1033" max="1033" width="11.375" style="1" bestFit="1" customWidth="1"/>
    <col min="1034" max="1034" width="12.5" style="1" customWidth="1"/>
    <col min="1035" max="1035" width="16.375" style="1" bestFit="1" customWidth="1"/>
    <col min="1036" max="1036" width="14.875" style="1" bestFit="1" customWidth="1"/>
    <col min="1037" max="1037" width="14.875" style="1" customWidth="1"/>
    <col min="1038" max="1038" width="14.875" style="1" bestFit="1" customWidth="1"/>
    <col min="1039" max="1039" width="14.75" style="1" bestFit="1" customWidth="1"/>
    <col min="1040" max="1040" width="13.625" style="1" bestFit="1" customWidth="1"/>
    <col min="1041" max="1041" width="16.375" style="1" bestFit="1" customWidth="1"/>
    <col min="1042" max="1042" width="15.875" style="1" customWidth="1"/>
    <col min="1043" max="1043" width="14.875" style="1" bestFit="1" customWidth="1"/>
    <col min="1044" max="1044" width="15.625" style="1" customWidth="1"/>
    <col min="1045" max="1045" width="16.25" style="1" customWidth="1"/>
    <col min="1046" max="1046" width="16.625" style="1" bestFit="1" customWidth="1"/>
    <col min="1047" max="1280" width="9" style="1"/>
    <col min="1281" max="1281" width="5.375" style="1" bestFit="1" customWidth="1"/>
    <col min="1282" max="1282" width="4.75" style="1" customWidth="1"/>
    <col min="1283" max="1283" width="17.625" style="1" customWidth="1"/>
    <col min="1284" max="1284" width="22.125" style="1" customWidth="1"/>
    <col min="1285" max="1285" width="17.5" style="1" customWidth="1"/>
    <col min="1286" max="1286" width="12" style="1" customWidth="1"/>
    <col min="1287" max="1287" width="40.75" style="1" customWidth="1"/>
    <col min="1288" max="1288" width="11.5" style="1" customWidth="1"/>
    <col min="1289" max="1289" width="11.375" style="1" bestFit="1" customWidth="1"/>
    <col min="1290" max="1290" width="12.5" style="1" customWidth="1"/>
    <col min="1291" max="1291" width="16.375" style="1" bestFit="1" customWidth="1"/>
    <col min="1292" max="1292" width="14.875" style="1" bestFit="1" customWidth="1"/>
    <col min="1293" max="1293" width="14.875" style="1" customWidth="1"/>
    <col min="1294" max="1294" width="14.875" style="1" bestFit="1" customWidth="1"/>
    <col min="1295" max="1295" width="14.75" style="1" bestFit="1" customWidth="1"/>
    <col min="1296" max="1296" width="13.625" style="1" bestFit="1" customWidth="1"/>
    <col min="1297" max="1297" width="16.375" style="1" bestFit="1" customWidth="1"/>
    <col min="1298" max="1298" width="15.875" style="1" customWidth="1"/>
    <col min="1299" max="1299" width="14.875" style="1" bestFit="1" customWidth="1"/>
    <col min="1300" max="1300" width="15.625" style="1" customWidth="1"/>
    <col min="1301" max="1301" width="16.25" style="1" customWidth="1"/>
    <col min="1302" max="1302" width="16.625" style="1" bestFit="1" customWidth="1"/>
    <col min="1303" max="1536" width="9" style="1"/>
    <col min="1537" max="1537" width="5.375" style="1" bestFit="1" customWidth="1"/>
    <col min="1538" max="1538" width="4.75" style="1" customWidth="1"/>
    <col min="1539" max="1539" width="17.625" style="1" customWidth="1"/>
    <col min="1540" max="1540" width="22.125" style="1" customWidth="1"/>
    <col min="1541" max="1541" width="17.5" style="1" customWidth="1"/>
    <col min="1542" max="1542" width="12" style="1" customWidth="1"/>
    <col min="1543" max="1543" width="40.75" style="1" customWidth="1"/>
    <col min="1544" max="1544" width="11.5" style="1" customWidth="1"/>
    <col min="1545" max="1545" width="11.375" style="1" bestFit="1" customWidth="1"/>
    <col min="1546" max="1546" width="12.5" style="1" customWidth="1"/>
    <col min="1547" max="1547" width="16.375" style="1" bestFit="1" customWidth="1"/>
    <col min="1548" max="1548" width="14.875" style="1" bestFit="1" customWidth="1"/>
    <col min="1549" max="1549" width="14.875" style="1" customWidth="1"/>
    <col min="1550" max="1550" width="14.875" style="1" bestFit="1" customWidth="1"/>
    <col min="1551" max="1551" width="14.75" style="1" bestFit="1" customWidth="1"/>
    <col min="1552" max="1552" width="13.625" style="1" bestFit="1" customWidth="1"/>
    <col min="1553" max="1553" width="16.375" style="1" bestFit="1" customWidth="1"/>
    <col min="1554" max="1554" width="15.875" style="1" customWidth="1"/>
    <col min="1555" max="1555" width="14.875" style="1" bestFit="1" customWidth="1"/>
    <col min="1556" max="1556" width="15.625" style="1" customWidth="1"/>
    <col min="1557" max="1557" width="16.25" style="1" customWidth="1"/>
    <col min="1558" max="1558" width="16.625" style="1" bestFit="1" customWidth="1"/>
    <col min="1559" max="1792" width="9" style="1"/>
    <col min="1793" max="1793" width="5.375" style="1" bestFit="1" customWidth="1"/>
    <col min="1794" max="1794" width="4.75" style="1" customWidth="1"/>
    <col min="1795" max="1795" width="17.625" style="1" customWidth="1"/>
    <col min="1796" max="1796" width="22.125" style="1" customWidth="1"/>
    <col min="1797" max="1797" width="17.5" style="1" customWidth="1"/>
    <col min="1798" max="1798" width="12" style="1" customWidth="1"/>
    <col min="1799" max="1799" width="40.75" style="1" customWidth="1"/>
    <col min="1800" max="1800" width="11.5" style="1" customWidth="1"/>
    <col min="1801" max="1801" width="11.375" style="1" bestFit="1" customWidth="1"/>
    <col min="1802" max="1802" width="12.5" style="1" customWidth="1"/>
    <col min="1803" max="1803" width="16.375" style="1" bestFit="1" customWidth="1"/>
    <col min="1804" max="1804" width="14.875" style="1" bestFit="1" customWidth="1"/>
    <col min="1805" max="1805" width="14.875" style="1" customWidth="1"/>
    <col min="1806" max="1806" width="14.875" style="1" bestFit="1" customWidth="1"/>
    <col min="1807" max="1807" width="14.75" style="1" bestFit="1" customWidth="1"/>
    <col min="1808" max="1808" width="13.625" style="1" bestFit="1" customWidth="1"/>
    <col min="1809" max="1809" width="16.375" style="1" bestFit="1" customWidth="1"/>
    <col min="1810" max="1810" width="15.875" style="1" customWidth="1"/>
    <col min="1811" max="1811" width="14.875" style="1" bestFit="1" customWidth="1"/>
    <col min="1812" max="1812" width="15.625" style="1" customWidth="1"/>
    <col min="1813" max="1813" width="16.25" style="1" customWidth="1"/>
    <col min="1814" max="1814" width="16.625" style="1" bestFit="1" customWidth="1"/>
    <col min="1815" max="2048" width="9" style="1"/>
    <col min="2049" max="2049" width="5.375" style="1" bestFit="1" customWidth="1"/>
    <col min="2050" max="2050" width="4.75" style="1" customWidth="1"/>
    <col min="2051" max="2051" width="17.625" style="1" customWidth="1"/>
    <col min="2052" max="2052" width="22.125" style="1" customWidth="1"/>
    <col min="2053" max="2053" width="17.5" style="1" customWidth="1"/>
    <col min="2054" max="2054" width="12" style="1" customWidth="1"/>
    <col min="2055" max="2055" width="40.75" style="1" customWidth="1"/>
    <col min="2056" max="2056" width="11.5" style="1" customWidth="1"/>
    <col min="2057" max="2057" width="11.375" style="1" bestFit="1" customWidth="1"/>
    <col min="2058" max="2058" width="12.5" style="1" customWidth="1"/>
    <col min="2059" max="2059" width="16.375" style="1" bestFit="1" customWidth="1"/>
    <col min="2060" max="2060" width="14.875" style="1" bestFit="1" customWidth="1"/>
    <col min="2061" max="2061" width="14.875" style="1" customWidth="1"/>
    <col min="2062" max="2062" width="14.875" style="1" bestFit="1" customWidth="1"/>
    <col min="2063" max="2063" width="14.75" style="1" bestFit="1" customWidth="1"/>
    <col min="2064" max="2064" width="13.625" style="1" bestFit="1" customWidth="1"/>
    <col min="2065" max="2065" width="16.375" style="1" bestFit="1" customWidth="1"/>
    <col min="2066" max="2066" width="15.875" style="1" customWidth="1"/>
    <col min="2067" max="2067" width="14.875" style="1" bestFit="1" customWidth="1"/>
    <col min="2068" max="2068" width="15.625" style="1" customWidth="1"/>
    <col min="2069" max="2069" width="16.25" style="1" customWidth="1"/>
    <col min="2070" max="2070" width="16.625" style="1" bestFit="1" customWidth="1"/>
    <col min="2071" max="2304" width="9" style="1"/>
    <col min="2305" max="2305" width="5.375" style="1" bestFit="1" customWidth="1"/>
    <col min="2306" max="2306" width="4.75" style="1" customWidth="1"/>
    <col min="2307" max="2307" width="17.625" style="1" customWidth="1"/>
    <col min="2308" max="2308" width="22.125" style="1" customWidth="1"/>
    <col min="2309" max="2309" width="17.5" style="1" customWidth="1"/>
    <col min="2310" max="2310" width="12" style="1" customWidth="1"/>
    <col min="2311" max="2311" width="40.75" style="1" customWidth="1"/>
    <col min="2312" max="2312" width="11.5" style="1" customWidth="1"/>
    <col min="2313" max="2313" width="11.375" style="1" bestFit="1" customWidth="1"/>
    <col min="2314" max="2314" width="12.5" style="1" customWidth="1"/>
    <col min="2315" max="2315" width="16.375" style="1" bestFit="1" customWidth="1"/>
    <col min="2316" max="2316" width="14.875" style="1" bestFit="1" customWidth="1"/>
    <col min="2317" max="2317" width="14.875" style="1" customWidth="1"/>
    <col min="2318" max="2318" width="14.875" style="1" bestFit="1" customWidth="1"/>
    <col min="2319" max="2319" width="14.75" style="1" bestFit="1" customWidth="1"/>
    <col min="2320" max="2320" width="13.625" style="1" bestFit="1" customWidth="1"/>
    <col min="2321" max="2321" width="16.375" style="1" bestFit="1" customWidth="1"/>
    <col min="2322" max="2322" width="15.875" style="1" customWidth="1"/>
    <col min="2323" max="2323" width="14.875" style="1" bestFit="1" customWidth="1"/>
    <col min="2324" max="2324" width="15.625" style="1" customWidth="1"/>
    <col min="2325" max="2325" width="16.25" style="1" customWidth="1"/>
    <col min="2326" max="2326" width="16.625" style="1" bestFit="1" customWidth="1"/>
    <col min="2327" max="2560" width="9" style="1"/>
    <col min="2561" max="2561" width="5.375" style="1" bestFit="1" customWidth="1"/>
    <col min="2562" max="2562" width="4.75" style="1" customWidth="1"/>
    <col min="2563" max="2563" width="17.625" style="1" customWidth="1"/>
    <col min="2564" max="2564" width="22.125" style="1" customWidth="1"/>
    <col min="2565" max="2565" width="17.5" style="1" customWidth="1"/>
    <col min="2566" max="2566" width="12" style="1" customWidth="1"/>
    <col min="2567" max="2567" width="40.75" style="1" customWidth="1"/>
    <col min="2568" max="2568" width="11.5" style="1" customWidth="1"/>
    <col min="2569" max="2569" width="11.375" style="1" bestFit="1" customWidth="1"/>
    <col min="2570" max="2570" width="12.5" style="1" customWidth="1"/>
    <col min="2571" max="2571" width="16.375" style="1" bestFit="1" customWidth="1"/>
    <col min="2572" max="2572" width="14.875" style="1" bestFit="1" customWidth="1"/>
    <col min="2573" max="2573" width="14.875" style="1" customWidth="1"/>
    <col min="2574" max="2574" width="14.875" style="1" bestFit="1" customWidth="1"/>
    <col min="2575" max="2575" width="14.75" style="1" bestFit="1" customWidth="1"/>
    <col min="2576" max="2576" width="13.625" style="1" bestFit="1" customWidth="1"/>
    <col min="2577" max="2577" width="16.375" style="1" bestFit="1" customWidth="1"/>
    <col min="2578" max="2578" width="15.875" style="1" customWidth="1"/>
    <col min="2579" max="2579" width="14.875" style="1" bestFit="1" customWidth="1"/>
    <col min="2580" max="2580" width="15.625" style="1" customWidth="1"/>
    <col min="2581" max="2581" width="16.25" style="1" customWidth="1"/>
    <col min="2582" max="2582" width="16.625" style="1" bestFit="1" customWidth="1"/>
    <col min="2583" max="2816" width="9" style="1"/>
    <col min="2817" max="2817" width="5.375" style="1" bestFit="1" customWidth="1"/>
    <col min="2818" max="2818" width="4.75" style="1" customWidth="1"/>
    <col min="2819" max="2819" width="17.625" style="1" customWidth="1"/>
    <col min="2820" max="2820" width="22.125" style="1" customWidth="1"/>
    <col min="2821" max="2821" width="17.5" style="1" customWidth="1"/>
    <col min="2822" max="2822" width="12" style="1" customWidth="1"/>
    <col min="2823" max="2823" width="40.75" style="1" customWidth="1"/>
    <col min="2824" max="2824" width="11.5" style="1" customWidth="1"/>
    <col min="2825" max="2825" width="11.375" style="1" bestFit="1" customWidth="1"/>
    <col min="2826" max="2826" width="12.5" style="1" customWidth="1"/>
    <col min="2827" max="2827" width="16.375" style="1" bestFit="1" customWidth="1"/>
    <col min="2828" max="2828" width="14.875" style="1" bestFit="1" customWidth="1"/>
    <col min="2829" max="2829" width="14.875" style="1" customWidth="1"/>
    <col min="2830" max="2830" width="14.875" style="1" bestFit="1" customWidth="1"/>
    <col min="2831" max="2831" width="14.75" style="1" bestFit="1" customWidth="1"/>
    <col min="2832" max="2832" width="13.625" style="1" bestFit="1" customWidth="1"/>
    <col min="2833" max="2833" width="16.375" style="1" bestFit="1" customWidth="1"/>
    <col min="2834" max="2834" width="15.875" style="1" customWidth="1"/>
    <col min="2835" max="2835" width="14.875" style="1" bestFit="1" customWidth="1"/>
    <col min="2836" max="2836" width="15.625" style="1" customWidth="1"/>
    <col min="2837" max="2837" width="16.25" style="1" customWidth="1"/>
    <col min="2838" max="2838" width="16.625" style="1" bestFit="1" customWidth="1"/>
    <col min="2839" max="3072" width="9" style="1"/>
    <col min="3073" max="3073" width="5.375" style="1" bestFit="1" customWidth="1"/>
    <col min="3074" max="3074" width="4.75" style="1" customWidth="1"/>
    <col min="3075" max="3075" width="17.625" style="1" customWidth="1"/>
    <col min="3076" max="3076" width="22.125" style="1" customWidth="1"/>
    <col min="3077" max="3077" width="17.5" style="1" customWidth="1"/>
    <col min="3078" max="3078" width="12" style="1" customWidth="1"/>
    <col min="3079" max="3079" width="40.75" style="1" customWidth="1"/>
    <col min="3080" max="3080" width="11.5" style="1" customWidth="1"/>
    <col min="3081" max="3081" width="11.375" style="1" bestFit="1" customWidth="1"/>
    <col min="3082" max="3082" width="12.5" style="1" customWidth="1"/>
    <col min="3083" max="3083" width="16.375" style="1" bestFit="1" customWidth="1"/>
    <col min="3084" max="3084" width="14.875" style="1" bestFit="1" customWidth="1"/>
    <col min="3085" max="3085" width="14.875" style="1" customWidth="1"/>
    <col min="3086" max="3086" width="14.875" style="1" bestFit="1" customWidth="1"/>
    <col min="3087" max="3087" width="14.75" style="1" bestFit="1" customWidth="1"/>
    <col min="3088" max="3088" width="13.625" style="1" bestFit="1" customWidth="1"/>
    <col min="3089" max="3089" width="16.375" style="1" bestFit="1" customWidth="1"/>
    <col min="3090" max="3090" width="15.875" style="1" customWidth="1"/>
    <col min="3091" max="3091" width="14.875" style="1" bestFit="1" customWidth="1"/>
    <col min="3092" max="3092" width="15.625" style="1" customWidth="1"/>
    <col min="3093" max="3093" width="16.25" style="1" customWidth="1"/>
    <col min="3094" max="3094" width="16.625" style="1" bestFit="1" customWidth="1"/>
    <col min="3095" max="3328" width="9" style="1"/>
    <col min="3329" max="3329" width="5.375" style="1" bestFit="1" customWidth="1"/>
    <col min="3330" max="3330" width="4.75" style="1" customWidth="1"/>
    <col min="3331" max="3331" width="17.625" style="1" customWidth="1"/>
    <col min="3332" max="3332" width="22.125" style="1" customWidth="1"/>
    <col min="3333" max="3333" width="17.5" style="1" customWidth="1"/>
    <col min="3334" max="3334" width="12" style="1" customWidth="1"/>
    <col min="3335" max="3335" width="40.75" style="1" customWidth="1"/>
    <col min="3336" max="3336" width="11.5" style="1" customWidth="1"/>
    <col min="3337" max="3337" width="11.375" style="1" bestFit="1" customWidth="1"/>
    <col min="3338" max="3338" width="12.5" style="1" customWidth="1"/>
    <col min="3339" max="3339" width="16.375" style="1" bestFit="1" customWidth="1"/>
    <col min="3340" max="3340" width="14.875" style="1" bestFit="1" customWidth="1"/>
    <col min="3341" max="3341" width="14.875" style="1" customWidth="1"/>
    <col min="3342" max="3342" width="14.875" style="1" bestFit="1" customWidth="1"/>
    <col min="3343" max="3343" width="14.75" style="1" bestFit="1" customWidth="1"/>
    <col min="3344" max="3344" width="13.625" style="1" bestFit="1" customWidth="1"/>
    <col min="3345" max="3345" width="16.375" style="1" bestFit="1" customWidth="1"/>
    <col min="3346" max="3346" width="15.875" style="1" customWidth="1"/>
    <col min="3347" max="3347" width="14.875" style="1" bestFit="1" customWidth="1"/>
    <col min="3348" max="3348" width="15.625" style="1" customWidth="1"/>
    <col min="3349" max="3349" width="16.25" style="1" customWidth="1"/>
    <col min="3350" max="3350" width="16.625" style="1" bestFit="1" customWidth="1"/>
    <col min="3351" max="3584" width="9" style="1"/>
    <col min="3585" max="3585" width="5.375" style="1" bestFit="1" customWidth="1"/>
    <col min="3586" max="3586" width="4.75" style="1" customWidth="1"/>
    <col min="3587" max="3587" width="17.625" style="1" customWidth="1"/>
    <col min="3588" max="3588" width="22.125" style="1" customWidth="1"/>
    <col min="3589" max="3589" width="17.5" style="1" customWidth="1"/>
    <col min="3590" max="3590" width="12" style="1" customWidth="1"/>
    <col min="3591" max="3591" width="40.75" style="1" customWidth="1"/>
    <col min="3592" max="3592" width="11.5" style="1" customWidth="1"/>
    <col min="3593" max="3593" width="11.375" style="1" bestFit="1" customWidth="1"/>
    <col min="3594" max="3594" width="12.5" style="1" customWidth="1"/>
    <col min="3595" max="3595" width="16.375" style="1" bestFit="1" customWidth="1"/>
    <col min="3596" max="3596" width="14.875" style="1" bestFit="1" customWidth="1"/>
    <col min="3597" max="3597" width="14.875" style="1" customWidth="1"/>
    <col min="3598" max="3598" width="14.875" style="1" bestFit="1" customWidth="1"/>
    <col min="3599" max="3599" width="14.75" style="1" bestFit="1" customWidth="1"/>
    <col min="3600" max="3600" width="13.625" style="1" bestFit="1" customWidth="1"/>
    <col min="3601" max="3601" width="16.375" style="1" bestFit="1" customWidth="1"/>
    <col min="3602" max="3602" width="15.875" style="1" customWidth="1"/>
    <col min="3603" max="3603" width="14.875" style="1" bestFit="1" customWidth="1"/>
    <col min="3604" max="3604" width="15.625" style="1" customWidth="1"/>
    <col min="3605" max="3605" width="16.25" style="1" customWidth="1"/>
    <col min="3606" max="3606" width="16.625" style="1" bestFit="1" customWidth="1"/>
    <col min="3607" max="3840" width="9" style="1"/>
    <col min="3841" max="3841" width="5.375" style="1" bestFit="1" customWidth="1"/>
    <col min="3842" max="3842" width="4.75" style="1" customWidth="1"/>
    <col min="3843" max="3843" width="17.625" style="1" customWidth="1"/>
    <col min="3844" max="3844" width="22.125" style="1" customWidth="1"/>
    <col min="3845" max="3845" width="17.5" style="1" customWidth="1"/>
    <col min="3846" max="3846" width="12" style="1" customWidth="1"/>
    <col min="3847" max="3847" width="40.75" style="1" customWidth="1"/>
    <col min="3848" max="3848" width="11.5" style="1" customWidth="1"/>
    <col min="3849" max="3849" width="11.375" style="1" bestFit="1" customWidth="1"/>
    <col min="3850" max="3850" width="12.5" style="1" customWidth="1"/>
    <col min="3851" max="3851" width="16.375" style="1" bestFit="1" customWidth="1"/>
    <col min="3852" max="3852" width="14.875" style="1" bestFit="1" customWidth="1"/>
    <col min="3853" max="3853" width="14.875" style="1" customWidth="1"/>
    <col min="3854" max="3854" width="14.875" style="1" bestFit="1" customWidth="1"/>
    <col min="3855" max="3855" width="14.75" style="1" bestFit="1" customWidth="1"/>
    <col min="3856" max="3856" width="13.625" style="1" bestFit="1" customWidth="1"/>
    <col min="3857" max="3857" width="16.375" style="1" bestFit="1" customWidth="1"/>
    <col min="3858" max="3858" width="15.875" style="1" customWidth="1"/>
    <col min="3859" max="3859" width="14.875" style="1" bestFit="1" customWidth="1"/>
    <col min="3860" max="3860" width="15.625" style="1" customWidth="1"/>
    <col min="3861" max="3861" width="16.25" style="1" customWidth="1"/>
    <col min="3862" max="3862" width="16.625" style="1" bestFit="1" customWidth="1"/>
    <col min="3863" max="4096" width="9" style="1"/>
    <col min="4097" max="4097" width="5.375" style="1" bestFit="1" customWidth="1"/>
    <col min="4098" max="4098" width="4.75" style="1" customWidth="1"/>
    <col min="4099" max="4099" width="17.625" style="1" customWidth="1"/>
    <col min="4100" max="4100" width="22.125" style="1" customWidth="1"/>
    <col min="4101" max="4101" width="17.5" style="1" customWidth="1"/>
    <col min="4102" max="4102" width="12" style="1" customWidth="1"/>
    <col min="4103" max="4103" width="40.75" style="1" customWidth="1"/>
    <col min="4104" max="4104" width="11.5" style="1" customWidth="1"/>
    <col min="4105" max="4105" width="11.375" style="1" bestFit="1" customWidth="1"/>
    <col min="4106" max="4106" width="12.5" style="1" customWidth="1"/>
    <col min="4107" max="4107" width="16.375" style="1" bestFit="1" customWidth="1"/>
    <col min="4108" max="4108" width="14.875" style="1" bestFit="1" customWidth="1"/>
    <col min="4109" max="4109" width="14.875" style="1" customWidth="1"/>
    <col min="4110" max="4110" width="14.875" style="1" bestFit="1" customWidth="1"/>
    <col min="4111" max="4111" width="14.75" style="1" bestFit="1" customWidth="1"/>
    <col min="4112" max="4112" width="13.625" style="1" bestFit="1" customWidth="1"/>
    <col min="4113" max="4113" width="16.375" style="1" bestFit="1" customWidth="1"/>
    <col min="4114" max="4114" width="15.875" style="1" customWidth="1"/>
    <col min="4115" max="4115" width="14.875" style="1" bestFit="1" customWidth="1"/>
    <col min="4116" max="4116" width="15.625" style="1" customWidth="1"/>
    <col min="4117" max="4117" width="16.25" style="1" customWidth="1"/>
    <col min="4118" max="4118" width="16.625" style="1" bestFit="1" customWidth="1"/>
    <col min="4119" max="4352" width="9" style="1"/>
    <col min="4353" max="4353" width="5.375" style="1" bestFit="1" customWidth="1"/>
    <col min="4354" max="4354" width="4.75" style="1" customWidth="1"/>
    <col min="4355" max="4355" width="17.625" style="1" customWidth="1"/>
    <col min="4356" max="4356" width="22.125" style="1" customWidth="1"/>
    <col min="4357" max="4357" width="17.5" style="1" customWidth="1"/>
    <col min="4358" max="4358" width="12" style="1" customWidth="1"/>
    <col min="4359" max="4359" width="40.75" style="1" customWidth="1"/>
    <col min="4360" max="4360" width="11.5" style="1" customWidth="1"/>
    <col min="4361" max="4361" width="11.375" style="1" bestFit="1" customWidth="1"/>
    <col min="4362" max="4362" width="12.5" style="1" customWidth="1"/>
    <col min="4363" max="4363" width="16.375" style="1" bestFit="1" customWidth="1"/>
    <col min="4364" max="4364" width="14.875" style="1" bestFit="1" customWidth="1"/>
    <col min="4365" max="4365" width="14.875" style="1" customWidth="1"/>
    <col min="4366" max="4366" width="14.875" style="1" bestFit="1" customWidth="1"/>
    <col min="4367" max="4367" width="14.75" style="1" bestFit="1" customWidth="1"/>
    <col min="4368" max="4368" width="13.625" style="1" bestFit="1" customWidth="1"/>
    <col min="4369" max="4369" width="16.375" style="1" bestFit="1" customWidth="1"/>
    <col min="4370" max="4370" width="15.875" style="1" customWidth="1"/>
    <col min="4371" max="4371" width="14.875" style="1" bestFit="1" customWidth="1"/>
    <col min="4372" max="4372" width="15.625" style="1" customWidth="1"/>
    <col min="4373" max="4373" width="16.25" style="1" customWidth="1"/>
    <col min="4374" max="4374" width="16.625" style="1" bestFit="1" customWidth="1"/>
    <col min="4375" max="4608" width="9" style="1"/>
    <col min="4609" max="4609" width="5.375" style="1" bestFit="1" customWidth="1"/>
    <col min="4610" max="4610" width="4.75" style="1" customWidth="1"/>
    <col min="4611" max="4611" width="17.625" style="1" customWidth="1"/>
    <col min="4612" max="4612" width="22.125" style="1" customWidth="1"/>
    <col min="4613" max="4613" width="17.5" style="1" customWidth="1"/>
    <col min="4614" max="4614" width="12" style="1" customWidth="1"/>
    <col min="4615" max="4615" width="40.75" style="1" customWidth="1"/>
    <col min="4616" max="4616" width="11.5" style="1" customWidth="1"/>
    <col min="4617" max="4617" width="11.375" style="1" bestFit="1" customWidth="1"/>
    <col min="4618" max="4618" width="12.5" style="1" customWidth="1"/>
    <col min="4619" max="4619" width="16.375" style="1" bestFit="1" customWidth="1"/>
    <col min="4620" max="4620" width="14.875" style="1" bestFit="1" customWidth="1"/>
    <col min="4621" max="4621" width="14.875" style="1" customWidth="1"/>
    <col min="4622" max="4622" width="14.875" style="1" bestFit="1" customWidth="1"/>
    <col min="4623" max="4623" width="14.75" style="1" bestFit="1" customWidth="1"/>
    <col min="4624" max="4624" width="13.625" style="1" bestFit="1" customWidth="1"/>
    <col min="4625" max="4625" width="16.375" style="1" bestFit="1" customWidth="1"/>
    <col min="4626" max="4626" width="15.875" style="1" customWidth="1"/>
    <col min="4627" max="4627" width="14.875" style="1" bestFit="1" customWidth="1"/>
    <col min="4628" max="4628" width="15.625" style="1" customWidth="1"/>
    <col min="4629" max="4629" width="16.25" style="1" customWidth="1"/>
    <col min="4630" max="4630" width="16.625" style="1" bestFit="1" customWidth="1"/>
    <col min="4631" max="4864" width="9" style="1"/>
    <col min="4865" max="4865" width="5.375" style="1" bestFit="1" customWidth="1"/>
    <col min="4866" max="4866" width="4.75" style="1" customWidth="1"/>
    <col min="4867" max="4867" width="17.625" style="1" customWidth="1"/>
    <col min="4868" max="4868" width="22.125" style="1" customWidth="1"/>
    <col min="4869" max="4869" width="17.5" style="1" customWidth="1"/>
    <col min="4870" max="4870" width="12" style="1" customWidth="1"/>
    <col min="4871" max="4871" width="40.75" style="1" customWidth="1"/>
    <col min="4872" max="4872" width="11.5" style="1" customWidth="1"/>
    <col min="4873" max="4873" width="11.375" style="1" bestFit="1" customWidth="1"/>
    <col min="4874" max="4874" width="12.5" style="1" customWidth="1"/>
    <col min="4875" max="4875" width="16.375" style="1" bestFit="1" customWidth="1"/>
    <col min="4876" max="4876" width="14.875" style="1" bestFit="1" customWidth="1"/>
    <col min="4877" max="4877" width="14.875" style="1" customWidth="1"/>
    <col min="4878" max="4878" width="14.875" style="1" bestFit="1" customWidth="1"/>
    <col min="4879" max="4879" width="14.75" style="1" bestFit="1" customWidth="1"/>
    <col min="4880" max="4880" width="13.625" style="1" bestFit="1" customWidth="1"/>
    <col min="4881" max="4881" width="16.375" style="1" bestFit="1" customWidth="1"/>
    <col min="4882" max="4882" width="15.875" style="1" customWidth="1"/>
    <col min="4883" max="4883" width="14.875" style="1" bestFit="1" customWidth="1"/>
    <col min="4884" max="4884" width="15.625" style="1" customWidth="1"/>
    <col min="4885" max="4885" width="16.25" style="1" customWidth="1"/>
    <col min="4886" max="4886" width="16.625" style="1" bestFit="1" customWidth="1"/>
    <col min="4887" max="5120" width="9" style="1"/>
    <col min="5121" max="5121" width="5.375" style="1" bestFit="1" customWidth="1"/>
    <col min="5122" max="5122" width="4.75" style="1" customWidth="1"/>
    <col min="5123" max="5123" width="17.625" style="1" customWidth="1"/>
    <col min="5124" max="5124" width="22.125" style="1" customWidth="1"/>
    <col min="5125" max="5125" width="17.5" style="1" customWidth="1"/>
    <col min="5126" max="5126" width="12" style="1" customWidth="1"/>
    <col min="5127" max="5127" width="40.75" style="1" customWidth="1"/>
    <col min="5128" max="5128" width="11.5" style="1" customWidth="1"/>
    <col min="5129" max="5129" width="11.375" style="1" bestFit="1" customWidth="1"/>
    <col min="5130" max="5130" width="12.5" style="1" customWidth="1"/>
    <col min="5131" max="5131" width="16.375" style="1" bestFit="1" customWidth="1"/>
    <col min="5132" max="5132" width="14.875" style="1" bestFit="1" customWidth="1"/>
    <col min="5133" max="5133" width="14.875" style="1" customWidth="1"/>
    <col min="5134" max="5134" width="14.875" style="1" bestFit="1" customWidth="1"/>
    <col min="5135" max="5135" width="14.75" style="1" bestFit="1" customWidth="1"/>
    <col min="5136" max="5136" width="13.625" style="1" bestFit="1" customWidth="1"/>
    <col min="5137" max="5137" width="16.375" style="1" bestFit="1" customWidth="1"/>
    <col min="5138" max="5138" width="15.875" style="1" customWidth="1"/>
    <col min="5139" max="5139" width="14.875" style="1" bestFit="1" customWidth="1"/>
    <col min="5140" max="5140" width="15.625" style="1" customWidth="1"/>
    <col min="5141" max="5141" width="16.25" style="1" customWidth="1"/>
    <col min="5142" max="5142" width="16.625" style="1" bestFit="1" customWidth="1"/>
    <col min="5143" max="5376" width="9" style="1"/>
    <col min="5377" max="5377" width="5.375" style="1" bestFit="1" customWidth="1"/>
    <col min="5378" max="5378" width="4.75" style="1" customWidth="1"/>
    <col min="5379" max="5379" width="17.625" style="1" customWidth="1"/>
    <col min="5380" max="5380" width="22.125" style="1" customWidth="1"/>
    <col min="5381" max="5381" width="17.5" style="1" customWidth="1"/>
    <col min="5382" max="5382" width="12" style="1" customWidth="1"/>
    <col min="5383" max="5383" width="40.75" style="1" customWidth="1"/>
    <col min="5384" max="5384" width="11.5" style="1" customWidth="1"/>
    <col min="5385" max="5385" width="11.375" style="1" bestFit="1" customWidth="1"/>
    <col min="5386" max="5386" width="12.5" style="1" customWidth="1"/>
    <col min="5387" max="5387" width="16.375" style="1" bestFit="1" customWidth="1"/>
    <col min="5388" max="5388" width="14.875" style="1" bestFit="1" customWidth="1"/>
    <col min="5389" max="5389" width="14.875" style="1" customWidth="1"/>
    <col min="5390" max="5390" width="14.875" style="1" bestFit="1" customWidth="1"/>
    <col min="5391" max="5391" width="14.75" style="1" bestFit="1" customWidth="1"/>
    <col min="5392" max="5392" width="13.625" style="1" bestFit="1" customWidth="1"/>
    <col min="5393" max="5393" width="16.375" style="1" bestFit="1" customWidth="1"/>
    <col min="5394" max="5394" width="15.875" style="1" customWidth="1"/>
    <col min="5395" max="5395" width="14.875" style="1" bestFit="1" customWidth="1"/>
    <col min="5396" max="5396" width="15.625" style="1" customWidth="1"/>
    <col min="5397" max="5397" width="16.25" style="1" customWidth="1"/>
    <col min="5398" max="5398" width="16.625" style="1" bestFit="1" customWidth="1"/>
    <col min="5399" max="5632" width="9" style="1"/>
    <col min="5633" max="5633" width="5.375" style="1" bestFit="1" customWidth="1"/>
    <col min="5634" max="5634" width="4.75" style="1" customWidth="1"/>
    <col min="5635" max="5635" width="17.625" style="1" customWidth="1"/>
    <col min="5636" max="5636" width="22.125" style="1" customWidth="1"/>
    <col min="5637" max="5637" width="17.5" style="1" customWidth="1"/>
    <col min="5638" max="5638" width="12" style="1" customWidth="1"/>
    <col min="5639" max="5639" width="40.75" style="1" customWidth="1"/>
    <col min="5640" max="5640" width="11.5" style="1" customWidth="1"/>
    <col min="5641" max="5641" width="11.375" style="1" bestFit="1" customWidth="1"/>
    <col min="5642" max="5642" width="12.5" style="1" customWidth="1"/>
    <col min="5643" max="5643" width="16.375" style="1" bestFit="1" customWidth="1"/>
    <col min="5644" max="5644" width="14.875" style="1" bestFit="1" customWidth="1"/>
    <col min="5645" max="5645" width="14.875" style="1" customWidth="1"/>
    <col min="5646" max="5646" width="14.875" style="1" bestFit="1" customWidth="1"/>
    <col min="5647" max="5647" width="14.75" style="1" bestFit="1" customWidth="1"/>
    <col min="5648" max="5648" width="13.625" style="1" bestFit="1" customWidth="1"/>
    <col min="5649" max="5649" width="16.375" style="1" bestFit="1" customWidth="1"/>
    <col min="5650" max="5650" width="15.875" style="1" customWidth="1"/>
    <col min="5651" max="5651" width="14.875" style="1" bestFit="1" customWidth="1"/>
    <col min="5652" max="5652" width="15.625" style="1" customWidth="1"/>
    <col min="5653" max="5653" width="16.25" style="1" customWidth="1"/>
    <col min="5654" max="5654" width="16.625" style="1" bestFit="1" customWidth="1"/>
    <col min="5655" max="5888" width="9" style="1"/>
    <col min="5889" max="5889" width="5.375" style="1" bestFit="1" customWidth="1"/>
    <col min="5890" max="5890" width="4.75" style="1" customWidth="1"/>
    <col min="5891" max="5891" width="17.625" style="1" customWidth="1"/>
    <col min="5892" max="5892" width="22.125" style="1" customWidth="1"/>
    <col min="5893" max="5893" width="17.5" style="1" customWidth="1"/>
    <col min="5894" max="5894" width="12" style="1" customWidth="1"/>
    <col min="5895" max="5895" width="40.75" style="1" customWidth="1"/>
    <col min="5896" max="5896" width="11.5" style="1" customWidth="1"/>
    <col min="5897" max="5897" width="11.375" style="1" bestFit="1" customWidth="1"/>
    <col min="5898" max="5898" width="12.5" style="1" customWidth="1"/>
    <col min="5899" max="5899" width="16.375" style="1" bestFit="1" customWidth="1"/>
    <col min="5900" max="5900" width="14.875" style="1" bestFit="1" customWidth="1"/>
    <col min="5901" max="5901" width="14.875" style="1" customWidth="1"/>
    <col min="5902" max="5902" width="14.875" style="1" bestFit="1" customWidth="1"/>
    <col min="5903" max="5903" width="14.75" style="1" bestFit="1" customWidth="1"/>
    <col min="5904" max="5904" width="13.625" style="1" bestFit="1" customWidth="1"/>
    <col min="5905" max="5905" width="16.375" style="1" bestFit="1" customWidth="1"/>
    <col min="5906" max="5906" width="15.875" style="1" customWidth="1"/>
    <col min="5907" max="5907" width="14.875" style="1" bestFit="1" customWidth="1"/>
    <col min="5908" max="5908" width="15.625" style="1" customWidth="1"/>
    <col min="5909" max="5909" width="16.25" style="1" customWidth="1"/>
    <col min="5910" max="5910" width="16.625" style="1" bestFit="1" customWidth="1"/>
    <col min="5911" max="6144" width="9" style="1"/>
    <col min="6145" max="6145" width="5.375" style="1" bestFit="1" customWidth="1"/>
    <col min="6146" max="6146" width="4.75" style="1" customWidth="1"/>
    <col min="6147" max="6147" width="17.625" style="1" customWidth="1"/>
    <col min="6148" max="6148" width="22.125" style="1" customWidth="1"/>
    <col min="6149" max="6149" width="17.5" style="1" customWidth="1"/>
    <col min="6150" max="6150" width="12" style="1" customWidth="1"/>
    <col min="6151" max="6151" width="40.75" style="1" customWidth="1"/>
    <col min="6152" max="6152" width="11.5" style="1" customWidth="1"/>
    <col min="6153" max="6153" width="11.375" style="1" bestFit="1" customWidth="1"/>
    <col min="6154" max="6154" width="12.5" style="1" customWidth="1"/>
    <col min="6155" max="6155" width="16.375" style="1" bestFit="1" customWidth="1"/>
    <col min="6156" max="6156" width="14.875" style="1" bestFit="1" customWidth="1"/>
    <col min="6157" max="6157" width="14.875" style="1" customWidth="1"/>
    <col min="6158" max="6158" width="14.875" style="1" bestFit="1" customWidth="1"/>
    <col min="6159" max="6159" width="14.75" style="1" bestFit="1" customWidth="1"/>
    <col min="6160" max="6160" width="13.625" style="1" bestFit="1" customWidth="1"/>
    <col min="6161" max="6161" width="16.375" style="1" bestFit="1" customWidth="1"/>
    <col min="6162" max="6162" width="15.875" style="1" customWidth="1"/>
    <col min="6163" max="6163" width="14.875" style="1" bestFit="1" customWidth="1"/>
    <col min="6164" max="6164" width="15.625" style="1" customWidth="1"/>
    <col min="6165" max="6165" width="16.25" style="1" customWidth="1"/>
    <col min="6166" max="6166" width="16.625" style="1" bestFit="1" customWidth="1"/>
    <col min="6167" max="6400" width="9" style="1"/>
    <col min="6401" max="6401" width="5.375" style="1" bestFit="1" customWidth="1"/>
    <col min="6402" max="6402" width="4.75" style="1" customWidth="1"/>
    <col min="6403" max="6403" width="17.625" style="1" customWidth="1"/>
    <col min="6404" max="6404" width="22.125" style="1" customWidth="1"/>
    <col min="6405" max="6405" width="17.5" style="1" customWidth="1"/>
    <col min="6406" max="6406" width="12" style="1" customWidth="1"/>
    <col min="6407" max="6407" width="40.75" style="1" customWidth="1"/>
    <col min="6408" max="6408" width="11.5" style="1" customWidth="1"/>
    <col min="6409" max="6409" width="11.375" style="1" bestFit="1" customWidth="1"/>
    <col min="6410" max="6410" width="12.5" style="1" customWidth="1"/>
    <col min="6411" max="6411" width="16.375" style="1" bestFit="1" customWidth="1"/>
    <col min="6412" max="6412" width="14.875" style="1" bestFit="1" customWidth="1"/>
    <col min="6413" max="6413" width="14.875" style="1" customWidth="1"/>
    <col min="6414" max="6414" width="14.875" style="1" bestFit="1" customWidth="1"/>
    <col min="6415" max="6415" width="14.75" style="1" bestFit="1" customWidth="1"/>
    <col min="6416" max="6416" width="13.625" style="1" bestFit="1" customWidth="1"/>
    <col min="6417" max="6417" width="16.375" style="1" bestFit="1" customWidth="1"/>
    <col min="6418" max="6418" width="15.875" style="1" customWidth="1"/>
    <col min="6419" max="6419" width="14.875" style="1" bestFit="1" customWidth="1"/>
    <col min="6420" max="6420" width="15.625" style="1" customWidth="1"/>
    <col min="6421" max="6421" width="16.25" style="1" customWidth="1"/>
    <col min="6422" max="6422" width="16.625" style="1" bestFit="1" customWidth="1"/>
    <col min="6423" max="6656" width="9" style="1"/>
    <col min="6657" max="6657" width="5.375" style="1" bestFit="1" customWidth="1"/>
    <col min="6658" max="6658" width="4.75" style="1" customWidth="1"/>
    <col min="6659" max="6659" width="17.625" style="1" customWidth="1"/>
    <col min="6660" max="6660" width="22.125" style="1" customWidth="1"/>
    <col min="6661" max="6661" width="17.5" style="1" customWidth="1"/>
    <col min="6662" max="6662" width="12" style="1" customWidth="1"/>
    <col min="6663" max="6663" width="40.75" style="1" customWidth="1"/>
    <col min="6664" max="6664" width="11.5" style="1" customWidth="1"/>
    <col min="6665" max="6665" width="11.375" style="1" bestFit="1" customWidth="1"/>
    <col min="6666" max="6666" width="12.5" style="1" customWidth="1"/>
    <col min="6667" max="6667" width="16.375" style="1" bestFit="1" customWidth="1"/>
    <col min="6668" max="6668" width="14.875" style="1" bestFit="1" customWidth="1"/>
    <col min="6669" max="6669" width="14.875" style="1" customWidth="1"/>
    <col min="6670" max="6670" width="14.875" style="1" bestFit="1" customWidth="1"/>
    <col min="6671" max="6671" width="14.75" style="1" bestFit="1" customWidth="1"/>
    <col min="6672" max="6672" width="13.625" style="1" bestFit="1" customWidth="1"/>
    <col min="6673" max="6673" width="16.375" style="1" bestFit="1" customWidth="1"/>
    <col min="6674" max="6674" width="15.875" style="1" customWidth="1"/>
    <col min="6675" max="6675" width="14.875" style="1" bestFit="1" customWidth="1"/>
    <col min="6676" max="6676" width="15.625" style="1" customWidth="1"/>
    <col min="6677" max="6677" width="16.25" style="1" customWidth="1"/>
    <col min="6678" max="6678" width="16.625" style="1" bestFit="1" customWidth="1"/>
    <col min="6679" max="6912" width="9" style="1"/>
    <col min="6913" max="6913" width="5.375" style="1" bestFit="1" customWidth="1"/>
    <col min="6914" max="6914" width="4.75" style="1" customWidth="1"/>
    <col min="6915" max="6915" width="17.625" style="1" customWidth="1"/>
    <col min="6916" max="6916" width="22.125" style="1" customWidth="1"/>
    <col min="6917" max="6917" width="17.5" style="1" customWidth="1"/>
    <col min="6918" max="6918" width="12" style="1" customWidth="1"/>
    <col min="6919" max="6919" width="40.75" style="1" customWidth="1"/>
    <col min="6920" max="6920" width="11.5" style="1" customWidth="1"/>
    <col min="6921" max="6921" width="11.375" style="1" bestFit="1" customWidth="1"/>
    <col min="6922" max="6922" width="12.5" style="1" customWidth="1"/>
    <col min="6923" max="6923" width="16.375" style="1" bestFit="1" customWidth="1"/>
    <col min="6924" max="6924" width="14.875" style="1" bestFit="1" customWidth="1"/>
    <col min="6925" max="6925" width="14.875" style="1" customWidth="1"/>
    <col min="6926" max="6926" width="14.875" style="1" bestFit="1" customWidth="1"/>
    <col min="6927" max="6927" width="14.75" style="1" bestFit="1" customWidth="1"/>
    <col min="6928" max="6928" width="13.625" style="1" bestFit="1" customWidth="1"/>
    <col min="6929" max="6929" width="16.375" style="1" bestFit="1" customWidth="1"/>
    <col min="6930" max="6930" width="15.875" style="1" customWidth="1"/>
    <col min="6931" max="6931" width="14.875" style="1" bestFit="1" customWidth="1"/>
    <col min="6932" max="6932" width="15.625" style="1" customWidth="1"/>
    <col min="6933" max="6933" width="16.25" style="1" customWidth="1"/>
    <col min="6934" max="6934" width="16.625" style="1" bestFit="1" customWidth="1"/>
    <col min="6935" max="7168" width="9" style="1"/>
    <col min="7169" max="7169" width="5.375" style="1" bestFit="1" customWidth="1"/>
    <col min="7170" max="7170" width="4.75" style="1" customWidth="1"/>
    <col min="7171" max="7171" width="17.625" style="1" customWidth="1"/>
    <col min="7172" max="7172" width="22.125" style="1" customWidth="1"/>
    <col min="7173" max="7173" width="17.5" style="1" customWidth="1"/>
    <col min="7174" max="7174" width="12" style="1" customWidth="1"/>
    <col min="7175" max="7175" width="40.75" style="1" customWidth="1"/>
    <col min="7176" max="7176" width="11.5" style="1" customWidth="1"/>
    <col min="7177" max="7177" width="11.375" style="1" bestFit="1" customWidth="1"/>
    <col min="7178" max="7178" width="12.5" style="1" customWidth="1"/>
    <col min="7179" max="7179" width="16.375" style="1" bestFit="1" customWidth="1"/>
    <col min="7180" max="7180" width="14.875" style="1" bestFit="1" customWidth="1"/>
    <col min="7181" max="7181" width="14.875" style="1" customWidth="1"/>
    <col min="7182" max="7182" width="14.875" style="1" bestFit="1" customWidth="1"/>
    <col min="7183" max="7183" width="14.75" style="1" bestFit="1" customWidth="1"/>
    <col min="7184" max="7184" width="13.625" style="1" bestFit="1" customWidth="1"/>
    <col min="7185" max="7185" width="16.375" style="1" bestFit="1" customWidth="1"/>
    <col min="7186" max="7186" width="15.875" style="1" customWidth="1"/>
    <col min="7187" max="7187" width="14.875" style="1" bestFit="1" customWidth="1"/>
    <col min="7188" max="7188" width="15.625" style="1" customWidth="1"/>
    <col min="7189" max="7189" width="16.25" style="1" customWidth="1"/>
    <col min="7190" max="7190" width="16.625" style="1" bestFit="1" customWidth="1"/>
    <col min="7191" max="7424" width="9" style="1"/>
    <col min="7425" max="7425" width="5.375" style="1" bestFit="1" customWidth="1"/>
    <col min="7426" max="7426" width="4.75" style="1" customWidth="1"/>
    <col min="7427" max="7427" width="17.625" style="1" customWidth="1"/>
    <col min="7428" max="7428" width="22.125" style="1" customWidth="1"/>
    <col min="7429" max="7429" width="17.5" style="1" customWidth="1"/>
    <col min="7430" max="7430" width="12" style="1" customWidth="1"/>
    <col min="7431" max="7431" width="40.75" style="1" customWidth="1"/>
    <col min="7432" max="7432" width="11.5" style="1" customWidth="1"/>
    <col min="7433" max="7433" width="11.375" style="1" bestFit="1" customWidth="1"/>
    <col min="7434" max="7434" width="12.5" style="1" customWidth="1"/>
    <col min="7435" max="7435" width="16.375" style="1" bestFit="1" customWidth="1"/>
    <col min="7436" max="7436" width="14.875" style="1" bestFit="1" customWidth="1"/>
    <col min="7437" max="7437" width="14.875" style="1" customWidth="1"/>
    <col min="7438" max="7438" width="14.875" style="1" bestFit="1" customWidth="1"/>
    <col min="7439" max="7439" width="14.75" style="1" bestFit="1" customWidth="1"/>
    <col min="7440" max="7440" width="13.625" style="1" bestFit="1" customWidth="1"/>
    <col min="7441" max="7441" width="16.375" style="1" bestFit="1" customWidth="1"/>
    <col min="7442" max="7442" width="15.875" style="1" customWidth="1"/>
    <col min="7443" max="7443" width="14.875" style="1" bestFit="1" customWidth="1"/>
    <col min="7444" max="7444" width="15.625" style="1" customWidth="1"/>
    <col min="7445" max="7445" width="16.25" style="1" customWidth="1"/>
    <col min="7446" max="7446" width="16.625" style="1" bestFit="1" customWidth="1"/>
    <col min="7447" max="7680" width="9" style="1"/>
    <col min="7681" max="7681" width="5.375" style="1" bestFit="1" customWidth="1"/>
    <col min="7682" max="7682" width="4.75" style="1" customWidth="1"/>
    <col min="7683" max="7683" width="17.625" style="1" customWidth="1"/>
    <col min="7684" max="7684" width="22.125" style="1" customWidth="1"/>
    <col min="7685" max="7685" width="17.5" style="1" customWidth="1"/>
    <col min="7686" max="7686" width="12" style="1" customWidth="1"/>
    <col min="7687" max="7687" width="40.75" style="1" customWidth="1"/>
    <col min="7688" max="7688" width="11.5" style="1" customWidth="1"/>
    <col min="7689" max="7689" width="11.375" style="1" bestFit="1" customWidth="1"/>
    <col min="7690" max="7690" width="12.5" style="1" customWidth="1"/>
    <col min="7691" max="7691" width="16.375" style="1" bestFit="1" customWidth="1"/>
    <col min="7692" max="7692" width="14.875" style="1" bestFit="1" customWidth="1"/>
    <col min="7693" max="7693" width="14.875" style="1" customWidth="1"/>
    <col min="7694" max="7694" width="14.875" style="1" bestFit="1" customWidth="1"/>
    <col min="7695" max="7695" width="14.75" style="1" bestFit="1" customWidth="1"/>
    <col min="7696" max="7696" width="13.625" style="1" bestFit="1" customWidth="1"/>
    <col min="7697" max="7697" width="16.375" style="1" bestFit="1" customWidth="1"/>
    <col min="7698" max="7698" width="15.875" style="1" customWidth="1"/>
    <col min="7699" max="7699" width="14.875" style="1" bestFit="1" customWidth="1"/>
    <col min="7700" max="7700" width="15.625" style="1" customWidth="1"/>
    <col min="7701" max="7701" width="16.25" style="1" customWidth="1"/>
    <col min="7702" max="7702" width="16.625" style="1" bestFit="1" customWidth="1"/>
    <col min="7703" max="7936" width="9" style="1"/>
    <col min="7937" max="7937" width="5.375" style="1" bestFit="1" customWidth="1"/>
    <col min="7938" max="7938" width="4.75" style="1" customWidth="1"/>
    <col min="7939" max="7939" width="17.625" style="1" customWidth="1"/>
    <col min="7940" max="7940" width="22.125" style="1" customWidth="1"/>
    <col min="7941" max="7941" width="17.5" style="1" customWidth="1"/>
    <col min="7942" max="7942" width="12" style="1" customWidth="1"/>
    <col min="7943" max="7943" width="40.75" style="1" customWidth="1"/>
    <col min="7944" max="7944" width="11.5" style="1" customWidth="1"/>
    <col min="7945" max="7945" width="11.375" style="1" bestFit="1" customWidth="1"/>
    <col min="7946" max="7946" width="12.5" style="1" customWidth="1"/>
    <col min="7947" max="7947" width="16.375" style="1" bestFit="1" customWidth="1"/>
    <col min="7948" max="7948" width="14.875" style="1" bestFit="1" customWidth="1"/>
    <col min="7949" max="7949" width="14.875" style="1" customWidth="1"/>
    <col min="7950" max="7950" width="14.875" style="1" bestFit="1" customWidth="1"/>
    <col min="7951" max="7951" width="14.75" style="1" bestFit="1" customWidth="1"/>
    <col min="7952" max="7952" width="13.625" style="1" bestFit="1" customWidth="1"/>
    <col min="7953" max="7953" width="16.375" style="1" bestFit="1" customWidth="1"/>
    <col min="7954" max="7954" width="15.875" style="1" customWidth="1"/>
    <col min="7955" max="7955" width="14.875" style="1" bestFit="1" customWidth="1"/>
    <col min="7956" max="7956" width="15.625" style="1" customWidth="1"/>
    <col min="7957" max="7957" width="16.25" style="1" customWidth="1"/>
    <col min="7958" max="7958" width="16.625" style="1" bestFit="1" customWidth="1"/>
    <col min="7959" max="8192" width="9" style="1"/>
    <col min="8193" max="8193" width="5.375" style="1" bestFit="1" customWidth="1"/>
    <col min="8194" max="8194" width="4.75" style="1" customWidth="1"/>
    <col min="8195" max="8195" width="17.625" style="1" customWidth="1"/>
    <col min="8196" max="8196" width="22.125" style="1" customWidth="1"/>
    <col min="8197" max="8197" width="17.5" style="1" customWidth="1"/>
    <col min="8198" max="8198" width="12" style="1" customWidth="1"/>
    <col min="8199" max="8199" width="40.75" style="1" customWidth="1"/>
    <col min="8200" max="8200" width="11.5" style="1" customWidth="1"/>
    <col min="8201" max="8201" width="11.375" style="1" bestFit="1" customWidth="1"/>
    <col min="8202" max="8202" width="12.5" style="1" customWidth="1"/>
    <col min="8203" max="8203" width="16.375" style="1" bestFit="1" customWidth="1"/>
    <col min="8204" max="8204" width="14.875" style="1" bestFit="1" customWidth="1"/>
    <col min="8205" max="8205" width="14.875" style="1" customWidth="1"/>
    <col min="8206" max="8206" width="14.875" style="1" bestFit="1" customWidth="1"/>
    <col min="8207" max="8207" width="14.75" style="1" bestFit="1" customWidth="1"/>
    <col min="8208" max="8208" width="13.625" style="1" bestFit="1" customWidth="1"/>
    <col min="8209" max="8209" width="16.375" style="1" bestFit="1" customWidth="1"/>
    <col min="8210" max="8210" width="15.875" style="1" customWidth="1"/>
    <col min="8211" max="8211" width="14.875" style="1" bestFit="1" customWidth="1"/>
    <col min="8212" max="8212" width="15.625" style="1" customWidth="1"/>
    <col min="8213" max="8213" width="16.25" style="1" customWidth="1"/>
    <col min="8214" max="8214" width="16.625" style="1" bestFit="1" customWidth="1"/>
    <col min="8215" max="8448" width="9" style="1"/>
    <col min="8449" max="8449" width="5.375" style="1" bestFit="1" customWidth="1"/>
    <col min="8450" max="8450" width="4.75" style="1" customWidth="1"/>
    <col min="8451" max="8451" width="17.625" style="1" customWidth="1"/>
    <col min="8452" max="8452" width="22.125" style="1" customWidth="1"/>
    <col min="8453" max="8453" width="17.5" style="1" customWidth="1"/>
    <col min="8454" max="8454" width="12" style="1" customWidth="1"/>
    <col min="8455" max="8455" width="40.75" style="1" customWidth="1"/>
    <col min="8456" max="8456" width="11.5" style="1" customWidth="1"/>
    <col min="8457" max="8457" width="11.375" style="1" bestFit="1" customWidth="1"/>
    <col min="8458" max="8458" width="12.5" style="1" customWidth="1"/>
    <col min="8459" max="8459" width="16.375" style="1" bestFit="1" customWidth="1"/>
    <col min="8460" max="8460" width="14.875" style="1" bestFit="1" customWidth="1"/>
    <col min="8461" max="8461" width="14.875" style="1" customWidth="1"/>
    <col min="8462" max="8462" width="14.875" style="1" bestFit="1" customWidth="1"/>
    <col min="8463" max="8463" width="14.75" style="1" bestFit="1" customWidth="1"/>
    <col min="8464" max="8464" width="13.625" style="1" bestFit="1" customWidth="1"/>
    <col min="8465" max="8465" width="16.375" style="1" bestFit="1" customWidth="1"/>
    <col min="8466" max="8466" width="15.875" style="1" customWidth="1"/>
    <col min="8467" max="8467" width="14.875" style="1" bestFit="1" customWidth="1"/>
    <col min="8468" max="8468" width="15.625" style="1" customWidth="1"/>
    <col min="8469" max="8469" width="16.25" style="1" customWidth="1"/>
    <col min="8470" max="8470" width="16.625" style="1" bestFit="1" customWidth="1"/>
    <col min="8471" max="8704" width="9" style="1"/>
    <col min="8705" max="8705" width="5.375" style="1" bestFit="1" customWidth="1"/>
    <col min="8706" max="8706" width="4.75" style="1" customWidth="1"/>
    <col min="8707" max="8707" width="17.625" style="1" customWidth="1"/>
    <col min="8708" max="8708" width="22.125" style="1" customWidth="1"/>
    <col min="8709" max="8709" width="17.5" style="1" customWidth="1"/>
    <col min="8710" max="8710" width="12" style="1" customWidth="1"/>
    <col min="8711" max="8711" width="40.75" style="1" customWidth="1"/>
    <col min="8712" max="8712" width="11.5" style="1" customWidth="1"/>
    <col min="8713" max="8713" width="11.375" style="1" bestFit="1" customWidth="1"/>
    <col min="8714" max="8714" width="12.5" style="1" customWidth="1"/>
    <col min="8715" max="8715" width="16.375" style="1" bestFit="1" customWidth="1"/>
    <col min="8716" max="8716" width="14.875" style="1" bestFit="1" customWidth="1"/>
    <col min="8717" max="8717" width="14.875" style="1" customWidth="1"/>
    <col min="8718" max="8718" width="14.875" style="1" bestFit="1" customWidth="1"/>
    <col min="8719" max="8719" width="14.75" style="1" bestFit="1" customWidth="1"/>
    <col min="8720" max="8720" width="13.625" style="1" bestFit="1" customWidth="1"/>
    <col min="8721" max="8721" width="16.375" style="1" bestFit="1" customWidth="1"/>
    <col min="8722" max="8722" width="15.875" style="1" customWidth="1"/>
    <col min="8723" max="8723" width="14.875" style="1" bestFit="1" customWidth="1"/>
    <col min="8724" max="8724" width="15.625" style="1" customWidth="1"/>
    <col min="8725" max="8725" width="16.25" style="1" customWidth="1"/>
    <col min="8726" max="8726" width="16.625" style="1" bestFit="1" customWidth="1"/>
    <col min="8727" max="8960" width="9" style="1"/>
    <col min="8961" max="8961" width="5.375" style="1" bestFit="1" customWidth="1"/>
    <col min="8962" max="8962" width="4.75" style="1" customWidth="1"/>
    <col min="8963" max="8963" width="17.625" style="1" customWidth="1"/>
    <col min="8964" max="8964" width="22.125" style="1" customWidth="1"/>
    <col min="8965" max="8965" width="17.5" style="1" customWidth="1"/>
    <col min="8966" max="8966" width="12" style="1" customWidth="1"/>
    <col min="8967" max="8967" width="40.75" style="1" customWidth="1"/>
    <col min="8968" max="8968" width="11.5" style="1" customWidth="1"/>
    <col min="8969" max="8969" width="11.375" style="1" bestFit="1" customWidth="1"/>
    <col min="8970" max="8970" width="12.5" style="1" customWidth="1"/>
    <col min="8971" max="8971" width="16.375" style="1" bestFit="1" customWidth="1"/>
    <col min="8972" max="8972" width="14.875" style="1" bestFit="1" customWidth="1"/>
    <col min="8973" max="8973" width="14.875" style="1" customWidth="1"/>
    <col min="8974" max="8974" width="14.875" style="1" bestFit="1" customWidth="1"/>
    <col min="8975" max="8975" width="14.75" style="1" bestFit="1" customWidth="1"/>
    <col min="8976" max="8976" width="13.625" style="1" bestFit="1" customWidth="1"/>
    <col min="8977" max="8977" width="16.375" style="1" bestFit="1" customWidth="1"/>
    <col min="8978" max="8978" width="15.875" style="1" customWidth="1"/>
    <col min="8979" max="8979" width="14.875" style="1" bestFit="1" customWidth="1"/>
    <col min="8980" max="8980" width="15.625" style="1" customWidth="1"/>
    <col min="8981" max="8981" width="16.25" style="1" customWidth="1"/>
    <col min="8982" max="8982" width="16.625" style="1" bestFit="1" customWidth="1"/>
    <col min="8983" max="9216" width="9" style="1"/>
    <col min="9217" max="9217" width="5.375" style="1" bestFit="1" customWidth="1"/>
    <col min="9218" max="9218" width="4.75" style="1" customWidth="1"/>
    <col min="9219" max="9219" width="17.625" style="1" customWidth="1"/>
    <col min="9220" max="9220" width="22.125" style="1" customWidth="1"/>
    <col min="9221" max="9221" width="17.5" style="1" customWidth="1"/>
    <col min="9222" max="9222" width="12" style="1" customWidth="1"/>
    <col min="9223" max="9223" width="40.75" style="1" customWidth="1"/>
    <col min="9224" max="9224" width="11.5" style="1" customWidth="1"/>
    <col min="9225" max="9225" width="11.375" style="1" bestFit="1" customWidth="1"/>
    <col min="9226" max="9226" width="12.5" style="1" customWidth="1"/>
    <col min="9227" max="9227" width="16.375" style="1" bestFit="1" customWidth="1"/>
    <col min="9228" max="9228" width="14.875" style="1" bestFit="1" customWidth="1"/>
    <col min="9229" max="9229" width="14.875" style="1" customWidth="1"/>
    <col min="9230" max="9230" width="14.875" style="1" bestFit="1" customWidth="1"/>
    <col min="9231" max="9231" width="14.75" style="1" bestFit="1" customWidth="1"/>
    <col min="9232" max="9232" width="13.625" style="1" bestFit="1" customWidth="1"/>
    <col min="9233" max="9233" width="16.375" style="1" bestFit="1" customWidth="1"/>
    <col min="9234" max="9234" width="15.875" style="1" customWidth="1"/>
    <col min="9235" max="9235" width="14.875" style="1" bestFit="1" customWidth="1"/>
    <col min="9236" max="9236" width="15.625" style="1" customWidth="1"/>
    <col min="9237" max="9237" width="16.25" style="1" customWidth="1"/>
    <col min="9238" max="9238" width="16.625" style="1" bestFit="1" customWidth="1"/>
    <col min="9239" max="9472" width="9" style="1"/>
    <col min="9473" max="9473" width="5.375" style="1" bestFit="1" customWidth="1"/>
    <col min="9474" max="9474" width="4.75" style="1" customWidth="1"/>
    <col min="9475" max="9475" width="17.625" style="1" customWidth="1"/>
    <col min="9476" max="9476" width="22.125" style="1" customWidth="1"/>
    <col min="9477" max="9477" width="17.5" style="1" customWidth="1"/>
    <col min="9478" max="9478" width="12" style="1" customWidth="1"/>
    <col min="9479" max="9479" width="40.75" style="1" customWidth="1"/>
    <col min="9480" max="9480" width="11.5" style="1" customWidth="1"/>
    <col min="9481" max="9481" width="11.375" style="1" bestFit="1" customWidth="1"/>
    <col min="9482" max="9482" width="12.5" style="1" customWidth="1"/>
    <col min="9483" max="9483" width="16.375" style="1" bestFit="1" customWidth="1"/>
    <col min="9484" max="9484" width="14.875" style="1" bestFit="1" customWidth="1"/>
    <col min="9485" max="9485" width="14.875" style="1" customWidth="1"/>
    <col min="9486" max="9486" width="14.875" style="1" bestFit="1" customWidth="1"/>
    <col min="9487" max="9487" width="14.75" style="1" bestFit="1" customWidth="1"/>
    <col min="9488" max="9488" width="13.625" style="1" bestFit="1" customWidth="1"/>
    <col min="9489" max="9489" width="16.375" style="1" bestFit="1" customWidth="1"/>
    <col min="9490" max="9490" width="15.875" style="1" customWidth="1"/>
    <col min="9491" max="9491" width="14.875" style="1" bestFit="1" customWidth="1"/>
    <col min="9492" max="9492" width="15.625" style="1" customWidth="1"/>
    <col min="9493" max="9493" width="16.25" style="1" customWidth="1"/>
    <col min="9494" max="9494" width="16.625" style="1" bestFit="1" customWidth="1"/>
    <col min="9495" max="9728" width="9" style="1"/>
    <col min="9729" max="9729" width="5.375" style="1" bestFit="1" customWidth="1"/>
    <col min="9730" max="9730" width="4.75" style="1" customWidth="1"/>
    <col min="9731" max="9731" width="17.625" style="1" customWidth="1"/>
    <col min="9732" max="9732" width="22.125" style="1" customWidth="1"/>
    <col min="9733" max="9733" width="17.5" style="1" customWidth="1"/>
    <col min="9734" max="9734" width="12" style="1" customWidth="1"/>
    <col min="9735" max="9735" width="40.75" style="1" customWidth="1"/>
    <col min="9736" max="9736" width="11.5" style="1" customWidth="1"/>
    <col min="9737" max="9737" width="11.375" style="1" bestFit="1" customWidth="1"/>
    <col min="9738" max="9738" width="12.5" style="1" customWidth="1"/>
    <col min="9739" max="9739" width="16.375" style="1" bestFit="1" customWidth="1"/>
    <col min="9740" max="9740" width="14.875" style="1" bestFit="1" customWidth="1"/>
    <col min="9741" max="9741" width="14.875" style="1" customWidth="1"/>
    <col min="9742" max="9742" width="14.875" style="1" bestFit="1" customWidth="1"/>
    <col min="9743" max="9743" width="14.75" style="1" bestFit="1" customWidth="1"/>
    <col min="9744" max="9744" width="13.625" style="1" bestFit="1" customWidth="1"/>
    <col min="9745" max="9745" width="16.375" style="1" bestFit="1" customWidth="1"/>
    <col min="9746" max="9746" width="15.875" style="1" customWidth="1"/>
    <col min="9747" max="9747" width="14.875" style="1" bestFit="1" customWidth="1"/>
    <col min="9748" max="9748" width="15.625" style="1" customWidth="1"/>
    <col min="9749" max="9749" width="16.25" style="1" customWidth="1"/>
    <col min="9750" max="9750" width="16.625" style="1" bestFit="1" customWidth="1"/>
    <col min="9751" max="9984" width="9" style="1"/>
    <col min="9985" max="9985" width="5.375" style="1" bestFit="1" customWidth="1"/>
    <col min="9986" max="9986" width="4.75" style="1" customWidth="1"/>
    <col min="9987" max="9987" width="17.625" style="1" customWidth="1"/>
    <col min="9988" max="9988" width="22.125" style="1" customWidth="1"/>
    <col min="9989" max="9989" width="17.5" style="1" customWidth="1"/>
    <col min="9990" max="9990" width="12" style="1" customWidth="1"/>
    <col min="9991" max="9991" width="40.75" style="1" customWidth="1"/>
    <col min="9992" max="9992" width="11.5" style="1" customWidth="1"/>
    <col min="9993" max="9993" width="11.375" style="1" bestFit="1" customWidth="1"/>
    <col min="9994" max="9994" width="12.5" style="1" customWidth="1"/>
    <col min="9995" max="9995" width="16.375" style="1" bestFit="1" customWidth="1"/>
    <col min="9996" max="9996" width="14.875" style="1" bestFit="1" customWidth="1"/>
    <col min="9997" max="9997" width="14.875" style="1" customWidth="1"/>
    <col min="9998" max="9998" width="14.875" style="1" bestFit="1" customWidth="1"/>
    <col min="9999" max="9999" width="14.75" style="1" bestFit="1" customWidth="1"/>
    <col min="10000" max="10000" width="13.625" style="1" bestFit="1" customWidth="1"/>
    <col min="10001" max="10001" width="16.375" style="1" bestFit="1" customWidth="1"/>
    <col min="10002" max="10002" width="15.875" style="1" customWidth="1"/>
    <col min="10003" max="10003" width="14.875" style="1" bestFit="1" customWidth="1"/>
    <col min="10004" max="10004" width="15.625" style="1" customWidth="1"/>
    <col min="10005" max="10005" width="16.25" style="1" customWidth="1"/>
    <col min="10006" max="10006" width="16.625" style="1" bestFit="1" customWidth="1"/>
    <col min="10007" max="10240" width="9" style="1"/>
    <col min="10241" max="10241" width="5.375" style="1" bestFit="1" customWidth="1"/>
    <col min="10242" max="10242" width="4.75" style="1" customWidth="1"/>
    <col min="10243" max="10243" width="17.625" style="1" customWidth="1"/>
    <col min="10244" max="10244" width="22.125" style="1" customWidth="1"/>
    <col min="10245" max="10245" width="17.5" style="1" customWidth="1"/>
    <col min="10246" max="10246" width="12" style="1" customWidth="1"/>
    <col min="10247" max="10247" width="40.75" style="1" customWidth="1"/>
    <col min="10248" max="10248" width="11.5" style="1" customWidth="1"/>
    <col min="10249" max="10249" width="11.375" style="1" bestFit="1" customWidth="1"/>
    <col min="10250" max="10250" width="12.5" style="1" customWidth="1"/>
    <col min="10251" max="10251" width="16.375" style="1" bestFit="1" customWidth="1"/>
    <col min="10252" max="10252" width="14.875" style="1" bestFit="1" customWidth="1"/>
    <col min="10253" max="10253" width="14.875" style="1" customWidth="1"/>
    <col min="10254" max="10254" width="14.875" style="1" bestFit="1" customWidth="1"/>
    <col min="10255" max="10255" width="14.75" style="1" bestFit="1" customWidth="1"/>
    <col min="10256" max="10256" width="13.625" style="1" bestFit="1" customWidth="1"/>
    <col min="10257" max="10257" width="16.375" style="1" bestFit="1" customWidth="1"/>
    <col min="10258" max="10258" width="15.875" style="1" customWidth="1"/>
    <col min="10259" max="10259" width="14.875" style="1" bestFit="1" customWidth="1"/>
    <col min="10260" max="10260" width="15.625" style="1" customWidth="1"/>
    <col min="10261" max="10261" width="16.25" style="1" customWidth="1"/>
    <col min="10262" max="10262" width="16.625" style="1" bestFit="1" customWidth="1"/>
    <col min="10263" max="10496" width="9" style="1"/>
    <col min="10497" max="10497" width="5.375" style="1" bestFit="1" customWidth="1"/>
    <col min="10498" max="10498" width="4.75" style="1" customWidth="1"/>
    <col min="10499" max="10499" width="17.625" style="1" customWidth="1"/>
    <col min="10500" max="10500" width="22.125" style="1" customWidth="1"/>
    <col min="10501" max="10501" width="17.5" style="1" customWidth="1"/>
    <col min="10502" max="10502" width="12" style="1" customWidth="1"/>
    <col min="10503" max="10503" width="40.75" style="1" customWidth="1"/>
    <col min="10504" max="10504" width="11.5" style="1" customWidth="1"/>
    <col min="10505" max="10505" width="11.375" style="1" bestFit="1" customWidth="1"/>
    <col min="10506" max="10506" width="12.5" style="1" customWidth="1"/>
    <col min="10507" max="10507" width="16.375" style="1" bestFit="1" customWidth="1"/>
    <col min="10508" max="10508" width="14.875" style="1" bestFit="1" customWidth="1"/>
    <col min="10509" max="10509" width="14.875" style="1" customWidth="1"/>
    <col min="10510" max="10510" width="14.875" style="1" bestFit="1" customWidth="1"/>
    <col min="10511" max="10511" width="14.75" style="1" bestFit="1" customWidth="1"/>
    <col min="10512" max="10512" width="13.625" style="1" bestFit="1" customWidth="1"/>
    <col min="10513" max="10513" width="16.375" style="1" bestFit="1" customWidth="1"/>
    <col min="10514" max="10514" width="15.875" style="1" customWidth="1"/>
    <col min="10515" max="10515" width="14.875" style="1" bestFit="1" customWidth="1"/>
    <col min="10516" max="10516" width="15.625" style="1" customWidth="1"/>
    <col min="10517" max="10517" width="16.25" style="1" customWidth="1"/>
    <col min="10518" max="10518" width="16.625" style="1" bestFit="1" customWidth="1"/>
    <col min="10519" max="10752" width="9" style="1"/>
    <col min="10753" max="10753" width="5.375" style="1" bestFit="1" customWidth="1"/>
    <col min="10754" max="10754" width="4.75" style="1" customWidth="1"/>
    <col min="10755" max="10755" width="17.625" style="1" customWidth="1"/>
    <col min="10756" max="10756" width="22.125" style="1" customWidth="1"/>
    <col min="10757" max="10757" width="17.5" style="1" customWidth="1"/>
    <col min="10758" max="10758" width="12" style="1" customWidth="1"/>
    <col min="10759" max="10759" width="40.75" style="1" customWidth="1"/>
    <col min="10760" max="10760" width="11.5" style="1" customWidth="1"/>
    <col min="10761" max="10761" width="11.375" style="1" bestFit="1" customWidth="1"/>
    <col min="10762" max="10762" width="12.5" style="1" customWidth="1"/>
    <col min="10763" max="10763" width="16.375" style="1" bestFit="1" customWidth="1"/>
    <col min="10764" max="10764" width="14.875" style="1" bestFit="1" customWidth="1"/>
    <col min="10765" max="10765" width="14.875" style="1" customWidth="1"/>
    <col min="10766" max="10766" width="14.875" style="1" bestFit="1" customWidth="1"/>
    <col min="10767" max="10767" width="14.75" style="1" bestFit="1" customWidth="1"/>
    <col min="10768" max="10768" width="13.625" style="1" bestFit="1" customWidth="1"/>
    <col min="10769" max="10769" width="16.375" style="1" bestFit="1" customWidth="1"/>
    <col min="10770" max="10770" width="15.875" style="1" customWidth="1"/>
    <col min="10771" max="10771" width="14.875" style="1" bestFit="1" customWidth="1"/>
    <col min="10772" max="10772" width="15.625" style="1" customWidth="1"/>
    <col min="10773" max="10773" width="16.25" style="1" customWidth="1"/>
    <col min="10774" max="10774" width="16.625" style="1" bestFit="1" customWidth="1"/>
    <col min="10775" max="11008" width="9" style="1"/>
    <col min="11009" max="11009" width="5.375" style="1" bestFit="1" customWidth="1"/>
    <col min="11010" max="11010" width="4.75" style="1" customWidth="1"/>
    <col min="11011" max="11011" width="17.625" style="1" customWidth="1"/>
    <col min="11012" max="11012" width="22.125" style="1" customWidth="1"/>
    <col min="11013" max="11013" width="17.5" style="1" customWidth="1"/>
    <col min="11014" max="11014" width="12" style="1" customWidth="1"/>
    <col min="11015" max="11015" width="40.75" style="1" customWidth="1"/>
    <col min="11016" max="11016" width="11.5" style="1" customWidth="1"/>
    <col min="11017" max="11017" width="11.375" style="1" bestFit="1" customWidth="1"/>
    <col min="11018" max="11018" width="12.5" style="1" customWidth="1"/>
    <col min="11019" max="11019" width="16.375" style="1" bestFit="1" customWidth="1"/>
    <col min="11020" max="11020" width="14.875" style="1" bestFit="1" customWidth="1"/>
    <col min="11021" max="11021" width="14.875" style="1" customWidth="1"/>
    <col min="11022" max="11022" width="14.875" style="1" bestFit="1" customWidth="1"/>
    <col min="11023" max="11023" width="14.75" style="1" bestFit="1" customWidth="1"/>
    <col min="11024" max="11024" width="13.625" style="1" bestFit="1" customWidth="1"/>
    <col min="11025" max="11025" width="16.375" style="1" bestFit="1" customWidth="1"/>
    <col min="11026" max="11026" width="15.875" style="1" customWidth="1"/>
    <col min="11027" max="11027" width="14.875" style="1" bestFit="1" customWidth="1"/>
    <col min="11028" max="11028" width="15.625" style="1" customWidth="1"/>
    <col min="11029" max="11029" width="16.25" style="1" customWidth="1"/>
    <col min="11030" max="11030" width="16.625" style="1" bestFit="1" customWidth="1"/>
    <col min="11031" max="11264" width="9" style="1"/>
    <col min="11265" max="11265" width="5.375" style="1" bestFit="1" customWidth="1"/>
    <col min="11266" max="11266" width="4.75" style="1" customWidth="1"/>
    <col min="11267" max="11267" width="17.625" style="1" customWidth="1"/>
    <col min="11268" max="11268" width="22.125" style="1" customWidth="1"/>
    <col min="11269" max="11269" width="17.5" style="1" customWidth="1"/>
    <col min="11270" max="11270" width="12" style="1" customWidth="1"/>
    <col min="11271" max="11271" width="40.75" style="1" customWidth="1"/>
    <col min="11272" max="11272" width="11.5" style="1" customWidth="1"/>
    <col min="11273" max="11273" width="11.375" style="1" bestFit="1" customWidth="1"/>
    <col min="11274" max="11274" width="12.5" style="1" customWidth="1"/>
    <col min="11275" max="11275" width="16.375" style="1" bestFit="1" customWidth="1"/>
    <col min="11276" max="11276" width="14.875" style="1" bestFit="1" customWidth="1"/>
    <col min="11277" max="11277" width="14.875" style="1" customWidth="1"/>
    <col min="11278" max="11278" width="14.875" style="1" bestFit="1" customWidth="1"/>
    <col min="11279" max="11279" width="14.75" style="1" bestFit="1" customWidth="1"/>
    <col min="11280" max="11280" width="13.625" style="1" bestFit="1" customWidth="1"/>
    <col min="11281" max="11281" width="16.375" style="1" bestFit="1" customWidth="1"/>
    <col min="11282" max="11282" width="15.875" style="1" customWidth="1"/>
    <col min="11283" max="11283" width="14.875" style="1" bestFit="1" customWidth="1"/>
    <col min="11284" max="11284" width="15.625" style="1" customWidth="1"/>
    <col min="11285" max="11285" width="16.25" style="1" customWidth="1"/>
    <col min="11286" max="11286" width="16.625" style="1" bestFit="1" customWidth="1"/>
    <col min="11287" max="11520" width="9" style="1"/>
    <col min="11521" max="11521" width="5.375" style="1" bestFit="1" customWidth="1"/>
    <col min="11522" max="11522" width="4.75" style="1" customWidth="1"/>
    <col min="11523" max="11523" width="17.625" style="1" customWidth="1"/>
    <col min="11524" max="11524" width="22.125" style="1" customWidth="1"/>
    <col min="11525" max="11525" width="17.5" style="1" customWidth="1"/>
    <col min="11526" max="11526" width="12" style="1" customWidth="1"/>
    <col min="11527" max="11527" width="40.75" style="1" customWidth="1"/>
    <col min="11528" max="11528" width="11.5" style="1" customWidth="1"/>
    <col min="11529" max="11529" width="11.375" style="1" bestFit="1" customWidth="1"/>
    <col min="11530" max="11530" width="12.5" style="1" customWidth="1"/>
    <col min="11531" max="11531" width="16.375" style="1" bestFit="1" customWidth="1"/>
    <col min="11532" max="11532" width="14.875" style="1" bestFit="1" customWidth="1"/>
    <col min="11533" max="11533" width="14.875" style="1" customWidth="1"/>
    <col min="11534" max="11534" width="14.875" style="1" bestFit="1" customWidth="1"/>
    <col min="11535" max="11535" width="14.75" style="1" bestFit="1" customWidth="1"/>
    <col min="11536" max="11536" width="13.625" style="1" bestFit="1" customWidth="1"/>
    <col min="11537" max="11537" width="16.375" style="1" bestFit="1" customWidth="1"/>
    <col min="11538" max="11538" width="15.875" style="1" customWidth="1"/>
    <col min="11539" max="11539" width="14.875" style="1" bestFit="1" customWidth="1"/>
    <col min="11540" max="11540" width="15.625" style="1" customWidth="1"/>
    <col min="11541" max="11541" width="16.25" style="1" customWidth="1"/>
    <col min="11542" max="11542" width="16.625" style="1" bestFit="1" customWidth="1"/>
    <col min="11543" max="11776" width="9" style="1"/>
    <col min="11777" max="11777" width="5.375" style="1" bestFit="1" customWidth="1"/>
    <col min="11778" max="11778" width="4.75" style="1" customWidth="1"/>
    <col min="11779" max="11779" width="17.625" style="1" customWidth="1"/>
    <col min="11780" max="11780" width="22.125" style="1" customWidth="1"/>
    <col min="11781" max="11781" width="17.5" style="1" customWidth="1"/>
    <col min="11782" max="11782" width="12" style="1" customWidth="1"/>
    <col min="11783" max="11783" width="40.75" style="1" customWidth="1"/>
    <col min="11784" max="11784" width="11.5" style="1" customWidth="1"/>
    <col min="11785" max="11785" width="11.375" style="1" bestFit="1" customWidth="1"/>
    <col min="11786" max="11786" width="12.5" style="1" customWidth="1"/>
    <col min="11787" max="11787" width="16.375" style="1" bestFit="1" customWidth="1"/>
    <col min="11788" max="11788" width="14.875" style="1" bestFit="1" customWidth="1"/>
    <col min="11789" max="11789" width="14.875" style="1" customWidth="1"/>
    <col min="11790" max="11790" width="14.875" style="1" bestFit="1" customWidth="1"/>
    <col min="11791" max="11791" width="14.75" style="1" bestFit="1" customWidth="1"/>
    <col min="11792" max="11792" width="13.625" style="1" bestFit="1" customWidth="1"/>
    <col min="11793" max="11793" width="16.375" style="1" bestFit="1" customWidth="1"/>
    <col min="11794" max="11794" width="15.875" style="1" customWidth="1"/>
    <col min="11795" max="11795" width="14.875" style="1" bestFit="1" customWidth="1"/>
    <col min="11796" max="11796" width="15.625" style="1" customWidth="1"/>
    <col min="11797" max="11797" width="16.25" style="1" customWidth="1"/>
    <col min="11798" max="11798" width="16.625" style="1" bestFit="1" customWidth="1"/>
    <col min="11799" max="12032" width="9" style="1"/>
    <col min="12033" max="12033" width="5.375" style="1" bestFit="1" customWidth="1"/>
    <col min="12034" max="12034" width="4.75" style="1" customWidth="1"/>
    <col min="12035" max="12035" width="17.625" style="1" customWidth="1"/>
    <col min="12036" max="12036" width="22.125" style="1" customWidth="1"/>
    <col min="12037" max="12037" width="17.5" style="1" customWidth="1"/>
    <col min="12038" max="12038" width="12" style="1" customWidth="1"/>
    <col min="12039" max="12039" width="40.75" style="1" customWidth="1"/>
    <col min="12040" max="12040" width="11.5" style="1" customWidth="1"/>
    <col min="12041" max="12041" width="11.375" style="1" bestFit="1" customWidth="1"/>
    <col min="12042" max="12042" width="12.5" style="1" customWidth="1"/>
    <col min="12043" max="12043" width="16.375" style="1" bestFit="1" customWidth="1"/>
    <col min="12044" max="12044" width="14.875" style="1" bestFit="1" customWidth="1"/>
    <col min="12045" max="12045" width="14.875" style="1" customWidth="1"/>
    <col min="12046" max="12046" width="14.875" style="1" bestFit="1" customWidth="1"/>
    <col min="12047" max="12047" width="14.75" style="1" bestFit="1" customWidth="1"/>
    <col min="12048" max="12048" width="13.625" style="1" bestFit="1" customWidth="1"/>
    <col min="12049" max="12049" width="16.375" style="1" bestFit="1" customWidth="1"/>
    <col min="12050" max="12050" width="15.875" style="1" customWidth="1"/>
    <col min="12051" max="12051" width="14.875" style="1" bestFit="1" customWidth="1"/>
    <col min="12052" max="12052" width="15.625" style="1" customWidth="1"/>
    <col min="12053" max="12053" width="16.25" style="1" customWidth="1"/>
    <col min="12054" max="12054" width="16.625" style="1" bestFit="1" customWidth="1"/>
    <col min="12055" max="12288" width="9" style="1"/>
    <col min="12289" max="12289" width="5.375" style="1" bestFit="1" customWidth="1"/>
    <col min="12290" max="12290" width="4.75" style="1" customWidth="1"/>
    <col min="12291" max="12291" width="17.625" style="1" customWidth="1"/>
    <col min="12292" max="12292" width="22.125" style="1" customWidth="1"/>
    <col min="12293" max="12293" width="17.5" style="1" customWidth="1"/>
    <col min="12294" max="12294" width="12" style="1" customWidth="1"/>
    <col min="12295" max="12295" width="40.75" style="1" customWidth="1"/>
    <col min="12296" max="12296" width="11.5" style="1" customWidth="1"/>
    <col min="12297" max="12297" width="11.375" style="1" bestFit="1" customWidth="1"/>
    <col min="12298" max="12298" width="12.5" style="1" customWidth="1"/>
    <col min="12299" max="12299" width="16.375" style="1" bestFit="1" customWidth="1"/>
    <col min="12300" max="12300" width="14.875" style="1" bestFit="1" customWidth="1"/>
    <col min="12301" max="12301" width="14.875" style="1" customWidth="1"/>
    <col min="12302" max="12302" width="14.875" style="1" bestFit="1" customWidth="1"/>
    <col min="12303" max="12303" width="14.75" style="1" bestFit="1" customWidth="1"/>
    <col min="12304" max="12304" width="13.625" style="1" bestFit="1" customWidth="1"/>
    <col min="12305" max="12305" width="16.375" style="1" bestFit="1" customWidth="1"/>
    <col min="12306" max="12306" width="15.875" style="1" customWidth="1"/>
    <col min="12307" max="12307" width="14.875" style="1" bestFit="1" customWidth="1"/>
    <col min="12308" max="12308" width="15.625" style="1" customWidth="1"/>
    <col min="12309" max="12309" width="16.25" style="1" customWidth="1"/>
    <col min="12310" max="12310" width="16.625" style="1" bestFit="1" customWidth="1"/>
    <col min="12311" max="12544" width="9" style="1"/>
    <col min="12545" max="12545" width="5.375" style="1" bestFit="1" customWidth="1"/>
    <col min="12546" max="12546" width="4.75" style="1" customWidth="1"/>
    <col min="12547" max="12547" width="17.625" style="1" customWidth="1"/>
    <col min="12548" max="12548" width="22.125" style="1" customWidth="1"/>
    <col min="12549" max="12549" width="17.5" style="1" customWidth="1"/>
    <col min="12550" max="12550" width="12" style="1" customWidth="1"/>
    <col min="12551" max="12551" width="40.75" style="1" customWidth="1"/>
    <col min="12552" max="12552" width="11.5" style="1" customWidth="1"/>
    <col min="12553" max="12553" width="11.375" style="1" bestFit="1" customWidth="1"/>
    <col min="12554" max="12554" width="12.5" style="1" customWidth="1"/>
    <col min="12555" max="12555" width="16.375" style="1" bestFit="1" customWidth="1"/>
    <col min="12556" max="12556" width="14.875" style="1" bestFit="1" customWidth="1"/>
    <col min="12557" max="12557" width="14.875" style="1" customWidth="1"/>
    <col min="12558" max="12558" width="14.875" style="1" bestFit="1" customWidth="1"/>
    <col min="12559" max="12559" width="14.75" style="1" bestFit="1" customWidth="1"/>
    <col min="12560" max="12560" width="13.625" style="1" bestFit="1" customWidth="1"/>
    <col min="12561" max="12561" width="16.375" style="1" bestFit="1" customWidth="1"/>
    <col min="12562" max="12562" width="15.875" style="1" customWidth="1"/>
    <col min="12563" max="12563" width="14.875" style="1" bestFit="1" customWidth="1"/>
    <col min="12564" max="12564" width="15.625" style="1" customWidth="1"/>
    <col min="12565" max="12565" width="16.25" style="1" customWidth="1"/>
    <col min="12566" max="12566" width="16.625" style="1" bestFit="1" customWidth="1"/>
    <col min="12567" max="12800" width="9" style="1"/>
    <col min="12801" max="12801" width="5.375" style="1" bestFit="1" customWidth="1"/>
    <col min="12802" max="12802" width="4.75" style="1" customWidth="1"/>
    <col min="12803" max="12803" width="17.625" style="1" customWidth="1"/>
    <col min="12804" max="12804" width="22.125" style="1" customWidth="1"/>
    <col min="12805" max="12805" width="17.5" style="1" customWidth="1"/>
    <col min="12806" max="12806" width="12" style="1" customWidth="1"/>
    <col min="12807" max="12807" width="40.75" style="1" customWidth="1"/>
    <col min="12808" max="12808" width="11.5" style="1" customWidth="1"/>
    <col min="12809" max="12809" width="11.375" style="1" bestFit="1" customWidth="1"/>
    <col min="12810" max="12810" width="12.5" style="1" customWidth="1"/>
    <col min="12811" max="12811" width="16.375" style="1" bestFit="1" customWidth="1"/>
    <col min="12812" max="12812" width="14.875" style="1" bestFit="1" customWidth="1"/>
    <col min="12813" max="12813" width="14.875" style="1" customWidth="1"/>
    <col min="12814" max="12814" width="14.875" style="1" bestFit="1" customWidth="1"/>
    <col min="12815" max="12815" width="14.75" style="1" bestFit="1" customWidth="1"/>
    <col min="12816" max="12816" width="13.625" style="1" bestFit="1" customWidth="1"/>
    <col min="12817" max="12817" width="16.375" style="1" bestFit="1" customWidth="1"/>
    <col min="12818" max="12818" width="15.875" style="1" customWidth="1"/>
    <col min="12819" max="12819" width="14.875" style="1" bestFit="1" customWidth="1"/>
    <col min="12820" max="12820" width="15.625" style="1" customWidth="1"/>
    <col min="12821" max="12821" width="16.25" style="1" customWidth="1"/>
    <col min="12822" max="12822" width="16.625" style="1" bestFit="1" customWidth="1"/>
    <col min="12823" max="13056" width="9" style="1"/>
    <col min="13057" max="13057" width="5.375" style="1" bestFit="1" customWidth="1"/>
    <col min="13058" max="13058" width="4.75" style="1" customWidth="1"/>
    <col min="13059" max="13059" width="17.625" style="1" customWidth="1"/>
    <col min="13060" max="13060" width="22.125" style="1" customWidth="1"/>
    <col min="13061" max="13061" width="17.5" style="1" customWidth="1"/>
    <col min="13062" max="13062" width="12" style="1" customWidth="1"/>
    <col min="13063" max="13063" width="40.75" style="1" customWidth="1"/>
    <col min="13064" max="13064" width="11.5" style="1" customWidth="1"/>
    <col min="13065" max="13065" width="11.375" style="1" bestFit="1" customWidth="1"/>
    <col min="13066" max="13066" width="12.5" style="1" customWidth="1"/>
    <col min="13067" max="13067" width="16.375" style="1" bestFit="1" customWidth="1"/>
    <col min="13068" max="13068" width="14.875" style="1" bestFit="1" customWidth="1"/>
    <col min="13069" max="13069" width="14.875" style="1" customWidth="1"/>
    <col min="13070" max="13070" width="14.875" style="1" bestFit="1" customWidth="1"/>
    <col min="13071" max="13071" width="14.75" style="1" bestFit="1" customWidth="1"/>
    <col min="13072" max="13072" width="13.625" style="1" bestFit="1" customWidth="1"/>
    <col min="13073" max="13073" width="16.375" style="1" bestFit="1" customWidth="1"/>
    <col min="13074" max="13074" width="15.875" style="1" customWidth="1"/>
    <col min="13075" max="13075" width="14.875" style="1" bestFit="1" customWidth="1"/>
    <col min="13076" max="13076" width="15.625" style="1" customWidth="1"/>
    <col min="13077" max="13077" width="16.25" style="1" customWidth="1"/>
    <col min="13078" max="13078" width="16.625" style="1" bestFit="1" customWidth="1"/>
    <col min="13079" max="13312" width="9" style="1"/>
    <col min="13313" max="13313" width="5.375" style="1" bestFit="1" customWidth="1"/>
    <col min="13314" max="13314" width="4.75" style="1" customWidth="1"/>
    <col min="13315" max="13315" width="17.625" style="1" customWidth="1"/>
    <col min="13316" max="13316" width="22.125" style="1" customWidth="1"/>
    <col min="13317" max="13317" width="17.5" style="1" customWidth="1"/>
    <col min="13318" max="13318" width="12" style="1" customWidth="1"/>
    <col min="13319" max="13319" width="40.75" style="1" customWidth="1"/>
    <col min="13320" max="13320" width="11.5" style="1" customWidth="1"/>
    <col min="13321" max="13321" width="11.375" style="1" bestFit="1" customWidth="1"/>
    <col min="13322" max="13322" width="12.5" style="1" customWidth="1"/>
    <col min="13323" max="13323" width="16.375" style="1" bestFit="1" customWidth="1"/>
    <col min="13324" max="13324" width="14.875" style="1" bestFit="1" customWidth="1"/>
    <col min="13325" max="13325" width="14.875" style="1" customWidth="1"/>
    <col min="13326" max="13326" width="14.875" style="1" bestFit="1" customWidth="1"/>
    <col min="13327" max="13327" width="14.75" style="1" bestFit="1" customWidth="1"/>
    <col min="13328" max="13328" width="13.625" style="1" bestFit="1" customWidth="1"/>
    <col min="13329" max="13329" width="16.375" style="1" bestFit="1" customWidth="1"/>
    <col min="13330" max="13330" width="15.875" style="1" customWidth="1"/>
    <col min="13331" max="13331" width="14.875" style="1" bestFit="1" customWidth="1"/>
    <col min="13332" max="13332" width="15.625" style="1" customWidth="1"/>
    <col min="13333" max="13333" width="16.25" style="1" customWidth="1"/>
    <col min="13334" max="13334" width="16.625" style="1" bestFit="1" customWidth="1"/>
    <col min="13335" max="13568" width="9" style="1"/>
    <col min="13569" max="13569" width="5.375" style="1" bestFit="1" customWidth="1"/>
    <col min="13570" max="13570" width="4.75" style="1" customWidth="1"/>
    <col min="13571" max="13571" width="17.625" style="1" customWidth="1"/>
    <col min="13572" max="13572" width="22.125" style="1" customWidth="1"/>
    <col min="13573" max="13573" width="17.5" style="1" customWidth="1"/>
    <col min="13574" max="13574" width="12" style="1" customWidth="1"/>
    <col min="13575" max="13575" width="40.75" style="1" customWidth="1"/>
    <col min="13576" max="13576" width="11.5" style="1" customWidth="1"/>
    <col min="13577" max="13577" width="11.375" style="1" bestFit="1" customWidth="1"/>
    <col min="13578" max="13578" width="12.5" style="1" customWidth="1"/>
    <col min="13579" max="13579" width="16.375" style="1" bestFit="1" customWidth="1"/>
    <col min="13580" max="13580" width="14.875" style="1" bestFit="1" customWidth="1"/>
    <col min="13581" max="13581" width="14.875" style="1" customWidth="1"/>
    <col min="13582" max="13582" width="14.875" style="1" bestFit="1" customWidth="1"/>
    <col min="13583" max="13583" width="14.75" style="1" bestFit="1" customWidth="1"/>
    <col min="13584" max="13584" width="13.625" style="1" bestFit="1" customWidth="1"/>
    <col min="13585" max="13585" width="16.375" style="1" bestFit="1" customWidth="1"/>
    <col min="13586" max="13586" width="15.875" style="1" customWidth="1"/>
    <col min="13587" max="13587" width="14.875" style="1" bestFit="1" customWidth="1"/>
    <col min="13588" max="13588" width="15.625" style="1" customWidth="1"/>
    <col min="13589" max="13589" width="16.25" style="1" customWidth="1"/>
    <col min="13590" max="13590" width="16.625" style="1" bestFit="1" customWidth="1"/>
    <col min="13591" max="13824" width="9" style="1"/>
    <col min="13825" max="13825" width="5.375" style="1" bestFit="1" customWidth="1"/>
    <col min="13826" max="13826" width="4.75" style="1" customWidth="1"/>
    <col min="13827" max="13827" width="17.625" style="1" customWidth="1"/>
    <col min="13828" max="13828" width="22.125" style="1" customWidth="1"/>
    <col min="13829" max="13829" width="17.5" style="1" customWidth="1"/>
    <col min="13830" max="13830" width="12" style="1" customWidth="1"/>
    <col min="13831" max="13831" width="40.75" style="1" customWidth="1"/>
    <col min="13832" max="13832" width="11.5" style="1" customWidth="1"/>
    <col min="13833" max="13833" width="11.375" style="1" bestFit="1" customWidth="1"/>
    <col min="13834" max="13834" width="12.5" style="1" customWidth="1"/>
    <col min="13835" max="13835" width="16.375" style="1" bestFit="1" customWidth="1"/>
    <col min="13836" max="13836" width="14.875" style="1" bestFit="1" customWidth="1"/>
    <col min="13837" max="13837" width="14.875" style="1" customWidth="1"/>
    <col min="13838" max="13838" width="14.875" style="1" bestFit="1" customWidth="1"/>
    <col min="13839" max="13839" width="14.75" style="1" bestFit="1" customWidth="1"/>
    <col min="13840" max="13840" width="13.625" style="1" bestFit="1" customWidth="1"/>
    <col min="13841" max="13841" width="16.375" style="1" bestFit="1" customWidth="1"/>
    <col min="13842" max="13842" width="15.875" style="1" customWidth="1"/>
    <col min="13843" max="13843" width="14.875" style="1" bestFit="1" customWidth="1"/>
    <col min="13844" max="13844" width="15.625" style="1" customWidth="1"/>
    <col min="13845" max="13845" width="16.25" style="1" customWidth="1"/>
    <col min="13846" max="13846" width="16.625" style="1" bestFit="1" customWidth="1"/>
    <col min="13847" max="14080" width="9" style="1"/>
    <col min="14081" max="14081" width="5.375" style="1" bestFit="1" customWidth="1"/>
    <col min="14082" max="14082" width="4.75" style="1" customWidth="1"/>
    <col min="14083" max="14083" width="17.625" style="1" customWidth="1"/>
    <col min="14084" max="14084" width="22.125" style="1" customWidth="1"/>
    <col min="14085" max="14085" width="17.5" style="1" customWidth="1"/>
    <col min="14086" max="14086" width="12" style="1" customWidth="1"/>
    <col min="14087" max="14087" width="40.75" style="1" customWidth="1"/>
    <col min="14088" max="14088" width="11.5" style="1" customWidth="1"/>
    <col min="14089" max="14089" width="11.375" style="1" bestFit="1" customWidth="1"/>
    <col min="14090" max="14090" width="12.5" style="1" customWidth="1"/>
    <col min="14091" max="14091" width="16.375" style="1" bestFit="1" customWidth="1"/>
    <col min="14092" max="14092" width="14.875" style="1" bestFit="1" customWidth="1"/>
    <col min="14093" max="14093" width="14.875" style="1" customWidth="1"/>
    <col min="14094" max="14094" width="14.875" style="1" bestFit="1" customWidth="1"/>
    <col min="14095" max="14095" width="14.75" style="1" bestFit="1" customWidth="1"/>
    <col min="14096" max="14096" width="13.625" style="1" bestFit="1" customWidth="1"/>
    <col min="14097" max="14097" width="16.375" style="1" bestFit="1" customWidth="1"/>
    <col min="14098" max="14098" width="15.875" style="1" customWidth="1"/>
    <col min="14099" max="14099" width="14.875" style="1" bestFit="1" customWidth="1"/>
    <col min="14100" max="14100" width="15.625" style="1" customWidth="1"/>
    <col min="14101" max="14101" width="16.25" style="1" customWidth="1"/>
    <col min="14102" max="14102" width="16.625" style="1" bestFit="1" customWidth="1"/>
    <col min="14103" max="14336" width="9" style="1"/>
    <col min="14337" max="14337" width="5.375" style="1" bestFit="1" customWidth="1"/>
    <col min="14338" max="14338" width="4.75" style="1" customWidth="1"/>
    <col min="14339" max="14339" width="17.625" style="1" customWidth="1"/>
    <col min="14340" max="14340" width="22.125" style="1" customWidth="1"/>
    <col min="14341" max="14341" width="17.5" style="1" customWidth="1"/>
    <col min="14342" max="14342" width="12" style="1" customWidth="1"/>
    <col min="14343" max="14343" width="40.75" style="1" customWidth="1"/>
    <col min="14344" max="14344" width="11.5" style="1" customWidth="1"/>
    <col min="14345" max="14345" width="11.375" style="1" bestFit="1" customWidth="1"/>
    <col min="14346" max="14346" width="12.5" style="1" customWidth="1"/>
    <col min="14347" max="14347" width="16.375" style="1" bestFit="1" customWidth="1"/>
    <col min="14348" max="14348" width="14.875" style="1" bestFit="1" customWidth="1"/>
    <col min="14349" max="14349" width="14.875" style="1" customWidth="1"/>
    <col min="14350" max="14350" width="14.875" style="1" bestFit="1" customWidth="1"/>
    <col min="14351" max="14351" width="14.75" style="1" bestFit="1" customWidth="1"/>
    <col min="14352" max="14352" width="13.625" style="1" bestFit="1" customWidth="1"/>
    <col min="14353" max="14353" width="16.375" style="1" bestFit="1" customWidth="1"/>
    <col min="14354" max="14354" width="15.875" style="1" customWidth="1"/>
    <col min="14355" max="14355" width="14.875" style="1" bestFit="1" customWidth="1"/>
    <col min="14356" max="14356" width="15.625" style="1" customWidth="1"/>
    <col min="14357" max="14357" width="16.25" style="1" customWidth="1"/>
    <col min="14358" max="14358" width="16.625" style="1" bestFit="1" customWidth="1"/>
    <col min="14359" max="14592" width="9" style="1"/>
    <col min="14593" max="14593" width="5.375" style="1" bestFit="1" customWidth="1"/>
    <col min="14594" max="14594" width="4.75" style="1" customWidth="1"/>
    <col min="14595" max="14595" width="17.625" style="1" customWidth="1"/>
    <col min="14596" max="14596" width="22.125" style="1" customWidth="1"/>
    <col min="14597" max="14597" width="17.5" style="1" customWidth="1"/>
    <col min="14598" max="14598" width="12" style="1" customWidth="1"/>
    <col min="14599" max="14599" width="40.75" style="1" customWidth="1"/>
    <col min="14600" max="14600" width="11.5" style="1" customWidth="1"/>
    <col min="14601" max="14601" width="11.375" style="1" bestFit="1" customWidth="1"/>
    <col min="14602" max="14602" width="12.5" style="1" customWidth="1"/>
    <col min="14603" max="14603" width="16.375" style="1" bestFit="1" customWidth="1"/>
    <col min="14604" max="14604" width="14.875" style="1" bestFit="1" customWidth="1"/>
    <col min="14605" max="14605" width="14.875" style="1" customWidth="1"/>
    <col min="14606" max="14606" width="14.875" style="1" bestFit="1" customWidth="1"/>
    <col min="14607" max="14607" width="14.75" style="1" bestFit="1" customWidth="1"/>
    <col min="14608" max="14608" width="13.625" style="1" bestFit="1" customWidth="1"/>
    <col min="14609" max="14609" width="16.375" style="1" bestFit="1" customWidth="1"/>
    <col min="14610" max="14610" width="15.875" style="1" customWidth="1"/>
    <col min="14611" max="14611" width="14.875" style="1" bestFit="1" customWidth="1"/>
    <col min="14612" max="14612" width="15.625" style="1" customWidth="1"/>
    <col min="14613" max="14613" width="16.25" style="1" customWidth="1"/>
    <col min="14614" max="14614" width="16.625" style="1" bestFit="1" customWidth="1"/>
    <col min="14615" max="14848" width="9" style="1"/>
    <col min="14849" max="14849" width="5.375" style="1" bestFit="1" customWidth="1"/>
    <col min="14850" max="14850" width="4.75" style="1" customWidth="1"/>
    <col min="14851" max="14851" width="17.625" style="1" customWidth="1"/>
    <col min="14852" max="14852" width="22.125" style="1" customWidth="1"/>
    <col min="14853" max="14853" width="17.5" style="1" customWidth="1"/>
    <col min="14854" max="14854" width="12" style="1" customWidth="1"/>
    <col min="14855" max="14855" width="40.75" style="1" customWidth="1"/>
    <col min="14856" max="14856" width="11.5" style="1" customWidth="1"/>
    <col min="14857" max="14857" width="11.375" style="1" bestFit="1" customWidth="1"/>
    <col min="14858" max="14858" width="12.5" style="1" customWidth="1"/>
    <col min="14859" max="14859" width="16.375" style="1" bestFit="1" customWidth="1"/>
    <col min="14860" max="14860" width="14.875" style="1" bestFit="1" customWidth="1"/>
    <col min="14861" max="14861" width="14.875" style="1" customWidth="1"/>
    <col min="14862" max="14862" width="14.875" style="1" bestFit="1" customWidth="1"/>
    <col min="14863" max="14863" width="14.75" style="1" bestFit="1" customWidth="1"/>
    <col min="14864" max="14864" width="13.625" style="1" bestFit="1" customWidth="1"/>
    <col min="14865" max="14865" width="16.375" style="1" bestFit="1" customWidth="1"/>
    <col min="14866" max="14866" width="15.875" style="1" customWidth="1"/>
    <col min="14867" max="14867" width="14.875" style="1" bestFit="1" customWidth="1"/>
    <col min="14868" max="14868" width="15.625" style="1" customWidth="1"/>
    <col min="14869" max="14869" width="16.25" style="1" customWidth="1"/>
    <col min="14870" max="14870" width="16.625" style="1" bestFit="1" customWidth="1"/>
    <col min="14871" max="15104" width="9" style="1"/>
    <col min="15105" max="15105" width="5.375" style="1" bestFit="1" customWidth="1"/>
    <col min="15106" max="15106" width="4.75" style="1" customWidth="1"/>
    <col min="15107" max="15107" width="17.625" style="1" customWidth="1"/>
    <col min="15108" max="15108" width="22.125" style="1" customWidth="1"/>
    <col min="15109" max="15109" width="17.5" style="1" customWidth="1"/>
    <col min="15110" max="15110" width="12" style="1" customWidth="1"/>
    <col min="15111" max="15111" width="40.75" style="1" customWidth="1"/>
    <col min="15112" max="15112" width="11.5" style="1" customWidth="1"/>
    <col min="15113" max="15113" width="11.375" style="1" bestFit="1" customWidth="1"/>
    <col min="15114" max="15114" width="12.5" style="1" customWidth="1"/>
    <col min="15115" max="15115" width="16.375" style="1" bestFit="1" customWidth="1"/>
    <col min="15116" max="15116" width="14.875" style="1" bestFit="1" customWidth="1"/>
    <col min="15117" max="15117" width="14.875" style="1" customWidth="1"/>
    <col min="15118" max="15118" width="14.875" style="1" bestFit="1" customWidth="1"/>
    <col min="15119" max="15119" width="14.75" style="1" bestFit="1" customWidth="1"/>
    <col min="15120" max="15120" width="13.625" style="1" bestFit="1" customWidth="1"/>
    <col min="15121" max="15121" width="16.375" style="1" bestFit="1" customWidth="1"/>
    <col min="15122" max="15122" width="15.875" style="1" customWidth="1"/>
    <col min="15123" max="15123" width="14.875" style="1" bestFit="1" customWidth="1"/>
    <col min="15124" max="15124" width="15.625" style="1" customWidth="1"/>
    <col min="15125" max="15125" width="16.25" style="1" customWidth="1"/>
    <col min="15126" max="15126" width="16.625" style="1" bestFit="1" customWidth="1"/>
    <col min="15127" max="15360" width="9" style="1"/>
    <col min="15361" max="15361" width="5.375" style="1" bestFit="1" customWidth="1"/>
    <col min="15362" max="15362" width="4.75" style="1" customWidth="1"/>
    <col min="15363" max="15363" width="17.625" style="1" customWidth="1"/>
    <col min="15364" max="15364" width="22.125" style="1" customWidth="1"/>
    <col min="15365" max="15365" width="17.5" style="1" customWidth="1"/>
    <col min="15366" max="15366" width="12" style="1" customWidth="1"/>
    <col min="15367" max="15367" width="40.75" style="1" customWidth="1"/>
    <col min="15368" max="15368" width="11.5" style="1" customWidth="1"/>
    <col min="15369" max="15369" width="11.375" style="1" bestFit="1" customWidth="1"/>
    <col min="15370" max="15370" width="12.5" style="1" customWidth="1"/>
    <col min="15371" max="15371" width="16.375" style="1" bestFit="1" customWidth="1"/>
    <col min="15372" max="15372" width="14.875" style="1" bestFit="1" customWidth="1"/>
    <col min="15373" max="15373" width="14.875" style="1" customWidth="1"/>
    <col min="15374" max="15374" width="14.875" style="1" bestFit="1" customWidth="1"/>
    <col min="15375" max="15375" width="14.75" style="1" bestFit="1" customWidth="1"/>
    <col min="15376" max="15376" width="13.625" style="1" bestFit="1" customWidth="1"/>
    <col min="15377" max="15377" width="16.375" style="1" bestFit="1" customWidth="1"/>
    <col min="15378" max="15378" width="15.875" style="1" customWidth="1"/>
    <col min="15379" max="15379" width="14.875" style="1" bestFit="1" customWidth="1"/>
    <col min="15380" max="15380" width="15.625" style="1" customWidth="1"/>
    <col min="15381" max="15381" width="16.25" style="1" customWidth="1"/>
    <col min="15382" max="15382" width="16.625" style="1" bestFit="1" customWidth="1"/>
    <col min="15383" max="15616" width="9" style="1"/>
    <col min="15617" max="15617" width="5.375" style="1" bestFit="1" customWidth="1"/>
    <col min="15618" max="15618" width="4.75" style="1" customWidth="1"/>
    <col min="15619" max="15619" width="17.625" style="1" customWidth="1"/>
    <col min="15620" max="15620" width="22.125" style="1" customWidth="1"/>
    <col min="15621" max="15621" width="17.5" style="1" customWidth="1"/>
    <col min="15622" max="15622" width="12" style="1" customWidth="1"/>
    <col min="15623" max="15623" width="40.75" style="1" customWidth="1"/>
    <col min="15624" max="15624" width="11.5" style="1" customWidth="1"/>
    <col min="15625" max="15625" width="11.375" style="1" bestFit="1" customWidth="1"/>
    <col min="15626" max="15626" width="12.5" style="1" customWidth="1"/>
    <col min="15627" max="15627" width="16.375" style="1" bestFit="1" customWidth="1"/>
    <col min="15628" max="15628" width="14.875" style="1" bestFit="1" customWidth="1"/>
    <col min="15629" max="15629" width="14.875" style="1" customWidth="1"/>
    <col min="15630" max="15630" width="14.875" style="1" bestFit="1" customWidth="1"/>
    <col min="15631" max="15631" width="14.75" style="1" bestFit="1" customWidth="1"/>
    <col min="15632" max="15632" width="13.625" style="1" bestFit="1" customWidth="1"/>
    <col min="15633" max="15633" width="16.375" style="1" bestFit="1" customWidth="1"/>
    <col min="15634" max="15634" width="15.875" style="1" customWidth="1"/>
    <col min="15635" max="15635" width="14.875" style="1" bestFit="1" customWidth="1"/>
    <col min="15636" max="15636" width="15.625" style="1" customWidth="1"/>
    <col min="15637" max="15637" width="16.25" style="1" customWidth="1"/>
    <col min="15638" max="15638" width="16.625" style="1" bestFit="1" customWidth="1"/>
    <col min="15639" max="15872" width="9" style="1"/>
    <col min="15873" max="15873" width="5.375" style="1" bestFit="1" customWidth="1"/>
    <col min="15874" max="15874" width="4.75" style="1" customWidth="1"/>
    <col min="15875" max="15875" width="17.625" style="1" customWidth="1"/>
    <col min="15876" max="15876" width="22.125" style="1" customWidth="1"/>
    <col min="15877" max="15877" width="17.5" style="1" customWidth="1"/>
    <col min="15878" max="15878" width="12" style="1" customWidth="1"/>
    <col min="15879" max="15879" width="40.75" style="1" customWidth="1"/>
    <col min="15880" max="15880" width="11.5" style="1" customWidth="1"/>
    <col min="15881" max="15881" width="11.375" style="1" bestFit="1" customWidth="1"/>
    <col min="15882" max="15882" width="12.5" style="1" customWidth="1"/>
    <col min="15883" max="15883" width="16.375" style="1" bestFit="1" customWidth="1"/>
    <col min="15884" max="15884" width="14.875" style="1" bestFit="1" customWidth="1"/>
    <col min="15885" max="15885" width="14.875" style="1" customWidth="1"/>
    <col min="15886" max="15886" width="14.875" style="1" bestFit="1" customWidth="1"/>
    <col min="15887" max="15887" width="14.75" style="1" bestFit="1" customWidth="1"/>
    <col min="15888" max="15888" width="13.625" style="1" bestFit="1" customWidth="1"/>
    <col min="15889" max="15889" width="16.375" style="1" bestFit="1" customWidth="1"/>
    <col min="15890" max="15890" width="15.875" style="1" customWidth="1"/>
    <col min="15891" max="15891" width="14.875" style="1" bestFit="1" customWidth="1"/>
    <col min="15892" max="15892" width="15.625" style="1" customWidth="1"/>
    <col min="15893" max="15893" width="16.25" style="1" customWidth="1"/>
    <col min="15894" max="15894" width="16.625" style="1" bestFit="1" customWidth="1"/>
    <col min="15895" max="16128" width="9" style="1"/>
    <col min="16129" max="16129" width="5.375" style="1" bestFit="1" customWidth="1"/>
    <col min="16130" max="16130" width="4.75" style="1" customWidth="1"/>
    <col min="16131" max="16131" width="17.625" style="1" customWidth="1"/>
    <col min="16132" max="16132" width="22.125" style="1" customWidth="1"/>
    <col min="16133" max="16133" width="17.5" style="1" customWidth="1"/>
    <col min="16134" max="16134" width="12" style="1" customWidth="1"/>
    <col min="16135" max="16135" width="40.75" style="1" customWidth="1"/>
    <col min="16136" max="16136" width="11.5" style="1" customWidth="1"/>
    <col min="16137" max="16137" width="11.375" style="1" bestFit="1" customWidth="1"/>
    <col min="16138" max="16138" width="12.5" style="1" customWidth="1"/>
    <col min="16139" max="16139" width="16.375" style="1" bestFit="1" customWidth="1"/>
    <col min="16140" max="16140" width="14.875" style="1" bestFit="1" customWidth="1"/>
    <col min="16141" max="16141" width="14.875" style="1" customWidth="1"/>
    <col min="16142" max="16142" width="14.875" style="1" bestFit="1" customWidth="1"/>
    <col min="16143" max="16143" width="14.75" style="1" bestFit="1" customWidth="1"/>
    <col min="16144" max="16144" width="13.625" style="1" bestFit="1" customWidth="1"/>
    <col min="16145" max="16145" width="16.375" style="1" bestFit="1" customWidth="1"/>
    <col min="16146" max="16146" width="15.875" style="1" customWidth="1"/>
    <col min="16147" max="16147" width="14.875" style="1" bestFit="1" customWidth="1"/>
    <col min="16148" max="16148" width="15.625" style="1" customWidth="1"/>
    <col min="16149" max="16149" width="16.25" style="1" customWidth="1"/>
    <col min="16150" max="16150" width="16.625" style="1" bestFit="1" customWidth="1"/>
    <col min="16151" max="16384" width="9" style="1"/>
  </cols>
  <sheetData>
    <row r="1" spans="1:23" s="7" customFormat="1" ht="15.75" thickBot="1">
      <c r="B1" s="11"/>
      <c r="C1" s="200" t="s">
        <v>247</v>
      </c>
      <c r="D1" s="201" t="s">
        <v>248</v>
      </c>
      <c r="E1" s="201" t="s">
        <v>249</v>
      </c>
      <c r="F1" s="836" t="s">
        <v>250</v>
      </c>
      <c r="G1" s="11"/>
      <c r="H1" s="561" t="s">
        <v>1862</v>
      </c>
      <c r="I1" s="186"/>
      <c r="J1" s="185"/>
      <c r="K1" s="36"/>
      <c r="L1" s="36"/>
      <c r="M1" s="188"/>
      <c r="N1" s="36">
        <f>ROUNDUP(V1/0.6/90,2)</f>
        <v>0</v>
      </c>
      <c r="O1" s="782" t="s">
        <v>2852</v>
      </c>
      <c r="P1" s="116"/>
      <c r="Q1" s="562"/>
      <c r="U1" s="128"/>
      <c r="V1" s="203"/>
    </row>
    <row r="2" spans="1:23" s="7" customFormat="1" ht="15.75" thickTop="1">
      <c r="B2" s="11"/>
      <c r="C2" s="563" t="s">
        <v>251</v>
      </c>
      <c r="D2" s="564" t="s">
        <v>252</v>
      </c>
      <c r="E2" s="565">
        <v>0.7</v>
      </c>
      <c r="F2" s="566">
        <v>0.6</v>
      </c>
      <c r="G2" s="11"/>
      <c r="H2" s="185"/>
      <c r="I2" s="186"/>
      <c r="J2" s="185"/>
      <c r="K2" s="117"/>
      <c r="L2" s="189"/>
      <c r="M2" s="188"/>
      <c r="N2" s="188"/>
      <c r="O2" s="187"/>
      <c r="P2" s="116"/>
      <c r="Q2" s="562"/>
      <c r="U2" s="128"/>
      <c r="V2" s="203"/>
    </row>
    <row r="3" spans="1:23" s="7" customFormat="1" ht="15">
      <c r="B3" s="11"/>
      <c r="C3" s="567" t="s">
        <v>253</v>
      </c>
      <c r="D3" s="568" t="s">
        <v>254</v>
      </c>
      <c r="E3" s="569">
        <v>0.88</v>
      </c>
      <c r="F3" s="570">
        <v>0.8</v>
      </c>
      <c r="G3" s="11"/>
      <c r="H3" s="185"/>
      <c r="I3" s="186"/>
      <c r="J3" s="185"/>
      <c r="K3" s="117"/>
      <c r="L3" s="189"/>
      <c r="M3" s="188"/>
      <c r="N3" s="188"/>
      <c r="O3" s="187"/>
      <c r="P3" s="116"/>
      <c r="Q3" s="562"/>
      <c r="U3" s="128"/>
      <c r="V3" s="203"/>
    </row>
    <row r="4" spans="1:23" s="7" customFormat="1" ht="15">
      <c r="B4" s="11"/>
      <c r="C4" s="567" t="s">
        <v>255</v>
      </c>
      <c r="D4" s="568" t="s">
        <v>1863</v>
      </c>
      <c r="E4" s="569">
        <v>0.7</v>
      </c>
      <c r="F4" s="570">
        <v>0.6</v>
      </c>
      <c r="G4" s="11"/>
      <c r="H4" s="185"/>
      <c r="I4" s="186"/>
      <c r="J4" s="185"/>
      <c r="K4" s="117"/>
      <c r="L4" s="189"/>
      <c r="M4" s="188"/>
      <c r="N4" s="188"/>
      <c r="O4" s="187"/>
      <c r="P4" s="116"/>
      <c r="Q4" s="562"/>
      <c r="U4" s="128"/>
      <c r="V4" s="203"/>
    </row>
    <row r="5" spans="1:23" s="7" customFormat="1" ht="15">
      <c r="B5" s="11"/>
      <c r="C5" s="567" t="s">
        <v>256</v>
      </c>
      <c r="D5" s="568" t="s">
        <v>1864</v>
      </c>
      <c r="E5" s="569">
        <v>0.88</v>
      </c>
      <c r="F5" s="570">
        <v>0.8</v>
      </c>
      <c r="G5" s="11"/>
      <c r="H5" s="185"/>
      <c r="I5" s="186"/>
      <c r="J5" s="185"/>
      <c r="K5" s="117"/>
      <c r="L5" s="189"/>
      <c r="M5" s="188"/>
      <c r="N5" s="188"/>
      <c r="O5" s="187"/>
      <c r="P5" s="116"/>
      <c r="Q5" s="562"/>
      <c r="U5" s="128"/>
      <c r="V5" s="203"/>
    </row>
    <row r="6" spans="1:23" s="7" customFormat="1" ht="15.75" thickBot="1">
      <c r="B6" s="11"/>
      <c r="C6" s="571" t="s">
        <v>257</v>
      </c>
      <c r="D6" s="238" t="s">
        <v>258</v>
      </c>
      <c r="E6" s="569">
        <v>0.88</v>
      </c>
      <c r="F6" s="570">
        <v>0.8</v>
      </c>
      <c r="G6" s="11"/>
      <c r="H6" s="185"/>
      <c r="I6" s="186"/>
      <c r="J6" s="185"/>
      <c r="K6" s="117"/>
      <c r="L6" s="189"/>
      <c r="M6" s="188"/>
      <c r="N6" s="188"/>
      <c r="O6" s="187"/>
      <c r="P6" s="116"/>
      <c r="Q6" s="562"/>
      <c r="U6" s="128"/>
      <c r="V6" s="203"/>
    </row>
    <row r="7" spans="1:23" s="171" customFormat="1" ht="15.75">
      <c r="A7" s="734" t="s">
        <v>261</v>
      </c>
      <c r="B7" s="190" t="s">
        <v>241</v>
      </c>
      <c r="C7" s="191" t="s">
        <v>77</v>
      </c>
      <c r="D7" s="192" t="s">
        <v>116</v>
      </c>
      <c r="E7" s="193" t="s">
        <v>224</v>
      </c>
      <c r="F7" s="194" t="s">
        <v>33</v>
      </c>
      <c r="G7" s="195" t="s">
        <v>95</v>
      </c>
      <c r="H7" s="196" t="s">
        <v>2</v>
      </c>
      <c r="I7" s="196" t="s">
        <v>113</v>
      </c>
      <c r="J7" s="196" t="s">
        <v>112</v>
      </c>
      <c r="K7" s="197" t="s">
        <v>212</v>
      </c>
      <c r="L7" s="209" t="s">
        <v>194</v>
      </c>
      <c r="M7" s="197" t="s">
        <v>269</v>
      </c>
      <c r="N7" s="213" t="s">
        <v>260</v>
      </c>
      <c r="O7" s="198" t="s">
        <v>242</v>
      </c>
      <c r="P7" s="199" t="s">
        <v>243</v>
      </c>
      <c r="Q7" s="572" t="s">
        <v>244</v>
      </c>
      <c r="R7" s="573" t="s">
        <v>1865</v>
      </c>
      <c r="S7" s="207" t="s">
        <v>213</v>
      </c>
      <c r="T7" s="574" t="s">
        <v>214</v>
      </c>
      <c r="U7" s="207" t="s">
        <v>245</v>
      </c>
      <c r="V7" s="208" t="s">
        <v>246</v>
      </c>
      <c r="W7" s="761" t="s">
        <v>2805</v>
      </c>
    </row>
    <row r="8" spans="1:23" s="7" customFormat="1" ht="15.75">
      <c r="B8" s="11"/>
      <c r="C8" s="139" t="s">
        <v>1866</v>
      </c>
      <c r="D8" s="140"/>
      <c r="E8" s="141"/>
      <c r="F8" s="142"/>
      <c r="G8" s="143"/>
      <c r="H8" s="144"/>
      <c r="I8" s="144"/>
      <c r="J8" s="144"/>
      <c r="K8" s="145"/>
      <c r="L8" s="6"/>
      <c r="M8" s="26"/>
      <c r="N8" s="9"/>
      <c r="O8" s="146"/>
      <c r="P8" s="138"/>
      <c r="Q8" s="575"/>
      <c r="V8" s="203"/>
    </row>
    <row r="9" spans="1:23" s="7" customFormat="1" ht="15.75">
      <c r="B9" s="11"/>
      <c r="C9" s="182" t="s">
        <v>1867</v>
      </c>
      <c r="D9" s="140"/>
      <c r="E9" s="141"/>
      <c r="F9" s="142"/>
      <c r="G9" s="143"/>
      <c r="H9" s="144"/>
      <c r="I9" s="144"/>
      <c r="J9" s="144"/>
      <c r="K9" s="145"/>
      <c r="L9" s="6"/>
      <c r="M9" s="26"/>
      <c r="N9" s="167"/>
      <c r="O9" s="146"/>
      <c r="P9" s="138"/>
      <c r="Q9" s="575"/>
      <c r="V9" s="203"/>
    </row>
    <row r="10" spans="1:23" s="7" customFormat="1" ht="15.75">
      <c r="B10" s="11"/>
      <c r="C10" s="182" t="s">
        <v>1868</v>
      </c>
      <c r="D10" s="140"/>
      <c r="E10" s="141"/>
      <c r="F10" s="142"/>
      <c r="G10" s="143"/>
      <c r="H10" s="144"/>
      <c r="I10" s="144"/>
      <c r="J10" s="144"/>
      <c r="K10" s="145"/>
      <c r="L10" s="6"/>
      <c r="M10" s="26"/>
      <c r="N10" s="9"/>
      <c r="O10" s="146"/>
      <c r="P10" s="138"/>
      <c r="Q10" s="575"/>
      <c r="V10" s="203"/>
    </row>
    <row r="11" spans="1:23" s="7" customFormat="1" ht="15.75">
      <c r="B11" s="11"/>
      <c r="C11" s="559" t="s">
        <v>1869</v>
      </c>
      <c r="D11" s="140"/>
      <c r="E11" s="141"/>
      <c r="F11" s="142"/>
      <c r="G11" s="143"/>
      <c r="H11" s="144"/>
      <c r="I11" s="144"/>
      <c r="J11" s="144"/>
      <c r="K11" s="145"/>
      <c r="L11" s="6"/>
      <c r="M11" s="26"/>
      <c r="N11" s="9"/>
      <c r="O11" s="146"/>
      <c r="P11" s="138"/>
      <c r="Q11" s="575"/>
      <c r="V11" s="203"/>
    </row>
    <row r="12" spans="1:23" s="7" customFormat="1" ht="15.75">
      <c r="B12" s="11"/>
      <c r="C12" s="559" t="s">
        <v>1870</v>
      </c>
      <c r="D12" s="140"/>
      <c r="E12" s="141"/>
      <c r="F12" s="142"/>
      <c r="G12" s="143"/>
      <c r="H12" s="144"/>
      <c r="I12" s="144"/>
      <c r="J12" s="144"/>
      <c r="K12" s="145"/>
      <c r="L12" s="6"/>
      <c r="M12" s="26"/>
      <c r="N12" s="9"/>
      <c r="O12" s="146"/>
      <c r="P12" s="138"/>
      <c r="Q12" s="575"/>
      <c r="V12" s="203"/>
    </row>
    <row r="13" spans="1:23" s="7" customFormat="1" ht="15.75">
      <c r="B13" s="11"/>
      <c r="C13" s="559" t="s">
        <v>1871</v>
      </c>
      <c r="D13" s="140"/>
      <c r="E13" s="141"/>
      <c r="F13" s="142"/>
      <c r="G13" s="143"/>
      <c r="H13" s="144"/>
      <c r="I13" s="144"/>
      <c r="J13" s="144"/>
      <c r="K13" s="145"/>
      <c r="L13" s="6"/>
      <c r="M13" s="26"/>
      <c r="N13" s="9"/>
      <c r="O13" s="146"/>
      <c r="P13" s="138"/>
      <c r="Q13" s="575"/>
      <c r="S13" s="576"/>
      <c r="U13" s="577"/>
      <c r="V13" s="203"/>
    </row>
    <row r="14" spans="1:23" s="7" customFormat="1" ht="15.75" hidden="1">
      <c r="B14" s="11"/>
      <c r="C14" s="139" t="s">
        <v>226</v>
      </c>
      <c r="D14" s="140"/>
      <c r="E14" s="141"/>
      <c r="F14" s="142"/>
      <c r="G14" s="143"/>
      <c r="H14" s="144"/>
      <c r="I14" s="144"/>
      <c r="J14" s="144"/>
      <c r="K14" s="145"/>
      <c r="L14" s="6"/>
      <c r="M14" s="26"/>
      <c r="N14" s="9"/>
      <c r="O14" s="146"/>
      <c r="P14" s="138"/>
      <c r="Q14" s="575"/>
      <c r="V14" s="203"/>
    </row>
    <row r="15" spans="1:23" s="7" customFormat="1" ht="15.75" hidden="1">
      <c r="B15" s="11"/>
      <c r="C15" s="182" t="s">
        <v>1872</v>
      </c>
      <c r="D15" s="140"/>
      <c r="E15" s="141"/>
      <c r="F15" s="142"/>
      <c r="G15" s="143"/>
      <c r="H15" s="144"/>
      <c r="I15" s="144"/>
      <c r="J15" s="144"/>
      <c r="K15" s="145"/>
      <c r="L15" s="6"/>
      <c r="M15" s="26"/>
      <c r="N15" s="167"/>
      <c r="O15" s="146"/>
      <c r="P15" s="138"/>
      <c r="Q15" s="575"/>
      <c r="V15" s="203"/>
    </row>
    <row r="16" spans="1:23" s="7" customFormat="1" ht="15.75" hidden="1">
      <c r="B16" s="11"/>
      <c r="C16" s="182" t="s">
        <v>1873</v>
      </c>
      <c r="D16" s="140"/>
      <c r="E16" s="141"/>
      <c r="F16" s="142"/>
      <c r="G16" s="143"/>
      <c r="H16" s="144"/>
      <c r="I16" s="144"/>
      <c r="J16" s="144"/>
      <c r="K16" s="145"/>
      <c r="L16" s="6"/>
      <c r="M16" s="26"/>
      <c r="N16" s="9"/>
      <c r="O16" s="146"/>
      <c r="P16" s="138"/>
      <c r="Q16" s="575"/>
      <c r="V16" s="203"/>
    </row>
    <row r="17" spans="2:23" s="7" customFormat="1" ht="15.75" hidden="1">
      <c r="B17" s="11"/>
      <c r="C17" s="559" t="s">
        <v>1874</v>
      </c>
      <c r="D17" s="140"/>
      <c r="E17" s="141"/>
      <c r="F17" s="142"/>
      <c r="G17" s="143"/>
      <c r="H17" s="144"/>
      <c r="I17" s="144"/>
      <c r="J17" s="144"/>
      <c r="K17" s="145"/>
      <c r="L17" s="6"/>
      <c r="M17" s="26"/>
      <c r="N17" s="9"/>
      <c r="O17" s="146"/>
      <c r="P17" s="138"/>
      <c r="Q17" s="575"/>
      <c r="V17" s="203"/>
    </row>
    <row r="18" spans="2:23" s="7" customFormat="1" ht="15.75" hidden="1">
      <c r="B18" s="11"/>
      <c r="C18" s="559" t="s">
        <v>1875</v>
      </c>
      <c r="D18" s="140"/>
      <c r="E18" s="141"/>
      <c r="F18" s="142"/>
      <c r="G18" s="143"/>
      <c r="H18" s="144"/>
      <c r="I18" s="144"/>
      <c r="J18" s="144"/>
      <c r="K18" s="145"/>
      <c r="L18" s="6"/>
      <c r="M18" s="26"/>
      <c r="N18" s="9"/>
      <c r="O18" s="146"/>
      <c r="P18" s="138"/>
      <c r="Q18" s="575"/>
      <c r="V18" s="203"/>
    </row>
    <row r="19" spans="2:23" s="7" customFormat="1" ht="15.75" hidden="1">
      <c r="B19" s="11"/>
      <c r="C19" s="559" t="s">
        <v>1876</v>
      </c>
      <c r="D19" s="140"/>
      <c r="E19" s="141"/>
      <c r="F19" s="142"/>
      <c r="G19" s="143"/>
      <c r="H19" s="144"/>
      <c r="I19" s="144"/>
      <c r="J19" s="144"/>
      <c r="K19" s="145"/>
      <c r="L19" s="6"/>
      <c r="M19" s="26"/>
      <c r="N19" s="9"/>
      <c r="O19" s="146"/>
      <c r="P19" s="138"/>
      <c r="Q19" s="575"/>
      <c r="S19" s="576"/>
      <c r="U19" s="577"/>
      <c r="V19" s="203"/>
    </row>
    <row r="20" spans="2:23" s="148" customFormat="1" ht="18" customHeight="1">
      <c r="B20" s="206"/>
      <c r="C20" s="578"/>
      <c r="M20" s="206"/>
      <c r="O20" s="579"/>
      <c r="P20" s="580"/>
      <c r="Q20" s="581"/>
      <c r="V20" s="582"/>
    </row>
    <row r="21" spans="2:23" s="7" customFormat="1" ht="15">
      <c r="B21" s="1166" t="s">
        <v>3838</v>
      </c>
      <c r="C21" s="6" t="s">
        <v>3833</v>
      </c>
      <c r="D21" s="12" t="s">
        <v>3834</v>
      </c>
      <c r="E21" s="17" t="s">
        <v>309</v>
      </c>
      <c r="F21" s="22"/>
      <c r="G21" s="20"/>
      <c r="H21" s="57"/>
      <c r="I21" s="58"/>
      <c r="J21" s="57"/>
      <c r="K21" s="14" t="s">
        <v>5</v>
      </c>
      <c r="L21" s="126"/>
      <c r="M21" s="31"/>
      <c r="N21" s="31">
        <v>45243</v>
      </c>
      <c r="O21" s="30">
        <v>5618</v>
      </c>
      <c r="P21" s="6" t="s">
        <v>3</v>
      </c>
      <c r="Q21" s="232"/>
      <c r="S21" s="36"/>
      <c r="U21" s="19"/>
      <c r="V21" s="204">
        <v>120</v>
      </c>
      <c r="W21" s="760" t="e">
        <f>(((K21*V21)-S21)/(K21*V21))</f>
        <v>#VALUE!</v>
      </c>
    </row>
    <row r="22" spans="2:23" s="7" customFormat="1" ht="16.149999999999999" customHeight="1">
      <c r="B22" s="1166" t="s">
        <v>3838</v>
      </c>
      <c r="C22" s="6" t="s">
        <v>3833</v>
      </c>
      <c r="D22" s="12" t="s">
        <v>3834</v>
      </c>
      <c r="E22" s="20" t="s">
        <v>3835</v>
      </c>
      <c r="F22" s="34"/>
      <c r="G22" s="34" t="s">
        <v>3836</v>
      </c>
      <c r="H22" s="103">
        <v>6.1</v>
      </c>
      <c r="I22" s="104">
        <v>300</v>
      </c>
      <c r="J22" s="57">
        <f>H22*I22</f>
        <v>1830</v>
      </c>
      <c r="K22" s="36">
        <v>8.34</v>
      </c>
      <c r="L22" s="36">
        <f>K22*J22</f>
        <v>15262.199999999999</v>
      </c>
      <c r="M22" s="112" t="s">
        <v>3837</v>
      </c>
      <c r="N22" s="31">
        <v>45243</v>
      </c>
      <c r="O22" s="30">
        <v>5618</v>
      </c>
      <c r="P22" s="36">
        <f>K22*0.92</f>
        <v>7.6728000000000005</v>
      </c>
      <c r="Q22" s="232">
        <v>7.67</v>
      </c>
      <c r="R22" s="233">
        <f>Q22*J22</f>
        <v>14036.1</v>
      </c>
      <c r="S22" s="36">
        <f>K22*0.84</f>
        <v>7.0055999999999994</v>
      </c>
      <c r="T22" s="267">
        <f>S22*J22</f>
        <v>12820.248</v>
      </c>
      <c r="U22" s="36"/>
      <c r="V22" s="204">
        <v>120</v>
      </c>
      <c r="W22" s="760"/>
    </row>
    <row r="23" spans="2:23" s="159" customFormat="1" ht="15.6" customHeight="1">
      <c r="B23" s="1166" t="s">
        <v>3838</v>
      </c>
      <c r="C23" s="149" t="s">
        <v>3833</v>
      </c>
      <c r="D23" s="150" t="s">
        <v>3834</v>
      </c>
      <c r="E23" s="174"/>
      <c r="F23" s="152"/>
      <c r="G23" s="152" t="s">
        <v>215</v>
      </c>
      <c r="H23" s="154" t="s">
        <v>2015</v>
      </c>
      <c r="I23" s="155"/>
      <c r="J23" s="153"/>
      <c r="K23" s="160">
        <v>0</v>
      </c>
      <c r="L23" s="157"/>
      <c r="M23" s="157"/>
      <c r="N23" s="157">
        <v>45243</v>
      </c>
      <c r="O23" s="156">
        <v>5618</v>
      </c>
      <c r="P23" s="149"/>
      <c r="Q23" s="759">
        <v>0</v>
      </c>
      <c r="S23" s="205">
        <v>0</v>
      </c>
      <c r="T23" s="165">
        <v>0</v>
      </c>
      <c r="U23" s="1165"/>
      <c r="V23" s="204">
        <v>120</v>
      </c>
      <c r="W23" s="760" t="e">
        <f>(((K23*V23)-S23)/(K23*V23))</f>
        <v>#DIV/0!</v>
      </c>
    </row>
    <row r="24" spans="2:23" s="7" customFormat="1" ht="15">
      <c r="B24" s="1166" t="s">
        <v>3838</v>
      </c>
      <c r="C24" s="6" t="s">
        <v>3828</v>
      </c>
      <c r="D24" s="12" t="s">
        <v>3829</v>
      </c>
      <c r="E24" s="17" t="s">
        <v>3830</v>
      </c>
      <c r="F24" s="22"/>
      <c r="G24" s="20"/>
      <c r="H24" s="57"/>
      <c r="I24" s="58"/>
      <c r="J24" s="57"/>
      <c r="K24" s="14" t="s">
        <v>5</v>
      </c>
      <c r="L24" s="126"/>
      <c r="M24" s="31"/>
      <c r="N24" s="31">
        <v>45544</v>
      </c>
      <c r="O24" s="30">
        <v>6461</v>
      </c>
      <c r="P24" s="6" t="s">
        <v>3</v>
      </c>
      <c r="Q24" s="232"/>
      <c r="S24" s="36"/>
      <c r="U24" s="19"/>
      <c r="V24" s="204">
        <v>120</v>
      </c>
      <c r="W24" s="760" t="e">
        <f>(((K24*V24)-S24)/(K24*V24))</f>
        <v>#VALUE!</v>
      </c>
    </row>
    <row r="25" spans="2:23" s="7" customFormat="1" ht="16.149999999999999" customHeight="1">
      <c r="B25" s="1166" t="s">
        <v>3838</v>
      </c>
      <c r="C25" s="6" t="s">
        <v>3828</v>
      </c>
      <c r="D25" s="12" t="s">
        <v>3829</v>
      </c>
      <c r="E25" s="20" t="s">
        <v>3831</v>
      </c>
      <c r="F25" s="34"/>
      <c r="G25" s="34" t="s">
        <v>3832</v>
      </c>
      <c r="H25" s="103"/>
      <c r="I25" s="1164"/>
      <c r="J25" s="16">
        <v>21.5</v>
      </c>
      <c r="K25" s="36">
        <v>6.25</v>
      </c>
      <c r="L25" s="36">
        <f>K25*J25</f>
        <v>134.375</v>
      </c>
      <c r="M25" s="112"/>
      <c r="N25" s="31">
        <v>45544</v>
      </c>
      <c r="O25" s="30">
        <v>6461</v>
      </c>
      <c r="P25" s="36">
        <f>K25*0.92</f>
        <v>5.75</v>
      </c>
      <c r="Q25" s="232">
        <v>5.75</v>
      </c>
      <c r="R25" s="233">
        <f>Q25*J25</f>
        <v>123.625</v>
      </c>
      <c r="S25" s="36">
        <f>K25*0.84</f>
        <v>5.25</v>
      </c>
      <c r="T25" s="267">
        <f>S25*J25</f>
        <v>112.875</v>
      </c>
      <c r="U25" s="36"/>
      <c r="V25" s="204">
        <v>120</v>
      </c>
      <c r="W25" s="760"/>
    </row>
    <row r="26" spans="2:23" s="7" customFormat="1" ht="16.149999999999999" customHeight="1">
      <c r="B26" s="1166" t="s">
        <v>3838</v>
      </c>
      <c r="C26" s="6" t="s">
        <v>3828</v>
      </c>
      <c r="D26" s="12" t="s">
        <v>3829</v>
      </c>
      <c r="E26" s="46"/>
      <c r="F26" s="34"/>
      <c r="G26" s="34" t="s">
        <v>305</v>
      </c>
      <c r="H26" s="103"/>
      <c r="I26" s="1164"/>
      <c r="J26" s="35">
        <v>1</v>
      </c>
      <c r="K26" s="36">
        <v>40</v>
      </c>
      <c r="L26" s="36">
        <f>K26*J26</f>
        <v>40</v>
      </c>
      <c r="M26" s="112"/>
      <c r="N26" s="31">
        <v>45544</v>
      </c>
      <c r="O26" s="30">
        <v>6461</v>
      </c>
      <c r="P26" s="36">
        <f>K26*0.92</f>
        <v>36.800000000000004</v>
      </c>
      <c r="Q26" s="232">
        <v>36.799999999999997</v>
      </c>
      <c r="R26" s="233">
        <f>Q26*J26</f>
        <v>36.799999999999997</v>
      </c>
      <c r="S26" s="36">
        <f>K26*0.84</f>
        <v>33.6</v>
      </c>
      <c r="T26" s="267">
        <f>S26*J26</f>
        <v>33.6</v>
      </c>
      <c r="U26" s="36"/>
      <c r="V26" s="204">
        <v>120</v>
      </c>
      <c r="W26" s="760"/>
    </row>
    <row r="27" spans="2:23" s="159" customFormat="1" ht="15.6" customHeight="1">
      <c r="B27" s="1166" t="s">
        <v>3838</v>
      </c>
      <c r="C27" s="149" t="s">
        <v>3828</v>
      </c>
      <c r="D27" s="150" t="s">
        <v>3829</v>
      </c>
      <c r="E27" s="174"/>
      <c r="F27" s="152"/>
      <c r="G27" s="152" t="s">
        <v>215</v>
      </c>
      <c r="H27" s="154" t="s">
        <v>2015</v>
      </c>
      <c r="I27" s="155"/>
      <c r="J27" s="153"/>
      <c r="K27" s="160">
        <v>0</v>
      </c>
      <c r="L27" s="157"/>
      <c r="M27" s="157"/>
      <c r="N27" s="157">
        <v>45544</v>
      </c>
      <c r="O27" s="156">
        <v>6461</v>
      </c>
      <c r="P27" s="149"/>
      <c r="Q27" s="759">
        <v>0</v>
      </c>
      <c r="S27" s="205">
        <v>0</v>
      </c>
      <c r="T27" s="165">
        <v>0</v>
      </c>
      <c r="U27" s="1165"/>
      <c r="V27" s="204">
        <v>120</v>
      </c>
      <c r="W27" s="760" t="e">
        <f>(((K27*V27)-S27)/(K27*V27))</f>
        <v>#DIV/0!</v>
      </c>
    </row>
    <row r="28" spans="2:23" s="1180" customFormat="1" ht="19.5">
      <c r="B28" s="1167"/>
      <c r="C28" s="1168" t="s">
        <v>3840</v>
      </c>
      <c r="D28" s="1169" t="s">
        <v>3841</v>
      </c>
      <c r="E28" s="1170" t="s">
        <v>3839</v>
      </c>
      <c r="F28" s="1171"/>
      <c r="G28" s="1172"/>
      <c r="H28" s="1173"/>
      <c r="I28" s="1174"/>
      <c r="J28" s="1173"/>
      <c r="K28" s="1175" t="s">
        <v>5</v>
      </c>
      <c r="L28" s="1176"/>
      <c r="M28" s="1177"/>
      <c r="N28" s="1178" t="s">
        <v>3844</v>
      </c>
      <c r="O28" s="1178" t="s">
        <v>3844</v>
      </c>
      <c r="P28" s="1168" t="s">
        <v>3</v>
      </c>
      <c r="Q28" s="1179"/>
      <c r="S28" s="1181"/>
      <c r="U28" s="1182"/>
      <c r="V28" s="1183">
        <v>120</v>
      </c>
      <c r="W28" s="1184" t="e">
        <f>(((K28*V28)-S28)/(K28*V28))</f>
        <v>#VALUE!</v>
      </c>
    </row>
    <row r="29" spans="2:23" s="1180" customFormat="1" ht="16.149999999999999" customHeight="1">
      <c r="B29" s="1167"/>
      <c r="C29" s="1168" t="s">
        <v>3840</v>
      </c>
      <c r="D29" s="1169" t="s">
        <v>3841</v>
      </c>
      <c r="E29" s="1185" t="s">
        <v>3842</v>
      </c>
      <c r="F29" s="120"/>
      <c r="G29" s="120" t="s">
        <v>3843</v>
      </c>
      <c r="H29" s="1186"/>
      <c r="I29" s="1187"/>
      <c r="J29" s="1188">
        <v>800</v>
      </c>
      <c r="K29" s="1181">
        <v>2.65</v>
      </c>
      <c r="L29" s="1181">
        <f>K29*J29</f>
        <v>2120</v>
      </c>
      <c r="M29" s="1189" t="s">
        <v>3837</v>
      </c>
      <c r="N29" s="1178" t="s">
        <v>3844</v>
      </c>
      <c r="O29" s="1178" t="s">
        <v>3844</v>
      </c>
      <c r="P29" s="1181">
        <f>K29*0.92</f>
        <v>2.4380000000000002</v>
      </c>
      <c r="Q29" s="1179">
        <v>2.44</v>
      </c>
      <c r="R29" s="1190">
        <f>Q29*J29</f>
        <v>1952</v>
      </c>
      <c r="S29" s="1181">
        <f>K29*0.84</f>
        <v>2.226</v>
      </c>
      <c r="T29" s="1191">
        <f>S29*J29</f>
        <v>1780.8</v>
      </c>
      <c r="U29" s="1181"/>
      <c r="V29" s="1183">
        <v>120</v>
      </c>
      <c r="W29" s="1184"/>
    </row>
    <row r="30" spans="2:23" s="1195" customFormat="1" ht="15.6" customHeight="1">
      <c r="B30" s="1167"/>
      <c r="C30" s="1168" t="s">
        <v>3840</v>
      </c>
      <c r="D30" s="1169" t="s">
        <v>3841</v>
      </c>
      <c r="E30" s="1172"/>
      <c r="F30" s="120"/>
      <c r="G30" s="120" t="s">
        <v>215</v>
      </c>
      <c r="H30" s="1192" t="s">
        <v>2015</v>
      </c>
      <c r="I30" s="1193"/>
      <c r="J30" s="1186"/>
      <c r="K30" s="1181">
        <v>0</v>
      </c>
      <c r="L30" s="1177"/>
      <c r="M30" s="1177"/>
      <c r="N30" s="1178" t="s">
        <v>3844</v>
      </c>
      <c r="O30" s="1178" t="s">
        <v>3844</v>
      </c>
      <c r="P30" s="1168"/>
      <c r="Q30" s="1194">
        <v>0</v>
      </c>
      <c r="S30" s="1183">
        <v>0</v>
      </c>
      <c r="T30" s="1196">
        <v>0</v>
      </c>
      <c r="U30" s="1197"/>
      <c r="V30" s="1183">
        <v>120</v>
      </c>
      <c r="W30" s="1184" t="e">
        <f>(((K30*V30)-S30)/(K30*V30))</f>
        <v>#DIV/0!</v>
      </c>
    </row>
    <row r="31" spans="2:23" s="7" customFormat="1" ht="15">
      <c r="B31" s="1166"/>
      <c r="C31" s="6" t="s">
        <v>3845</v>
      </c>
      <c r="D31" s="12" t="s">
        <v>3846</v>
      </c>
      <c r="E31" s="17" t="s">
        <v>3839</v>
      </c>
      <c r="F31" s="22"/>
      <c r="G31" s="20"/>
      <c r="H31" s="57"/>
      <c r="I31" s="58"/>
      <c r="J31" s="57"/>
      <c r="K31" s="14" t="s">
        <v>5</v>
      </c>
      <c r="L31" s="126"/>
      <c r="M31" s="31"/>
      <c r="N31" s="31">
        <v>46052</v>
      </c>
      <c r="O31" s="30">
        <v>7835</v>
      </c>
      <c r="P31" s="6" t="s">
        <v>3</v>
      </c>
      <c r="Q31" s="232"/>
      <c r="S31" s="36"/>
      <c r="U31" s="19"/>
      <c r="V31" s="204">
        <v>120</v>
      </c>
      <c r="W31" s="1198" t="e">
        <f>(((K31*V31)-S31)/(K31*V31))</f>
        <v>#VALUE!</v>
      </c>
    </row>
    <row r="32" spans="2:23" s="7" customFormat="1" ht="16.149999999999999" customHeight="1">
      <c r="B32" s="1166"/>
      <c r="C32" s="6" t="s">
        <v>3845</v>
      </c>
      <c r="D32" s="12" t="s">
        <v>3846</v>
      </c>
      <c r="E32" s="20" t="s">
        <v>3849</v>
      </c>
      <c r="F32" s="34" t="s">
        <v>3850</v>
      </c>
      <c r="G32" s="34" t="s">
        <v>3847</v>
      </c>
      <c r="H32" s="103"/>
      <c r="I32" s="1164"/>
      <c r="J32" s="16">
        <v>25</v>
      </c>
      <c r="K32" s="36">
        <v>56</v>
      </c>
      <c r="L32" s="36">
        <f>K32*J32</f>
        <v>1400</v>
      </c>
      <c r="M32" s="112" t="s">
        <v>3837</v>
      </c>
      <c r="N32" s="31">
        <v>46052</v>
      </c>
      <c r="O32" s="30">
        <v>7835</v>
      </c>
      <c r="P32" s="36">
        <f>K32*0.92</f>
        <v>51.52</v>
      </c>
      <c r="Q32" s="232">
        <v>51.52</v>
      </c>
      <c r="R32" s="233">
        <f>Q32*J32</f>
        <v>1288</v>
      </c>
      <c r="S32" s="36">
        <f>K32*0.84</f>
        <v>47.04</v>
      </c>
      <c r="T32" s="267">
        <f>S32*J32</f>
        <v>1176</v>
      </c>
      <c r="U32" s="36"/>
      <c r="V32" s="204">
        <v>120</v>
      </c>
      <c r="W32" s="1198"/>
    </row>
    <row r="33" spans="2:23" s="7" customFormat="1" ht="16.149999999999999" customHeight="1">
      <c r="B33" s="1166"/>
      <c r="C33" s="6" t="s">
        <v>3845</v>
      </c>
      <c r="D33" s="12" t="s">
        <v>3846</v>
      </c>
      <c r="E33" s="20" t="s">
        <v>3849</v>
      </c>
      <c r="F33" s="34" t="s">
        <v>3850</v>
      </c>
      <c r="G33" s="34" t="s">
        <v>3848</v>
      </c>
      <c r="H33" s="103"/>
      <c r="I33" s="1164"/>
      <c r="J33" s="16">
        <v>45</v>
      </c>
      <c r="K33" s="36">
        <v>56</v>
      </c>
      <c r="L33" s="36">
        <f>K33*J33</f>
        <v>2520</v>
      </c>
      <c r="M33" s="112" t="s">
        <v>3837</v>
      </c>
      <c r="N33" s="31">
        <v>46052</v>
      </c>
      <c r="O33" s="30">
        <v>7835</v>
      </c>
      <c r="P33" s="36">
        <f>K33*0.92</f>
        <v>51.52</v>
      </c>
      <c r="Q33" s="232">
        <v>51.52</v>
      </c>
      <c r="R33" s="233">
        <f>Q33*J33</f>
        <v>2318.4</v>
      </c>
      <c r="S33" s="36">
        <f>K33*0.84</f>
        <v>47.04</v>
      </c>
      <c r="T33" s="267">
        <f>S33*J33</f>
        <v>2116.8000000000002</v>
      </c>
      <c r="U33" s="36"/>
      <c r="V33" s="204">
        <v>120</v>
      </c>
      <c r="W33" s="1198"/>
    </row>
    <row r="34" spans="2:23" s="159" customFormat="1" ht="15.6" customHeight="1">
      <c r="B34" s="1166"/>
      <c r="C34" s="149" t="s">
        <v>3845</v>
      </c>
      <c r="D34" s="150" t="s">
        <v>3846</v>
      </c>
      <c r="E34" s="174"/>
      <c r="F34" s="152"/>
      <c r="G34" s="152" t="s">
        <v>215</v>
      </c>
      <c r="H34" s="154" t="s">
        <v>2775</v>
      </c>
      <c r="I34" s="155"/>
      <c r="J34" s="153"/>
      <c r="K34" s="160">
        <v>0</v>
      </c>
      <c r="L34" s="157"/>
      <c r="M34" s="157"/>
      <c r="N34" s="157">
        <v>46052</v>
      </c>
      <c r="O34" s="156">
        <v>7835</v>
      </c>
      <c r="P34" s="149"/>
      <c r="Q34" s="759">
        <v>0</v>
      </c>
      <c r="S34" s="205">
        <v>0</v>
      </c>
      <c r="T34" s="165">
        <v>0</v>
      </c>
      <c r="U34" s="1165"/>
      <c r="V34" s="204">
        <v>120</v>
      </c>
      <c r="W34" s="760" t="e">
        <f>(((K34*V34)-S34)/(K34*V34))</f>
        <v>#DIV/0!</v>
      </c>
    </row>
    <row r="35" spans="2:23" s="7" customFormat="1" ht="15">
      <c r="B35" s="1166"/>
      <c r="C35" s="6" t="s">
        <v>3851</v>
      </c>
      <c r="D35" s="12" t="s">
        <v>3852</v>
      </c>
      <c r="E35" s="17" t="s">
        <v>3839</v>
      </c>
      <c r="F35" s="22"/>
      <c r="G35" s="20"/>
      <c r="H35" s="57"/>
      <c r="I35" s="58"/>
      <c r="J35" s="57"/>
      <c r="K35" s="14" t="s">
        <v>5</v>
      </c>
      <c r="L35" s="126"/>
      <c r="M35" s="31"/>
      <c r="N35" s="31">
        <v>46016</v>
      </c>
      <c r="O35" s="30">
        <v>7758</v>
      </c>
      <c r="P35" s="6" t="s">
        <v>3</v>
      </c>
      <c r="Q35" s="232"/>
      <c r="S35" s="36"/>
      <c r="U35" s="19"/>
      <c r="V35" s="204">
        <v>120</v>
      </c>
      <c r="W35" s="1198" t="e">
        <f>(((K35*V35)-S35)/(K35*V35))</f>
        <v>#VALUE!</v>
      </c>
    </row>
    <row r="36" spans="2:23" s="7" customFormat="1" ht="16.149999999999999" customHeight="1">
      <c r="B36" s="1166"/>
      <c r="C36" s="6" t="s">
        <v>3851</v>
      </c>
      <c r="D36" s="12" t="s">
        <v>3852</v>
      </c>
      <c r="E36" s="20" t="s">
        <v>3853</v>
      </c>
      <c r="F36" s="34"/>
      <c r="G36" s="34" t="s">
        <v>3854</v>
      </c>
      <c r="H36" s="103"/>
      <c r="I36" s="1164"/>
      <c r="J36" s="16">
        <v>36</v>
      </c>
      <c r="K36" s="36">
        <v>84.58</v>
      </c>
      <c r="L36" s="36">
        <f t="shared" ref="L36:L45" si="0">K36*J36</f>
        <v>3044.88</v>
      </c>
      <c r="M36" s="112"/>
      <c r="N36" s="31">
        <v>46016</v>
      </c>
      <c r="O36" s="30">
        <v>7758</v>
      </c>
      <c r="P36" s="36">
        <f t="shared" ref="P36:P45" si="1">K36*0.92</f>
        <v>77.813600000000008</v>
      </c>
      <c r="Q36" s="232">
        <v>77.81</v>
      </c>
      <c r="R36" s="233">
        <f t="shared" ref="R36:R45" si="2">Q36*J36</f>
        <v>2801.16</v>
      </c>
      <c r="S36" s="36">
        <f t="shared" ref="S36:S45" si="3">K36*0.84</f>
        <v>71.047199999999989</v>
      </c>
      <c r="T36" s="267">
        <f t="shared" ref="T36:T45" si="4">S36*J36</f>
        <v>2557.6991999999996</v>
      </c>
      <c r="U36" s="36"/>
      <c r="V36" s="204">
        <v>120</v>
      </c>
      <c r="W36" s="1198"/>
    </row>
    <row r="37" spans="2:23" s="7" customFormat="1" ht="16.149999999999999" customHeight="1">
      <c r="B37" s="1166"/>
      <c r="C37" s="6" t="s">
        <v>3851</v>
      </c>
      <c r="D37" s="12" t="s">
        <v>3852</v>
      </c>
      <c r="E37" s="20" t="s">
        <v>3855</v>
      </c>
      <c r="F37" s="34"/>
      <c r="G37" s="34" t="s">
        <v>3854</v>
      </c>
      <c r="H37" s="103"/>
      <c r="I37" s="1164"/>
      <c r="J37" s="16">
        <v>17.2</v>
      </c>
      <c r="K37" s="36">
        <v>39.840000000000003</v>
      </c>
      <c r="L37" s="36">
        <f t="shared" si="0"/>
        <v>685.24800000000005</v>
      </c>
      <c r="M37" s="112"/>
      <c r="N37" s="31">
        <v>46050</v>
      </c>
      <c r="O37" s="30">
        <v>7830</v>
      </c>
      <c r="P37" s="36">
        <f t="shared" si="1"/>
        <v>36.652800000000006</v>
      </c>
      <c r="Q37" s="232">
        <v>36.65</v>
      </c>
      <c r="R37" s="233">
        <f t="shared" si="2"/>
        <v>630.38</v>
      </c>
      <c r="S37" s="36">
        <f t="shared" si="3"/>
        <v>33.465600000000002</v>
      </c>
      <c r="T37" s="267">
        <f t="shared" si="4"/>
        <v>575.60832000000005</v>
      </c>
      <c r="U37" s="36"/>
      <c r="V37" s="204">
        <v>120</v>
      </c>
      <c r="W37" s="1198"/>
    </row>
    <row r="38" spans="2:23" s="7" customFormat="1" ht="16.149999999999999" customHeight="1">
      <c r="B38" s="1166"/>
      <c r="C38" s="6" t="s">
        <v>3851</v>
      </c>
      <c r="D38" s="12" t="s">
        <v>3852</v>
      </c>
      <c r="E38" s="20" t="s">
        <v>3856</v>
      </c>
      <c r="F38" s="34"/>
      <c r="G38" s="34" t="s">
        <v>3854</v>
      </c>
      <c r="H38" s="103"/>
      <c r="I38" s="1164"/>
      <c r="J38" s="16">
        <v>24.4</v>
      </c>
      <c r="K38" s="36">
        <v>35.92</v>
      </c>
      <c r="L38" s="36">
        <f t="shared" si="0"/>
        <v>876.44799999999998</v>
      </c>
      <c r="M38" s="112"/>
      <c r="N38" s="31">
        <v>46035</v>
      </c>
      <c r="O38" s="30">
        <v>7788</v>
      </c>
      <c r="P38" s="36">
        <f t="shared" si="1"/>
        <v>33.046400000000006</v>
      </c>
      <c r="Q38" s="232">
        <v>33.049999999999997</v>
      </c>
      <c r="R38" s="233">
        <f t="shared" si="2"/>
        <v>806.41999999999985</v>
      </c>
      <c r="S38" s="36">
        <f t="shared" si="3"/>
        <v>30.172799999999999</v>
      </c>
      <c r="T38" s="267">
        <f t="shared" si="4"/>
        <v>736.21631999999988</v>
      </c>
      <c r="U38" s="36"/>
      <c r="V38" s="204">
        <v>120</v>
      </c>
      <c r="W38" s="1198"/>
    </row>
    <row r="39" spans="2:23" s="7" customFormat="1" ht="16.149999999999999" customHeight="1">
      <c r="B39" s="1166"/>
      <c r="C39" s="6" t="s">
        <v>3851</v>
      </c>
      <c r="D39" s="12" t="s">
        <v>3852</v>
      </c>
      <c r="E39" s="20" t="s">
        <v>3857</v>
      </c>
      <c r="F39" s="34"/>
      <c r="G39" s="34" t="s">
        <v>3854</v>
      </c>
      <c r="H39" s="103"/>
      <c r="I39" s="1164"/>
      <c r="J39" s="1199">
        <v>10</v>
      </c>
      <c r="K39" s="36">
        <v>8.1999999999999993</v>
      </c>
      <c r="L39" s="36">
        <f t="shared" si="0"/>
        <v>82</v>
      </c>
      <c r="M39" s="112"/>
      <c r="N39" s="31">
        <v>46016</v>
      </c>
      <c r="O39" s="30">
        <v>7758</v>
      </c>
      <c r="P39" s="36">
        <f t="shared" si="1"/>
        <v>7.5439999999999996</v>
      </c>
      <c r="Q39" s="232">
        <v>7.54</v>
      </c>
      <c r="R39" s="233">
        <f t="shared" si="2"/>
        <v>75.400000000000006</v>
      </c>
      <c r="S39" s="36">
        <f t="shared" si="3"/>
        <v>6.887999999999999</v>
      </c>
      <c r="T39" s="267">
        <f t="shared" si="4"/>
        <v>68.88</v>
      </c>
      <c r="U39" s="36"/>
      <c r="V39" s="204">
        <v>120</v>
      </c>
      <c r="W39" s="1198"/>
    </row>
    <row r="40" spans="2:23" s="7" customFormat="1" ht="16.149999999999999" customHeight="1">
      <c r="B40" s="1166"/>
      <c r="C40" s="6" t="s">
        <v>3851</v>
      </c>
      <c r="D40" s="12" t="s">
        <v>3852</v>
      </c>
      <c r="E40" s="20" t="s">
        <v>3858</v>
      </c>
      <c r="F40" s="34"/>
      <c r="G40" s="34" t="s">
        <v>3854</v>
      </c>
      <c r="H40" s="103"/>
      <c r="I40" s="1164"/>
      <c r="J40" s="1199">
        <v>10</v>
      </c>
      <c r="K40" s="36">
        <v>2.67</v>
      </c>
      <c r="L40" s="36">
        <f t="shared" si="0"/>
        <v>26.7</v>
      </c>
      <c r="M40" s="112"/>
      <c r="N40" s="31">
        <v>46016</v>
      </c>
      <c r="O40" s="30">
        <v>7758</v>
      </c>
      <c r="P40" s="36">
        <f t="shared" si="1"/>
        <v>2.4563999999999999</v>
      </c>
      <c r="Q40" s="232">
        <v>2.46</v>
      </c>
      <c r="R40" s="233">
        <f t="shared" si="2"/>
        <v>24.6</v>
      </c>
      <c r="S40" s="36">
        <f t="shared" si="3"/>
        <v>2.2427999999999999</v>
      </c>
      <c r="T40" s="267">
        <f t="shared" si="4"/>
        <v>22.427999999999997</v>
      </c>
      <c r="U40" s="36"/>
      <c r="V40" s="204">
        <v>120</v>
      </c>
      <c r="W40" s="1198"/>
    </row>
    <row r="41" spans="2:23" s="7" customFormat="1" ht="16.149999999999999" customHeight="1">
      <c r="B41" s="1166"/>
      <c r="C41" s="6" t="s">
        <v>3851</v>
      </c>
      <c r="D41" s="12" t="s">
        <v>3852</v>
      </c>
      <c r="E41" s="20" t="s">
        <v>3863</v>
      </c>
      <c r="F41" s="34"/>
      <c r="G41" s="34" t="s">
        <v>3854</v>
      </c>
      <c r="H41" s="103"/>
      <c r="I41" s="1164"/>
      <c r="J41" s="1200">
        <v>10</v>
      </c>
      <c r="K41" s="36">
        <v>7.4</v>
      </c>
      <c r="L41" s="36">
        <f t="shared" si="0"/>
        <v>74</v>
      </c>
      <c r="M41" s="112"/>
      <c r="N41" s="31">
        <v>46016</v>
      </c>
      <c r="O41" s="30">
        <v>7758</v>
      </c>
      <c r="P41" s="36">
        <f t="shared" si="1"/>
        <v>6.8080000000000007</v>
      </c>
      <c r="Q41" s="232">
        <v>6.81</v>
      </c>
      <c r="R41" s="233">
        <f t="shared" si="2"/>
        <v>68.099999999999994</v>
      </c>
      <c r="S41" s="36">
        <f t="shared" si="3"/>
        <v>6.2160000000000002</v>
      </c>
      <c r="T41" s="267">
        <f t="shared" si="4"/>
        <v>62.160000000000004</v>
      </c>
      <c r="U41" s="36"/>
      <c r="V41" s="204">
        <v>120</v>
      </c>
      <c r="W41" s="1198"/>
    </row>
    <row r="42" spans="2:23" s="7" customFormat="1" ht="16.149999999999999" customHeight="1">
      <c r="B42" s="1166"/>
      <c r="C42" s="6" t="s">
        <v>3851</v>
      </c>
      <c r="D42" s="12" t="s">
        <v>3852</v>
      </c>
      <c r="E42" s="20" t="s">
        <v>3859</v>
      </c>
      <c r="F42" s="34"/>
      <c r="G42" s="34" t="s">
        <v>3854</v>
      </c>
      <c r="H42" s="103"/>
      <c r="I42" s="1164"/>
      <c r="J42" s="1199">
        <v>10</v>
      </c>
      <c r="K42" s="36">
        <v>6.1</v>
      </c>
      <c r="L42" s="36">
        <f t="shared" si="0"/>
        <v>61</v>
      </c>
      <c r="M42" s="112"/>
      <c r="N42" s="31">
        <v>46016</v>
      </c>
      <c r="O42" s="30">
        <v>7758</v>
      </c>
      <c r="P42" s="36">
        <f t="shared" si="1"/>
        <v>5.6120000000000001</v>
      </c>
      <c r="Q42" s="232">
        <v>5.61</v>
      </c>
      <c r="R42" s="233">
        <f t="shared" si="2"/>
        <v>56.1</v>
      </c>
      <c r="S42" s="36">
        <f t="shared" si="3"/>
        <v>5.1239999999999997</v>
      </c>
      <c r="T42" s="267">
        <f t="shared" si="4"/>
        <v>51.239999999999995</v>
      </c>
      <c r="U42" s="36"/>
      <c r="V42" s="204">
        <v>120</v>
      </c>
      <c r="W42" s="1198"/>
    </row>
    <row r="43" spans="2:23" s="7" customFormat="1" ht="16.149999999999999" customHeight="1">
      <c r="B43" s="1166"/>
      <c r="C43" s="6" t="s">
        <v>3851</v>
      </c>
      <c r="D43" s="12" t="s">
        <v>3852</v>
      </c>
      <c r="E43" s="20" t="s">
        <v>3860</v>
      </c>
      <c r="F43" s="34"/>
      <c r="G43" s="34" t="s">
        <v>3854</v>
      </c>
      <c r="H43" s="103"/>
      <c r="I43" s="1164"/>
      <c r="J43" s="1199">
        <v>20</v>
      </c>
      <c r="K43" s="36">
        <v>4.3899999999999997</v>
      </c>
      <c r="L43" s="36">
        <f t="shared" si="0"/>
        <v>87.8</v>
      </c>
      <c r="M43" s="112"/>
      <c r="N43" s="31">
        <v>46016</v>
      </c>
      <c r="O43" s="30">
        <v>7758</v>
      </c>
      <c r="P43" s="36">
        <f t="shared" si="1"/>
        <v>4.0388000000000002</v>
      </c>
      <c r="Q43" s="232">
        <v>4.04</v>
      </c>
      <c r="R43" s="233">
        <f t="shared" si="2"/>
        <v>80.8</v>
      </c>
      <c r="S43" s="36">
        <f t="shared" si="3"/>
        <v>3.6875999999999998</v>
      </c>
      <c r="T43" s="267">
        <f t="shared" si="4"/>
        <v>73.751999999999995</v>
      </c>
      <c r="U43" s="36"/>
      <c r="V43" s="204">
        <v>120</v>
      </c>
      <c r="W43" s="1198"/>
    </row>
    <row r="44" spans="2:23" s="7" customFormat="1" ht="16.149999999999999" customHeight="1">
      <c r="B44" s="1166"/>
      <c r="C44" s="6" t="s">
        <v>3851</v>
      </c>
      <c r="D44" s="12" t="s">
        <v>3852</v>
      </c>
      <c r="E44" s="20" t="s">
        <v>3861</v>
      </c>
      <c r="F44" s="34"/>
      <c r="G44" s="34" t="s">
        <v>3854</v>
      </c>
      <c r="H44" s="103"/>
      <c r="I44" s="1164"/>
      <c r="J44" s="1199">
        <v>10</v>
      </c>
      <c r="K44" s="36">
        <v>3.9</v>
      </c>
      <c r="L44" s="36">
        <f t="shared" si="0"/>
        <v>39</v>
      </c>
      <c r="M44" s="112"/>
      <c r="N44" s="31">
        <v>46016</v>
      </c>
      <c r="O44" s="30">
        <v>7758</v>
      </c>
      <c r="P44" s="36">
        <f t="shared" si="1"/>
        <v>3.5880000000000001</v>
      </c>
      <c r="Q44" s="232">
        <v>3.59</v>
      </c>
      <c r="R44" s="233">
        <f t="shared" si="2"/>
        <v>35.9</v>
      </c>
      <c r="S44" s="36">
        <f t="shared" si="3"/>
        <v>3.2759999999999998</v>
      </c>
      <c r="T44" s="267">
        <f t="shared" si="4"/>
        <v>32.76</v>
      </c>
      <c r="U44" s="36"/>
      <c r="V44" s="204">
        <v>120</v>
      </c>
      <c r="W44" s="1198"/>
    </row>
    <row r="45" spans="2:23" s="7" customFormat="1" ht="16.149999999999999" customHeight="1">
      <c r="B45" s="1166"/>
      <c r="C45" s="6" t="s">
        <v>3851</v>
      </c>
      <c r="D45" s="12" t="s">
        <v>3852</v>
      </c>
      <c r="E45" s="20" t="s">
        <v>3862</v>
      </c>
      <c r="F45" s="34"/>
      <c r="G45" s="34" t="s">
        <v>3854</v>
      </c>
      <c r="H45" s="103"/>
      <c r="I45" s="1164"/>
      <c r="J45" s="1199">
        <v>10</v>
      </c>
      <c r="K45" s="36">
        <v>9</v>
      </c>
      <c r="L45" s="36">
        <f t="shared" si="0"/>
        <v>90</v>
      </c>
      <c r="M45" s="112"/>
      <c r="N45" s="31">
        <v>46016</v>
      </c>
      <c r="O45" s="30">
        <v>7758</v>
      </c>
      <c r="P45" s="36">
        <f t="shared" si="1"/>
        <v>8.2800000000000011</v>
      </c>
      <c r="Q45" s="232">
        <v>3.59</v>
      </c>
      <c r="R45" s="233">
        <f t="shared" si="2"/>
        <v>35.9</v>
      </c>
      <c r="S45" s="36">
        <f t="shared" si="3"/>
        <v>7.56</v>
      </c>
      <c r="T45" s="267">
        <f t="shared" si="4"/>
        <v>75.599999999999994</v>
      </c>
      <c r="U45" s="36"/>
      <c r="V45" s="204">
        <v>120</v>
      </c>
      <c r="W45" s="1198"/>
    </row>
    <row r="46" spans="2:23" s="159" customFormat="1" ht="15.6" customHeight="1">
      <c r="B46" s="1166"/>
      <c r="C46" s="149" t="s">
        <v>3851</v>
      </c>
      <c r="D46" s="150" t="s">
        <v>3852</v>
      </c>
      <c r="E46" s="174"/>
      <c r="F46" s="152"/>
      <c r="G46" s="152" t="s">
        <v>215</v>
      </c>
      <c r="H46" s="154" t="s">
        <v>3864</v>
      </c>
      <c r="I46" s="155"/>
      <c r="J46" s="153"/>
      <c r="K46" s="160">
        <v>224.2</v>
      </c>
      <c r="L46" s="160">
        <v>224.2</v>
      </c>
      <c r="M46" s="157"/>
      <c r="N46" s="157">
        <v>46016</v>
      </c>
      <c r="O46" s="156">
        <v>7758</v>
      </c>
      <c r="P46" s="149"/>
      <c r="Q46" s="160">
        <v>224.2</v>
      </c>
      <c r="R46" s="160">
        <v>224.2</v>
      </c>
      <c r="S46" s="160">
        <v>224.2</v>
      </c>
      <c r="T46" s="160">
        <v>224.2</v>
      </c>
      <c r="U46" s="1165"/>
      <c r="V46" s="204">
        <v>120</v>
      </c>
      <c r="W46" s="760">
        <f>(((K46*V46)-S46)/(K46*V46))</f>
        <v>0.99166666666666659</v>
      </c>
    </row>
    <row r="47" spans="2:23" s="159" customFormat="1" ht="15.6" customHeight="1">
      <c r="B47" s="1166"/>
      <c r="C47" s="149" t="s">
        <v>3851</v>
      </c>
      <c r="D47" s="150" t="s">
        <v>3852</v>
      </c>
      <c r="E47" s="174"/>
      <c r="F47" s="152"/>
      <c r="G47" s="152" t="s">
        <v>215</v>
      </c>
      <c r="H47" s="154" t="s">
        <v>3864</v>
      </c>
      <c r="I47" s="155"/>
      <c r="J47" s="153"/>
      <c r="K47" s="160">
        <v>69.95</v>
      </c>
      <c r="L47" s="160">
        <v>69.95</v>
      </c>
      <c r="M47" s="157"/>
      <c r="N47" s="157">
        <v>46035</v>
      </c>
      <c r="O47" s="156">
        <v>7788</v>
      </c>
      <c r="P47" s="149"/>
      <c r="Q47" s="160">
        <v>69.95</v>
      </c>
      <c r="R47" s="160">
        <v>69.95</v>
      </c>
      <c r="S47" s="160">
        <v>69.95</v>
      </c>
      <c r="T47" s="160">
        <v>69.95</v>
      </c>
      <c r="U47" s="1165"/>
      <c r="V47" s="204">
        <v>120</v>
      </c>
      <c r="W47" s="760">
        <f>(((K47*V47)-S47)/(K47*V47))</f>
        <v>0.99166666666666659</v>
      </c>
    </row>
    <row r="48" spans="2:23" s="7" customFormat="1" ht="15">
      <c r="B48" s="1166"/>
      <c r="C48" s="6" t="s">
        <v>3866</v>
      </c>
      <c r="D48" s="12" t="s">
        <v>3865</v>
      </c>
      <c r="E48" s="17" t="s">
        <v>3839</v>
      </c>
      <c r="F48" s="22"/>
      <c r="G48" s="20"/>
      <c r="H48" s="57"/>
      <c r="I48" s="58"/>
      <c r="J48" s="57"/>
      <c r="K48" s="14" t="s">
        <v>5</v>
      </c>
      <c r="L48" s="126"/>
      <c r="M48" s="31"/>
      <c r="N48" s="31">
        <v>46027</v>
      </c>
      <c r="O48" s="30">
        <v>7759</v>
      </c>
      <c r="P48" s="6" t="s">
        <v>3</v>
      </c>
      <c r="Q48" s="232"/>
      <c r="S48" s="36"/>
      <c r="U48" s="19"/>
      <c r="V48" s="204">
        <v>120</v>
      </c>
      <c r="W48" s="1198" t="e">
        <f>(((K48*V48)-S48)/(K48*V48))</f>
        <v>#VALUE!</v>
      </c>
    </row>
    <row r="49" spans="2:23" s="7" customFormat="1" ht="16.149999999999999" customHeight="1">
      <c r="B49" s="1166"/>
      <c r="C49" s="6" t="s">
        <v>3866</v>
      </c>
      <c r="D49" s="12" t="s">
        <v>3865</v>
      </c>
      <c r="E49" s="20" t="s">
        <v>3867</v>
      </c>
      <c r="F49" s="34"/>
      <c r="G49" s="34" t="s">
        <v>3854</v>
      </c>
      <c r="H49" s="103"/>
      <c r="I49" s="1164"/>
      <c r="J49" s="16">
        <v>3</v>
      </c>
      <c r="K49" s="36">
        <v>52.1</v>
      </c>
      <c r="L49" s="36">
        <f t="shared" ref="L49" si="5">K49*J49</f>
        <v>156.30000000000001</v>
      </c>
      <c r="M49" s="112"/>
      <c r="N49" s="31">
        <v>46027</v>
      </c>
      <c r="O49" s="30">
        <v>7759</v>
      </c>
      <c r="P49" s="36">
        <f t="shared" ref="P49" si="6">K49*0.92</f>
        <v>47.932000000000002</v>
      </c>
      <c r="Q49" s="232">
        <v>47.93</v>
      </c>
      <c r="R49" s="233">
        <f t="shared" ref="R49" si="7">Q49*J49</f>
        <v>143.79</v>
      </c>
      <c r="S49" s="36">
        <f t="shared" ref="S49" si="8">K49*0.84</f>
        <v>43.764000000000003</v>
      </c>
      <c r="T49" s="267">
        <f t="shared" ref="T49" si="9">S49*J49</f>
        <v>131.292</v>
      </c>
      <c r="U49" s="36"/>
      <c r="V49" s="204">
        <v>120</v>
      </c>
      <c r="W49" s="1198"/>
    </row>
    <row r="50" spans="2:23" s="159" customFormat="1" ht="15.6" customHeight="1">
      <c r="B50" s="1166"/>
      <c r="C50" s="149" t="s">
        <v>3866</v>
      </c>
      <c r="D50" s="150" t="s">
        <v>3865</v>
      </c>
      <c r="E50" s="174"/>
      <c r="F50" s="152"/>
      <c r="G50" s="152" t="s">
        <v>215</v>
      </c>
      <c r="H50" s="154" t="s">
        <v>3864</v>
      </c>
      <c r="I50" s="155"/>
      <c r="J50" s="153"/>
      <c r="K50" s="1201" t="s">
        <v>3881</v>
      </c>
      <c r="L50" s="1201" t="s">
        <v>3881</v>
      </c>
      <c r="M50" s="157"/>
      <c r="N50" s="157">
        <v>46027</v>
      </c>
      <c r="O50" s="156">
        <v>7759</v>
      </c>
      <c r="P50" s="149"/>
      <c r="Q50" s="1201" t="s">
        <v>3881</v>
      </c>
      <c r="R50" s="1201" t="s">
        <v>3881</v>
      </c>
      <c r="S50" s="1201" t="s">
        <v>3881</v>
      </c>
      <c r="T50" s="1201" t="s">
        <v>3881</v>
      </c>
      <c r="U50" s="1165"/>
      <c r="V50" s="204">
        <v>120</v>
      </c>
      <c r="W50" s="760" t="e">
        <f>(((K50*V50)-S50)/(K50*V50))</f>
        <v>#VALUE!</v>
      </c>
    </row>
    <row r="51" spans="2:23" s="7" customFormat="1" ht="15">
      <c r="B51" s="1166"/>
      <c r="C51" s="6" t="s">
        <v>3868</v>
      </c>
      <c r="D51" s="12" t="s">
        <v>3869</v>
      </c>
      <c r="E51" s="17" t="s">
        <v>3839</v>
      </c>
      <c r="F51" s="22"/>
      <c r="G51" s="20"/>
      <c r="H51" s="57"/>
      <c r="I51" s="58"/>
      <c r="J51" s="57"/>
      <c r="K51" s="14" t="s">
        <v>5</v>
      </c>
      <c r="L51" s="126"/>
      <c r="M51" s="31"/>
      <c r="N51" s="31">
        <v>46089</v>
      </c>
      <c r="O51" s="30">
        <v>7975</v>
      </c>
      <c r="P51" s="6" t="s">
        <v>3</v>
      </c>
      <c r="Q51" s="232"/>
      <c r="S51" s="36"/>
      <c r="U51" s="19"/>
      <c r="V51" s="204">
        <v>120</v>
      </c>
      <c r="W51" s="1198" t="e">
        <f>(((K51*V51)-S51)/(K51*V51))</f>
        <v>#VALUE!</v>
      </c>
    </row>
    <row r="52" spans="2:23" s="7" customFormat="1" ht="16.149999999999999" customHeight="1">
      <c r="B52" s="1166"/>
      <c r="C52" s="6" t="s">
        <v>3868</v>
      </c>
      <c r="D52" s="12" t="s">
        <v>3869</v>
      </c>
      <c r="E52" s="20" t="s">
        <v>3870</v>
      </c>
      <c r="F52" s="34"/>
      <c r="G52" s="34" t="s">
        <v>3871</v>
      </c>
      <c r="H52" s="103"/>
      <c r="I52" s="1164"/>
      <c r="J52" s="1199">
        <v>25</v>
      </c>
      <c r="K52" s="36">
        <v>3.9</v>
      </c>
      <c r="L52" s="36">
        <f t="shared" ref="L52" si="10">K52*J52</f>
        <v>97.5</v>
      </c>
      <c r="M52" s="112"/>
      <c r="N52" s="31">
        <v>46089</v>
      </c>
      <c r="O52" s="30">
        <v>7975</v>
      </c>
      <c r="P52" s="36">
        <f t="shared" ref="P52" si="11">K52*0.92</f>
        <v>3.5880000000000001</v>
      </c>
      <c r="Q52" s="232">
        <v>3.59</v>
      </c>
      <c r="R52" s="233">
        <f t="shared" ref="R52" si="12">Q52*J52</f>
        <v>89.75</v>
      </c>
      <c r="S52" s="36">
        <f t="shared" ref="S52" si="13">K52*0.84</f>
        <v>3.2759999999999998</v>
      </c>
      <c r="T52" s="267">
        <f t="shared" ref="T52" si="14">S52*J52</f>
        <v>81.899999999999991</v>
      </c>
      <c r="U52" s="36"/>
      <c r="V52" s="204">
        <v>120</v>
      </c>
      <c r="W52" s="1198"/>
    </row>
    <row r="53" spans="2:23" s="7" customFormat="1" ht="16.149999999999999" customHeight="1">
      <c r="B53" s="1166"/>
      <c r="C53" s="6" t="s">
        <v>3868</v>
      </c>
      <c r="D53" s="12" t="s">
        <v>3869</v>
      </c>
      <c r="E53" s="20" t="s">
        <v>3870</v>
      </c>
      <c r="F53" s="34"/>
      <c r="G53" s="34" t="s">
        <v>3854</v>
      </c>
      <c r="H53" s="103"/>
      <c r="I53" s="1164"/>
      <c r="J53" s="1199">
        <v>5</v>
      </c>
      <c r="K53" s="36">
        <v>3.9</v>
      </c>
      <c r="L53" s="36">
        <f t="shared" ref="L53" si="15">K53*J53</f>
        <v>19.5</v>
      </c>
      <c r="M53" s="112"/>
      <c r="N53" s="31">
        <v>46089</v>
      </c>
      <c r="O53" s="30">
        <v>7975</v>
      </c>
      <c r="P53" s="36">
        <f t="shared" ref="P53" si="16">K53*0.92</f>
        <v>3.5880000000000001</v>
      </c>
      <c r="Q53" s="232">
        <v>3.59</v>
      </c>
      <c r="R53" s="233">
        <f t="shared" ref="R53" si="17">Q53*J53</f>
        <v>17.95</v>
      </c>
      <c r="S53" s="36">
        <f t="shared" ref="S53" si="18">K53*0.84</f>
        <v>3.2759999999999998</v>
      </c>
      <c r="T53" s="267">
        <f t="shared" ref="T53" si="19">S53*J53</f>
        <v>16.38</v>
      </c>
      <c r="U53" s="36"/>
      <c r="V53" s="204">
        <v>120</v>
      </c>
      <c r="W53" s="1198"/>
    </row>
    <row r="54" spans="2:23" s="7" customFormat="1" ht="16.149999999999999" customHeight="1">
      <c r="B54" s="1166" t="s">
        <v>3838</v>
      </c>
      <c r="C54" s="6" t="s">
        <v>3868</v>
      </c>
      <c r="D54" s="12" t="s">
        <v>3869</v>
      </c>
      <c r="E54" s="46"/>
      <c r="F54" s="34"/>
      <c r="G54" s="34" t="s">
        <v>3872</v>
      </c>
      <c r="H54" s="103"/>
      <c r="I54" s="1164"/>
      <c r="J54" s="35">
        <v>1</v>
      </c>
      <c r="K54" s="36">
        <v>40</v>
      </c>
      <c r="L54" s="36">
        <f>K54*J54</f>
        <v>40</v>
      </c>
      <c r="M54" s="112"/>
      <c r="N54" s="31">
        <v>46089</v>
      </c>
      <c r="O54" s="30">
        <v>7975</v>
      </c>
      <c r="P54" s="36">
        <f>K54*0.92</f>
        <v>36.800000000000004</v>
      </c>
      <c r="Q54" s="232">
        <v>36.799999999999997</v>
      </c>
      <c r="R54" s="233">
        <f>Q54*J54</f>
        <v>36.799999999999997</v>
      </c>
      <c r="S54" s="36">
        <f>K54*0.84</f>
        <v>33.6</v>
      </c>
      <c r="T54" s="267">
        <f>S54*J54</f>
        <v>33.6</v>
      </c>
      <c r="U54" s="36"/>
      <c r="V54" s="204">
        <v>120</v>
      </c>
      <c r="W54" s="760"/>
    </row>
    <row r="55" spans="2:23" s="159" customFormat="1" ht="15.6" customHeight="1">
      <c r="B55" s="1166"/>
      <c r="C55" s="149" t="s">
        <v>3868</v>
      </c>
      <c r="D55" s="150" t="s">
        <v>3869</v>
      </c>
      <c r="E55" s="174"/>
      <c r="F55" s="152"/>
      <c r="G55" s="152" t="s">
        <v>215</v>
      </c>
      <c r="H55" s="154" t="s">
        <v>2775</v>
      </c>
      <c r="I55" s="155"/>
      <c r="J55" s="153"/>
      <c r="K55" s="160">
        <v>0</v>
      </c>
      <c r="L55" s="157"/>
      <c r="M55" s="157"/>
      <c r="N55" s="157">
        <v>46089</v>
      </c>
      <c r="O55" s="156">
        <v>7975</v>
      </c>
      <c r="P55" s="149"/>
      <c r="Q55" s="759">
        <v>0</v>
      </c>
      <c r="S55" s="205">
        <v>0</v>
      </c>
      <c r="T55" s="165">
        <v>0</v>
      </c>
      <c r="U55" s="1165"/>
      <c r="V55" s="204">
        <v>120</v>
      </c>
      <c r="W55" s="760" t="e">
        <f>(((K55*V55)-S55)/(K55*V55))</f>
        <v>#DIV/0!</v>
      </c>
    </row>
    <row r="56" spans="2:23" s="1180" customFormat="1" ht="15">
      <c r="B56" s="1167"/>
      <c r="C56" s="1168" t="s">
        <v>3876</v>
      </c>
      <c r="D56" s="1169" t="s">
        <v>3873</v>
      </c>
      <c r="E56" s="1170" t="s">
        <v>3839</v>
      </c>
      <c r="F56" s="1171"/>
      <c r="G56" s="1172"/>
      <c r="H56" s="1173"/>
      <c r="I56" s="1174"/>
      <c r="J56" s="1173"/>
      <c r="K56" s="1175" t="s">
        <v>5</v>
      </c>
      <c r="L56" s="1176"/>
      <c r="M56" s="1177"/>
      <c r="N56" s="1177"/>
      <c r="O56" s="1216"/>
      <c r="P56" s="1168" t="s">
        <v>3</v>
      </c>
      <c r="Q56" s="1179"/>
      <c r="S56" s="1181"/>
      <c r="U56" s="1182"/>
      <c r="V56" s="1183">
        <v>120</v>
      </c>
      <c r="W56" s="1184" t="e">
        <f>(((K56*V56)-S56)/(K56*V56))</f>
        <v>#VALUE!</v>
      </c>
    </row>
    <row r="57" spans="2:23" s="1180" customFormat="1" ht="16.149999999999999" customHeight="1">
      <c r="B57" s="1167"/>
      <c r="C57" s="1168" t="s">
        <v>3876</v>
      </c>
      <c r="D57" s="1169" t="s">
        <v>3873</v>
      </c>
      <c r="E57" s="1172" t="s">
        <v>3874</v>
      </c>
      <c r="F57" s="120"/>
      <c r="G57" s="120" t="s">
        <v>3875</v>
      </c>
      <c r="H57" s="1186"/>
      <c r="I57" s="1187"/>
      <c r="J57" s="1188">
        <v>2</v>
      </c>
      <c r="K57" s="1181">
        <v>43.45</v>
      </c>
      <c r="L57" s="1181">
        <f t="shared" ref="L57" si="20">K57*J57</f>
        <v>86.9</v>
      </c>
      <c r="M57" s="1189"/>
      <c r="N57" s="1220" t="s">
        <v>3878</v>
      </c>
      <c r="O57" s="1216"/>
      <c r="P57" s="1181">
        <f t="shared" ref="P57" si="21">K57*0.92</f>
        <v>39.974000000000004</v>
      </c>
      <c r="Q57" s="1179">
        <v>39.97</v>
      </c>
      <c r="R57" s="1190">
        <f t="shared" ref="R57" si="22">Q57*J57</f>
        <v>79.94</v>
      </c>
      <c r="S57" s="1181">
        <f t="shared" ref="S57" si="23">K57*0.84</f>
        <v>36.497999999999998</v>
      </c>
      <c r="T57" s="1191">
        <f t="shared" ref="T57" si="24">S57*J57</f>
        <v>72.995999999999995</v>
      </c>
      <c r="U57" s="1181"/>
      <c r="V57" s="1183">
        <v>120</v>
      </c>
      <c r="W57" s="1184"/>
    </row>
    <row r="58" spans="2:23" s="1195" customFormat="1" ht="15.6" customHeight="1">
      <c r="B58" s="1167"/>
      <c r="C58" s="1168" t="s">
        <v>3876</v>
      </c>
      <c r="D58" s="1169" t="s">
        <v>3873</v>
      </c>
      <c r="E58" s="1172"/>
      <c r="F58" s="120"/>
      <c r="G58" s="120" t="s">
        <v>215</v>
      </c>
      <c r="H58" s="1192" t="s">
        <v>3864</v>
      </c>
      <c r="I58" s="1193"/>
      <c r="J58" s="1186"/>
      <c r="K58" s="1221" t="s">
        <v>3243</v>
      </c>
      <c r="L58" s="1221" t="s">
        <v>3243</v>
      </c>
      <c r="M58" s="1177"/>
      <c r="N58" s="1177"/>
      <c r="O58" s="1216"/>
      <c r="P58" s="1168"/>
      <c r="Q58" s="1221" t="s">
        <v>3243</v>
      </c>
      <c r="R58" s="1221" t="s">
        <v>3243</v>
      </c>
      <c r="S58" s="1221" t="s">
        <v>3243</v>
      </c>
      <c r="T58" s="1221" t="s">
        <v>3243</v>
      </c>
      <c r="U58" s="1197"/>
      <c r="V58" s="1183">
        <v>120</v>
      </c>
      <c r="W58" s="1184" t="e">
        <f>(((K58*V58)-S58)/(K58*V58))</f>
        <v>#VALUE!</v>
      </c>
    </row>
    <row r="59" spans="2:23" s="1180" customFormat="1" ht="15">
      <c r="B59" s="1167"/>
      <c r="C59" s="1168" t="s">
        <v>3876</v>
      </c>
      <c r="D59" s="1169" t="s">
        <v>3873</v>
      </c>
      <c r="E59" s="1170" t="s">
        <v>3839</v>
      </c>
      <c r="F59" s="1171"/>
      <c r="G59" s="1172"/>
      <c r="H59" s="1173"/>
      <c r="I59" s="1174"/>
      <c r="J59" s="1173"/>
      <c r="K59" s="1175" t="s">
        <v>5</v>
      </c>
      <c r="L59" s="1176"/>
      <c r="M59" s="1177"/>
      <c r="N59" s="1177"/>
      <c r="O59" s="1216"/>
      <c r="P59" s="1168" t="s">
        <v>3</v>
      </c>
      <c r="Q59" s="1179"/>
      <c r="S59" s="1181"/>
      <c r="U59" s="1182"/>
      <c r="V59" s="1183">
        <v>120</v>
      </c>
      <c r="W59" s="1184" t="e">
        <f>(((K59*V59)-S59)/(K59*V59))</f>
        <v>#VALUE!</v>
      </c>
    </row>
    <row r="60" spans="2:23" s="1180" customFormat="1" ht="16.149999999999999" customHeight="1">
      <c r="B60" s="1167"/>
      <c r="C60" s="1168" t="s">
        <v>3876</v>
      </c>
      <c r="D60" s="1169" t="s">
        <v>3873</v>
      </c>
      <c r="E60" s="1172" t="s">
        <v>3874</v>
      </c>
      <c r="F60" s="120"/>
      <c r="G60" s="120" t="s">
        <v>3854</v>
      </c>
      <c r="H60" s="1186"/>
      <c r="I60" s="1187"/>
      <c r="J60" s="1188">
        <v>10</v>
      </c>
      <c r="K60" s="1181">
        <v>43.45</v>
      </c>
      <c r="L60" s="1181">
        <f t="shared" ref="L60" si="25">K60*J60</f>
        <v>434.5</v>
      </c>
      <c r="M60" s="1189"/>
      <c r="N60" s="1220" t="s">
        <v>3877</v>
      </c>
      <c r="O60" s="1216"/>
      <c r="P60" s="1181">
        <f t="shared" ref="P60" si="26">K60*0.92</f>
        <v>39.974000000000004</v>
      </c>
      <c r="Q60" s="1179">
        <v>39.97</v>
      </c>
      <c r="R60" s="1190">
        <f t="shared" ref="R60" si="27">Q60*J60</f>
        <v>399.7</v>
      </c>
      <c r="S60" s="1181">
        <f t="shared" ref="S60" si="28">K60*0.84</f>
        <v>36.497999999999998</v>
      </c>
      <c r="T60" s="1191">
        <f t="shared" ref="T60" si="29">S60*J60</f>
        <v>364.97999999999996</v>
      </c>
      <c r="U60" s="1181"/>
      <c r="V60" s="1183">
        <v>120</v>
      </c>
      <c r="W60" s="1184"/>
    </row>
    <row r="61" spans="2:23" s="1180" customFormat="1" ht="16.149999999999999" customHeight="1">
      <c r="B61" s="1167"/>
      <c r="C61" s="1168" t="s">
        <v>3876</v>
      </c>
      <c r="D61" s="1169" t="s">
        <v>3873</v>
      </c>
      <c r="E61" s="1172" t="s">
        <v>3874</v>
      </c>
      <c r="F61" s="120"/>
      <c r="G61" s="120" t="s">
        <v>3875</v>
      </c>
      <c r="H61" s="1186"/>
      <c r="I61" s="1187"/>
      <c r="J61" s="1188">
        <v>8</v>
      </c>
      <c r="K61" s="1181">
        <v>43.45</v>
      </c>
      <c r="L61" s="1181">
        <f t="shared" ref="L61" si="30">K61*J61</f>
        <v>347.6</v>
      </c>
      <c r="M61" s="1189"/>
      <c r="N61" s="1220" t="s">
        <v>3877</v>
      </c>
      <c r="O61" s="1216"/>
      <c r="P61" s="1181">
        <f t="shared" ref="P61" si="31">K61*0.92</f>
        <v>39.974000000000004</v>
      </c>
      <c r="Q61" s="1179">
        <v>39.97</v>
      </c>
      <c r="R61" s="1190">
        <f t="shared" ref="R61" si="32">Q61*J61</f>
        <v>319.76</v>
      </c>
      <c r="S61" s="1181">
        <f t="shared" ref="S61" si="33">K61*0.84</f>
        <v>36.497999999999998</v>
      </c>
      <c r="T61" s="1191">
        <f t="shared" ref="T61" si="34">S61*J61</f>
        <v>291.98399999999998</v>
      </c>
      <c r="U61" s="1181"/>
      <c r="V61" s="1183">
        <v>120</v>
      </c>
      <c r="W61" s="1184"/>
    </row>
    <row r="62" spans="2:23" s="1195" customFormat="1" ht="15.6" customHeight="1">
      <c r="B62" s="1167"/>
      <c r="C62" s="1168" t="s">
        <v>3876</v>
      </c>
      <c r="D62" s="1169" t="s">
        <v>3873</v>
      </c>
      <c r="E62" s="1172"/>
      <c r="F62" s="120"/>
      <c r="G62" s="120" t="s">
        <v>215</v>
      </c>
      <c r="H62" s="1192" t="s">
        <v>3864</v>
      </c>
      <c r="I62" s="1193"/>
      <c r="J62" s="1186"/>
      <c r="K62" s="1221" t="s">
        <v>3243</v>
      </c>
      <c r="L62" s="1221" t="s">
        <v>3243</v>
      </c>
      <c r="M62" s="1177"/>
      <c r="N62" s="1177"/>
      <c r="O62" s="1216"/>
      <c r="P62" s="1168"/>
      <c r="Q62" s="1221" t="s">
        <v>3243</v>
      </c>
      <c r="R62" s="1221" t="s">
        <v>3243</v>
      </c>
      <c r="S62" s="1221" t="s">
        <v>3243</v>
      </c>
      <c r="T62" s="1221" t="s">
        <v>3243</v>
      </c>
      <c r="U62" s="1197"/>
      <c r="V62" s="1183">
        <v>120</v>
      </c>
      <c r="W62" s="1184" t="e">
        <f>(((K62*V62)-S62)/(K62*V62))</f>
        <v>#VALUE!</v>
      </c>
    </row>
    <row r="63" spans="2:23" s="7" customFormat="1" ht="15">
      <c r="B63" s="1166"/>
      <c r="C63" s="6" t="s">
        <v>3880</v>
      </c>
      <c r="D63" s="12" t="s">
        <v>3879</v>
      </c>
      <c r="E63" s="17" t="s">
        <v>309</v>
      </c>
      <c r="F63" s="22"/>
      <c r="G63" s="20"/>
      <c r="H63" s="57"/>
      <c r="I63" s="58"/>
      <c r="J63" s="57"/>
      <c r="K63" s="14" t="s">
        <v>5</v>
      </c>
      <c r="L63" s="126"/>
      <c r="M63" s="31"/>
      <c r="N63" s="31">
        <v>46031</v>
      </c>
      <c r="O63" s="30">
        <v>7777</v>
      </c>
      <c r="P63" s="6" t="s">
        <v>3</v>
      </c>
      <c r="Q63" s="232"/>
      <c r="S63" s="36"/>
      <c r="U63" s="19"/>
      <c r="V63" s="204">
        <v>120</v>
      </c>
      <c r="W63" s="760" t="e">
        <f>(((K63*V63)-S63)/(K63*V63))</f>
        <v>#VALUE!</v>
      </c>
    </row>
    <row r="64" spans="2:23" s="7" customFormat="1" ht="16.149999999999999" customHeight="1">
      <c r="B64" s="1166"/>
      <c r="C64" s="6" t="s">
        <v>3880</v>
      </c>
      <c r="D64" s="12" t="s">
        <v>3879</v>
      </c>
      <c r="E64" s="20" t="s">
        <v>3835</v>
      </c>
      <c r="F64" s="34"/>
      <c r="G64" s="34" t="s">
        <v>3836</v>
      </c>
      <c r="H64" s="103"/>
      <c r="I64" s="104"/>
      <c r="J64" s="57">
        <v>84</v>
      </c>
      <c r="K64" s="36">
        <v>7.5</v>
      </c>
      <c r="L64" s="36">
        <f>K64*J64</f>
        <v>630</v>
      </c>
      <c r="M64" s="112"/>
      <c r="N64" s="31">
        <v>46031</v>
      </c>
      <c r="O64" s="30">
        <v>7777</v>
      </c>
      <c r="P64" s="36">
        <f>K64*0.92</f>
        <v>6.9</v>
      </c>
      <c r="Q64" s="232">
        <v>6.9</v>
      </c>
      <c r="R64" s="233">
        <f>Q64*J64</f>
        <v>579.6</v>
      </c>
      <c r="S64" s="36">
        <f>K64*0.84</f>
        <v>6.3</v>
      </c>
      <c r="T64" s="267">
        <f>S64*J64</f>
        <v>529.19999999999993</v>
      </c>
      <c r="U64" s="36"/>
      <c r="V64" s="204">
        <v>120</v>
      </c>
      <c r="W64" s="760"/>
    </row>
    <row r="65" spans="2:23" s="159" customFormat="1" ht="15.6" customHeight="1">
      <c r="B65" s="1166"/>
      <c r="C65" s="149" t="s">
        <v>3880</v>
      </c>
      <c r="D65" s="150" t="s">
        <v>3879</v>
      </c>
      <c r="E65" s="174"/>
      <c r="F65" s="152"/>
      <c r="G65" s="152" t="s">
        <v>215</v>
      </c>
      <c r="H65" s="154" t="s">
        <v>2015</v>
      </c>
      <c r="I65" s="155"/>
      <c r="J65" s="153"/>
      <c r="K65" s="160">
        <v>28.2</v>
      </c>
      <c r="L65" s="160">
        <v>28.2</v>
      </c>
      <c r="M65" s="157"/>
      <c r="N65" s="157">
        <v>46031</v>
      </c>
      <c r="O65" s="156">
        <v>7777</v>
      </c>
      <c r="P65" s="149"/>
      <c r="Q65" s="160">
        <v>28.2</v>
      </c>
      <c r="R65" s="160">
        <v>28.2</v>
      </c>
      <c r="S65" s="160">
        <v>28.2</v>
      </c>
      <c r="T65" s="160">
        <v>28.2</v>
      </c>
      <c r="U65" s="1165"/>
      <c r="V65" s="204">
        <v>120</v>
      </c>
      <c r="W65" s="760">
        <f>(((K65*V65)-S65)/(K65*V65))</f>
        <v>0.9916666666666667</v>
      </c>
    </row>
    <row r="66" spans="2:23" s="7" customFormat="1" ht="15">
      <c r="B66" s="1166"/>
      <c r="C66" s="6" t="s">
        <v>3882</v>
      </c>
      <c r="D66" s="12" t="s">
        <v>3883</v>
      </c>
      <c r="E66" s="17" t="s">
        <v>3839</v>
      </c>
      <c r="F66" s="22"/>
      <c r="G66" s="20"/>
      <c r="H66" s="57"/>
      <c r="I66" s="58"/>
      <c r="J66" s="57"/>
      <c r="K66" s="14" t="s">
        <v>5</v>
      </c>
      <c r="L66" s="126"/>
      <c r="M66" s="31"/>
      <c r="N66" s="31">
        <v>46066</v>
      </c>
      <c r="O66" s="30">
        <v>7855</v>
      </c>
      <c r="P66" s="6" t="s">
        <v>3</v>
      </c>
      <c r="Q66" s="232"/>
      <c r="S66" s="36"/>
      <c r="U66" s="19"/>
      <c r="V66" s="204">
        <v>120</v>
      </c>
      <c r="W66" s="1198" t="e">
        <f>(((K66*V66)-S66)/(K66*V66))</f>
        <v>#VALUE!</v>
      </c>
    </row>
    <row r="67" spans="2:23" s="7" customFormat="1" ht="16.149999999999999" customHeight="1">
      <c r="B67" s="1166"/>
      <c r="C67" s="6" t="s">
        <v>3882</v>
      </c>
      <c r="D67" s="12" t="s">
        <v>3883</v>
      </c>
      <c r="E67" s="20" t="s">
        <v>3885</v>
      </c>
      <c r="F67" s="34"/>
      <c r="G67" s="34" t="s">
        <v>3854</v>
      </c>
      <c r="H67" s="103"/>
      <c r="I67" s="1164"/>
      <c r="J67" s="16">
        <v>136.5</v>
      </c>
      <c r="K67" s="36">
        <v>3.1</v>
      </c>
      <c r="L67" s="36">
        <f t="shared" ref="L67" si="35">K67*J67</f>
        <v>423.15000000000003</v>
      </c>
      <c r="M67" s="112"/>
      <c r="N67" s="31">
        <v>46066</v>
      </c>
      <c r="O67" s="30">
        <v>7855</v>
      </c>
      <c r="P67" s="36">
        <f t="shared" ref="P67" si="36">K67*0.92</f>
        <v>2.8520000000000003</v>
      </c>
      <c r="Q67" s="232">
        <v>2.85</v>
      </c>
      <c r="R67" s="233">
        <f t="shared" ref="R67" si="37">Q67*J67</f>
        <v>389.02500000000003</v>
      </c>
      <c r="S67" s="36">
        <f t="shared" ref="S67" si="38">K67*0.84</f>
        <v>2.6040000000000001</v>
      </c>
      <c r="T67" s="267">
        <f t="shared" ref="T67" si="39">S67*J67</f>
        <v>355.44600000000003</v>
      </c>
      <c r="U67" s="36"/>
      <c r="V67" s="204">
        <v>120</v>
      </c>
      <c r="W67" s="1198"/>
    </row>
    <row r="68" spans="2:23" s="1180" customFormat="1" ht="16.149999999999999" customHeight="1">
      <c r="B68" s="1167"/>
      <c r="C68" s="1168" t="s">
        <v>3882</v>
      </c>
      <c r="D68" s="1169" t="s">
        <v>3883</v>
      </c>
      <c r="E68" s="1172" t="s">
        <v>3902</v>
      </c>
      <c r="F68" s="120"/>
      <c r="G68" s="120" t="s">
        <v>3854</v>
      </c>
      <c r="H68" s="1186"/>
      <c r="I68" s="1187"/>
      <c r="J68" s="1188">
        <v>141</v>
      </c>
      <c r="K68" s="1181">
        <v>3</v>
      </c>
      <c r="L68" s="1181">
        <f>K68*J68</f>
        <v>423</v>
      </c>
      <c r="M68" s="1189"/>
      <c r="N68" s="1212" t="s">
        <v>3844</v>
      </c>
      <c r="O68" s="1212" t="s">
        <v>3844</v>
      </c>
      <c r="P68" s="1181">
        <f>K68*0.92</f>
        <v>2.7600000000000002</v>
      </c>
      <c r="Q68" s="1179">
        <v>2.76</v>
      </c>
      <c r="R68" s="1190">
        <f>Q68*J68</f>
        <v>389.15999999999997</v>
      </c>
      <c r="S68" s="1181">
        <f>K68*0.84</f>
        <v>2.52</v>
      </c>
      <c r="T68" s="1191">
        <f>S68*J68</f>
        <v>355.32</v>
      </c>
      <c r="U68" s="1181"/>
      <c r="V68" s="1183">
        <v>120</v>
      </c>
      <c r="W68" s="1184"/>
    </row>
    <row r="69" spans="2:23" s="159" customFormat="1" ht="15.6" customHeight="1">
      <c r="B69" s="1166"/>
      <c r="C69" s="149" t="s">
        <v>3882</v>
      </c>
      <c r="D69" s="150" t="s">
        <v>3883</v>
      </c>
      <c r="E69" s="174"/>
      <c r="F69" s="152"/>
      <c r="G69" s="152" t="s">
        <v>215</v>
      </c>
      <c r="H69" s="154" t="s">
        <v>3864</v>
      </c>
      <c r="I69" s="155"/>
      <c r="J69" s="153"/>
      <c r="K69" s="1201">
        <v>42</v>
      </c>
      <c r="L69" s="1201">
        <v>42</v>
      </c>
      <c r="M69" s="157"/>
      <c r="N69" s="157">
        <v>46066</v>
      </c>
      <c r="O69" s="156">
        <v>7855</v>
      </c>
      <c r="P69" s="149"/>
      <c r="Q69" s="1201">
        <v>42</v>
      </c>
      <c r="R69" s="1201">
        <v>42</v>
      </c>
      <c r="S69" s="1201">
        <v>42</v>
      </c>
      <c r="T69" s="1201">
        <v>42</v>
      </c>
      <c r="U69" s="1165"/>
      <c r="V69" s="204">
        <v>120</v>
      </c>
      <c r="W69" s="760">
        <f>(((K69*V69)-S69)/(K69*V69))</f>
        <v>0.9916666666666667</v>
      </c>
    </row>
    <row r="70" spans="2:23" s="7" customFormat="1" ht="15">
      <c r="B70" s="1166"/>
      <c r="C70" s="6"/>
      <c r="D70" s="12" t="s">
        <v>3897</v>
      </c>
      <c r="E70" s="17" t="s">
        <v>3839</v>
      </c>
      <c r="F70" s="22"/>
      <c r="G70" s="20"/>
      <c r="H70" s="57"/>
      <c r="I70" s="58"/>
      <c r="J70" s="57"/>
      <c r="K70" s="14" t="s">
        <v>5</v>
      </c>
      <c r="L70" s="126"/>
      <c r="M70" s="31"/>
      <c r="N70" s="31"/>
      <c r="O70" s="30"/>
      <c r="P70" s="6" t="s">
        <v>3</v>
      </c>
      <c r="Q70" s="232"/>
      <c r="S70" s="36"/>
      <c r="U70" s="19"/>
      <c r="V70" s="204">
        <v>120</v>
      </c>
      <c r="W70" s="1198" t="e">
        <f>(((K70*V70)-S70)/(K70*V70))</f>
        <v>#VALUE!</v>
      </c>
    </row>
    <row r="71" spans="2:23" s="7" customFormat="1" ht="16.149999999999999" customHeight="1">
      <c r="B71" s="1166"/>
      <c r="C71" s="6"/>
      <c r="D71" s="12" t="s">
        <v>3897</v>
      </c>
      <c r="E71" s="78" t="s">
        <v>3867</v>
      </c>
      <c r="F71" s="34"/>
      <c r="G71" s="34" t="s">
        <v>3854</v>
      </c>
      <c r="H71" s="103"/>
      <c r="I71" s="1164"/>
      <c r="J71" s="16">
        <v>6.1</v>
      </c>
      <c r="K71" s="36">
        <v>52.1</v>
      </c>
      <c r="L71" s="36">
        <f t="shared" ref="L71" si="40">K71*J71</f>
        <v>317.81</v>
      </c>
      <c r="M71" s="112"/>
      <c r="N71" s="130" t="s">
        <v>3898</v>
      </c>
      <c r="O71" s="30"/>
      <c r="P71" s="36">
        <f t="shared" ref="P71" si="41">K71*0.92</f>
        <v>47.932000000000002</v>
      </c>
      <c r="Q71" s="232">
        <v>47.93</v>
      </c>
      <c r="R71" s="233">
        <f t="shared" ref="R71" si="42">Q71*J71</f>
        <v>292.37299999999999</v>
      </c>
      <c r="S71" s="36">
        <f t="shared" ref="S71" si="43">K71*0.84</f>
        <v>43.764000000000003</v>
      </c>
      <c r="T71" s="267">
        <f t="shared" ref="T71" si="44">S71*J71</f>
        <v>266.96039999999999</v>
      </c>
      <c r="U71" s="36"/>
      <c r="V71" s="204">
        <v>120</v>
      </c>
      <c r="W71" s="1198"/>
    </row>
    <row r="72" spans="2:23" s="159" customFormat="1" ht="15.6" customHeight="1">
      <c r="B72" s="1166"/>
      <c r="C72" s="149"/>
      <c r="D72" s="150" t="s">
        <v>3897</v>
      </c>
      <c r="E72" s="174"/>
      <c r="F72" s="152"/>
      <c r="G72" s="152" t="s">
        <v>215</v>
      </c>
      <c r="H72" s="154" t="s">
        <v>3864</v>
      </c>
      <c r="I72" s="155"/>
      <c r="J72" s="153"/>
      <c r="K72" s="1201" t="s">
        <v>3881</v>
      </c>
      <c r="L72" s="1201" t="s">
        <v>3881</v>
      </c>
      <c r="M72" s="157"/>
      <c r="N72" s="157"/>
      <c r="O72" s="156"/>
      <c r="P72" s="149"/>
      <c r="Q72" s="1201" t="s">
        <v>3881</v>
      </c>
      <c r="R72" s="1201" t="s">
        <v>3881</v>
      </c>
      <c r="S72" s="1201" t="s">
        <v>3881</v>
      </c>
      <c r="T72" s="1201" t="s">
        <v>3881</v>
      </c>
      <c r="U72" s="1165"/>
      <c r="V72" s="204">
        <v>120</v>
      </c>
      <c r="W72" s="760" t="e">
        <f>(((K72*V72)-S72)/(K72*V72))</f>
        <v>#VALUE!</v>
      </c>
    </row>
    <row r="73" spans="2:23" s="7" customFormat="1" ht="15">
      <c r="B73" s="1166"/>
      <c r="C73" s="6"/>
      <c r="D73" s="12" t="s">
        <v>3897</v>
      </c>
      <c r="E73" s="17" t="s">
        <v>3839</v>
      </c>
      <c r="F73" s="22"/>
      <c r="G73" s="20"/>
      <c r="H73" s="57"/>
      <c r="I73" s="58"/>
      <c r="J73" s="57"/>
      <c r="K73" s="14" t="s">
        <v>5</v>
      </c>
      <c r="L73" s="126"/>
      <c r="M73" s="31"/>
      <c r="N73" s="31"/>
      <c r="O73" s="30"/>
      <c r="P73" s="6" t="s">
        <v>3</v>
      </c>
      <c r="Q73" s="232"/>
      <c r="S73" s="36"/>
      <c r="U73" s="19"/>
      <c r="V73" s="204">
        <v>120</v>
      </c>
      <c r="W73" s="1198" t="e">
        <f>(((K73*V73)-S73)/(K73*V73))</f>
        <v>#VALUE!</v>
      </c>
    </row>
    <row r="74" spans="2:23" s="7" customFormat="1" ht="16.149999999999999" customHeight="1">
      <c r="B74" s="1166"/>
      <c r="C74" s="6"/>
      <c r="D74" s="12" t="s">
        <v>3897</v>
      </c>
      <c r="E74" s="78" t="s">
        <v>3867</v>
      </c>
      <c r="F74" s="34"/>
      <c r="G74" s="34" t="s">
        <v>3875</v>
      </c>
      <c r="H74" s="103"/>
      <c r="I74" s="1164"/>
      <c r="J74" s="16">
        <v>6.1</v>
      </c>
      <c r="K74" s="36">
        <v>52.1</v>
      </c>
      <c r="L74" s="36">
        <f t="shared" ref="L74" si="45">K74*J74</f>
        <v>317.81</v>
      </c>
      <c r="M74" s="112"/>
      <c r="N74" s="130" t="s">
        <v>3898</v>
      </c>
      <c r="O74" s="30"/>
      <c r="P74" s="36">
        <f t="shared" ref="P74" si="46">K74*0.92</f>
        <v>47.932000000000002</v>
      </c>
      <c r="Q74" s="232">
        <v>47.93</v>
      </c>
      <c r="R74" s="233">
        <f t="shared" ref="R74" si="47">Q74*J74</f>
        <v>292.37299999999999</v>
      </c>
      <c r="S74" s="36">
        <f t="shared" ref="S74" si="48">K74*0.84</f>
        <v>43.764000000000003</v>
      </c>
      <c r="T74" s="267">
        <f t="shared" ref="T74" si="49">S74*J74</f>
        <v>266.96039999999999</v>
      </c>
      <c r="U74" s="36"/>
      <c r="V74" s="204">
        <v>120</v>
      </c>
      <c r="W74" s="1198"/>
    </row>
    <row r="75" spans="2:23" s="159" customFormat="1" ht="15.6" customHeight="1">
      <c r="B75" s="1166"/>
      <c r="C75" s="149"/>
      <c r="D75" s="150" t="s">
        <v>3897</v>
      </c>
      <c r="E75" s="174"/>
      <c r="F75" s="152"/>
      <c r="G75" s="152" t="s">
        <v>215</v>
      </c>
      <c r="H75" s="154" t="s">
        <v>3864</v>
      </c>
      <c r="I75" s="155"/>
      <c r="J75" s="153"/>
      <c r="K75" s="1201" t="s">
        <v>3881</v>
      </c>
      <c r="L75" s="1201" t="s">
        <v>3881</v>
      </c>
      <c r="M75" s="157"/>
      <c r="N75" s="157"/>
      <c r="O75" s="156"/>
      <c r="P75" s="149"/>
      <c r="Q75" s="1201" t="s">
        <v>3881</v>
      </c>
      <c r="R75" s="1201" t="s">
        <v>3881</v>
      </c>
      <c r="S75" s="1201" t="s">
        <v>3881</v>
      </c>
      <c r="T75" s="1201" t="s">
        <v>3881</v>
      </c>
      <c r="U75" s="1165"/>
      <c r="V75" s="204">
        <v>120</v>
      </c>
      <c r="W75" s="760" t="e">
        <f>(((K75*V75)-S75)/(K75*V75))</f>
        <v>#VALUE!</v>
      </c>
    </row>
    <row r="76" spans="2:23" s="7" customFormat="1" ht="15">
      <c r="B76" s="1166"/>
      <c r="C76" s="6" t="s">
        <v>3900</v>
      </c>
      <c r="D76" s="12" t="s">
        <v>3899</v>
      </c>
      <c r="E76" s="17" t="s">
        <v>3839</v>
      </c>
      <c r="F76" s="22"/>
      <c r="G76" s="20"/>
      <c r="H76" s="57"/>
      <c r="I76" s="58"/>
      <c r="J76" s="57"/>
      <c r="K76" s="14" t="s">
        <v>5</v>
      </c>
      <c r="L76" s="126"/>
      <c r="M76" s="31"/>
      <c r="N76" s="31">
        <v>46049</v>
      </c>
      <c r="O76" s="30">
        <v>7818</v>
      </c>
      <c r="P76" s="6" t="s">
        <v>3</v>
      </c>
      <c r="Q76" s="232"/>
      <c r="S76" s="36"/>
      <c r="U76" s="19"/>
      <c r="V76" s="204">
        <v>120</v>
      </c>
      <c r="W76" s="1198" t="e">
        <f>(((K76*V76)-S76)/(K76*V76))</f>
        <v>#VALUE!</v>
      </c>
    </row>
    <row r="77" spans="2:23" s="7" customFormat="1" ht="16.149999999999999" customHeight="1">
      <c r="B77" s="1166"/>
      <c r="C77" s="6" t="s">
        <v>3900</v>
      </c>
      <c r="D77" s="12" t="s">
        <v>3899</v>
      </c>
      <c r="E77" s="20" t="s">
        <v>3901</v>
      </c>
      <c r="F77" s="34"/>
      <c r="G77" s="34" t="s">
        <v>3854</v>
      </c>
      <c r="H77" s="103"/>
      <c r="I77" s="1164"/>
      <c r="J77" s="122">
        <v>5.7</v>
      </c>
      <c r="K77" s="36">
        <v>22.84</v>
      </c>
      <c r="L77" s="36">
        <f t="shared" ref="L77" si="50">K77*J77</f>
        <v>130.18800000000002</v>
      </c>
      <c r="M77" s="112"/>
      <c r="N77" s="31">
        <v>46049</v>
      </c>
      <c r="O77" s="30">
        <v>7818</v>
      </c>
      <c r="P77" s="36">
        <f t="shared" ref="P77" si="51">K77*0.92</f>
        <v>21.012800000000002</v>
      </c>
      <c r="Q77" s="232">
        <v>21.01</v>
      </c>
      <c r="R77" s="233">
        <f t="shared" ref="R77" si="52">Q77*J77</f>
        <v>119.75700000000002</v>
      </c>
      <c r="S77" s="36">
        <f t="shared" ref="S77" si="53">K77*0.84</f>
        <v>19.185600000000001</v>
      </c>
      <c r="T77" s="267">
        <f t="shared" ref="T77" si="54">S77*J77</f>
        <v>109.35792000000001</v>
      </c>
      <c r="U77" s="36"/>
      <c r="V77" s="204">
        <v>120</v>
      </c>
      <c r="W77" s="1198"/>
    </row>
    <row r="78" spans="2:23" s="159" customFormat="1" ht="15.6" customHeight="1">
      <c r="B78" s="1166"/>
      <c r="C78" s="149" t="s">
        <v>3900</v>
      </c>
      <c r="D78" s="150" t="s">
        <v>3899</v>
      </c>
      <c r="E78" s="174"/>
      <c r="F78" s="152"/>
      <c r="G78" s="152" t="s">
        <v>215</v>
      </c>
      <c r="H78" s="154" t="s">
        <v>2775</v>
      </c>
      <c r="I78" s="155"/>
      <c r="J78" s="153"/>
      <c r="K78" s="160">
        <v>0</v>
      </c>
      <c r="L78" s="157"/>
      <c r="M78" s="157"/>
      <c r="N78" s="157">
        <v>46049</v>
      </c>
      <c r="O78" s="156">
        <v>7818</v>
      </c>
      <c r="P78" s="149"/>
      <c r="Q78" s="759">
        <v>0</v>
      </c>
      <c r="S78" s="205">
        <v>0</v>
      </c>
      <c r="T78" s="165">
        <v>0</v>
      </c>
      <c r="U78" s="1165"/>
      <c r="V78" s="204">
        <v>120</v>
      </c>
      <c r="W78" s="760" t="e">
        <f>(((K78*V78)-S78)/(K78*V78))</f>
        <v>#DIV/0!</v>
      </c>
    </row>
    <row r="79" spans="2:23" s="7" customFormat="1" ht="15">
      <c r="B79" s="1166"/>
      <c r="C79" s="6" t="s">
        <v>3906</v>
      </c>
      <c r="D79" s="12" t="s">
        <v>3907</v>
      </c>
      <c r="E79" s="17" t="s">
        <v>3839</v>
      </c>
      <c r="F79" s="22"/>
      <c r="G79" s="20"/>
      <c r="H79" s="57"/>
      <c r="I79" s="58"/>
      <c r="J79" s="57"/>
      <c r="K79" s="14" t="s">
        <v>5</v>
      </c>
      <c r="L79" s="126"/>
      <c r="M79" s="31"/>
      <c r="N79" s="31"/>
      <c r="O79" s="30"/>
      <c r="P79" s="6" t="s">
        <v>3</v>
      </c>
      <c r="Q79" s="232"/>
      <c r="S79" s="36"/>
      <c r="U79" s="19"/>
      <c r="V79" s="204">
        <v>120</v>
      </c>
      <c r="W79" s="1198" t="e">
        <f>(((K79*V79)-S79)/(K79*V79))</f>
        <v>#VALUE!</v>
      </c>
    </row>
    <row r="80" spans="2:23" s="7" customFormat="1" ht="16.149999999999999" customHeight="1">
      <c r="B80" s="1166"/>
      <c r="C80" s="6" t="s">
        <v>3906</v>
      </c>
      <c r="D80" s="12" t="s">
        <v>3907</v>
      </c>
      <c r="E80" s="78" t="s">
        <v>3908</v>
      </c>
      <c r="F80" s="34"/>
      <c r="G80" s="34" t="s">
        <v>3854</v>
      </c>
      <c r="H80" s="103"/>
      <c r="I80" s="1164"/>
      <c r="J80" s="1199">
        <v>4</v>
      </c>
      <c r="K80" s="36">
        <v>7.2</v>
      </c>
      <c r="L80" s="36">
        <f t="shared" ref="L80" si="55">K80*J80</f>
        <v>28.8</v>
      </c>
      <c r="M80" s="112"/>
      <c r="N80" s="130"/>
      <c r="O80" s="30"/>
      <c r="P80" s="36">
        <f t="shared" ref="P80" si="56">K80*0.92</f>
        <v>6.6240000000000006</v>
      </c>
      <c r="Q80" s="232">
        <v>6.62</v>
      </c>
      <c r="R80" s="233">
        <f t="shared" ref="R80" si="57">Q80*J80</f>
        <v>26.48</v>
      </c>
      <c r="S80" s="36">
        <f t="shared" ref="S80" si="58">K80*0.84</f>
        <v>6.048</v>
      </c>
      <c r="T80" s="267">
        <f t="shared" ref="T80" si="59">S80*J80</f>
        <v>24.192</v>
      </c>
      <c r="U80" s="36"/>
      <c r="V80" s="204">
        <v>120</v>
      </c>
      <c r="W80" s="1198"/>
    </row>
    <row r="81" spans="2:23" s="159" customFormat="1" ht="15.6" customHeight="1">
      <c r="B81" s="1166"/>
      <c r="C81" s="149" t="s">
        <v>3906</v>
      </c>
      <c r="D81" s="150" t="s">
        <v>3907</v>
      </c>
      <c r="E81" s="174"/>
      <c r="F81" s="152"/>
      <c r="G81" s="152" t="s">
        <v>215</v>
      </c>
      <c r="H81" s="154" t="s">
        <v>3864</v>
      </c>
      <c r="I81" s="155"/>
      <c r="J81" s="153"/>
      <c r="K81" s="1201" t="s">
        <v>3909</v>
      </c>
      <c r="L81" s="1201" t="s">
        <v>3909</v>
      </c>
      <c r="M81" s="157"/>
      <c r="N81" s="157"/>
      <c r="O81" s="156"/>
      <c r="P81" s="149"/>
      <c r="Q81" s="1201"/>
      <c r="R81" s="1201"/>
      <c r="S81" s="1201"/>
      <c r="T81" s="1201"/>
      <c r="U81" s="1165"/>
      <c r="V81" s="204">
        <v>120</v>
      </c>
      <c r="W81" s="760" t="e">
        <f>(((K81*V81)-S81)/(K81*V81))</f>
        <v>#VALUE!</v>
      </c>
    </row>
    <row r="82" spans="2:23" s="7" customFormat="1" ht="15">
      <c r="B82" s="1166"/>
      <c r="C82" s="6" t="s">
        <v>3911</v>
      </c>
      <c r="D82" s="12" t="s">
        <v>3910</v>
      </c>
      <c r="E82" s="17" t="s">
        <v>3839</v>
      </c>
      <c r="F82" s="22"/>
      <c r="G82" s="20"/>
      <c r="H82" s="57"/>
      <c r="I82" s="58"/>
      <c r="J82" s="57"/>
      <c r="K82" s="14" t="s">
        <v>5</v>
      </c>
      <c r="L82" s="126"/>
      <c r="M82" s="31"/>
      <c r="N82" s="31">
        <v>46059</v>
      </c>
      <c r="O82" s="30">
        <v>7856</v>
      </c>
      <c r="P82" s="6" t="s">
        <v>3</v>
      </c>
      <c r="Q82" s="232"/>
      <c r="S82" s="36"/>
      <c r="U82" s="19"/>
      <c r="V82" s="204">
        <v>120</v>
      </c>
      <c r="W82" s="1198" t="e">
        <f>(((K82*V82)-S82)/(K82*V82))</f>
        <v>#VALUE!</v>
      </c>
    </row>
    <row r="83" spans="2:23" s="7" customFormat="1" ht="16.149999999999999" customHeight="1">
      <c r="B83" s="1166"/>
      <c r="C83" s="6" t="s">
        <v>3911</v>
      </c>
      <c r="D83" s="12" t="s">
        <v>3910</v>
      </c>
      <c r="E83" s="20" t="s">
        <v>3867</v>
      </c>
      <c r="F83" s="34"/>
      <c r="G83" s="34" t="s">
        <v>3854</v>
      </c>
      <c r="H83" s="103"/>
      <c r="I83" s="1164"/>
      <c r="J83" s="16">
        <v>2</v>
      </c>
      <c r="K83" s="36">
        <v>53.15</v>
      </c>
      <c r="L83" s="36">
        <f t="shared" ref="L83" si="60">K83*J83</f>
        <v>106.3</v>
      </c>
      <c r="M83" s="112"/>
      <c r="N83" s="31">
        <v>46059</v>
      </c>
      <c r="O83" s="30">
        <v>7856</v>
      </c>
      <c r="P83" s="36">
        <f t="shared" ref="P83" si="61">K83*0.92</f>
        <v>48.898000000000003</v>
      </c>
      <c r="Q83" s="232">
        <v>48.9</v>
      </c>
      <c r="R83" s="233">
        <f t="shared" ref="R83" si="62">Q83*J83</f>
        <v>97.8</v>
      </c>
      <c r="S83" s="36">
        <f t="shared" ref="S83" si="63">K83*0.84</f>
        <v>44.645999999999994</v>
      </c>
      <c r="T83" s="267">
        <f t="shared" ref="T83" si="64">S83*J83</f>
        <v>89.291999999999987</v>
      </c>
      <c r="U83" s="36"/>
      <c r="V83" s="204">
        <v>120</v>
      </c>
      <c r="W83" s="1198"/>
    </row>
    <row r="84" spans="2:23" s="7" customFormat="1" ht="16.149999999999999" customHeight="1">
      <c r="B84" s="1166"/>
      <c r="C84" s="6" t="s">
        <v>3911</v>
      </c>
      <c r="D84" s="12" t="s">
        <v>3910</v>
      </c>
      <c r="E84" s="20" t="s">
        <v>3867</v>
      </c>
      <c r="F84" s="34"/>
      <c r="G84" s="34" t="s">
        <v>3875</v>
      </c>
      <c r="H84" s="103"/>
      <c r="I84" s="1164"/>
      <c r="J84" s="16">
        <v>2</v>
      </c>
      <c r="K84" s="36">
        <v>53.15</v>
      </c>
      <c r="L84" s="36">
        <f t="shared" ref="L84" si="65">K84*J84</f>
        <v>106.3</v>
      </c>
      <c r="M84" s="112"/>
      <c r="N84" s="31">
        <v>46059</v>
      </c>
      <c r="O84" s="30">
        <v>7856</v>
      </c>
      <c r="P84" s="36">
        <f t="shared" ref="P84" si="66">K84*0.92</f>
        <v>48.898000000000003</v>
      </c>
      <c r="Q84" s="232">
        <v>48.9</v>
      </c>
      <c r="R84" s="233">
        <f t="shared" ref="R84" si="67">Q84*J84</f>
        <v>97.8</v>
      </c>
      <c r="S84" s="36">
        <f t="shared" ref="S84" si="68">K84*0.84</f>
        <v>44.645999999999994</v>
      </c>
      <c r="T84" s="267">
        <f t="shared" ref="T84" si="69">S84*J84</f>
        <v>89.291999999999987</v>
      </c>
      <c r="U84" s="36"/>
      <c r="V84" s="204">
        <v>120</v>
      </c>
      <c r="W84" s="1198"/>
    </row>
    <row r="85" spans="2:23" s="159" customFormat="1" ht="15.6" customHeight="1">
      <c r="B85" s="1166"/>
      <c r="C85" s="149" t="s">
        <v>3911</v>
      </c>
      <c r="D85" s="150" t="s">
        <v>3910</v>
      </c>
      <c r="E85" s="174"/>
      <c r="F85" s="152"/>
      <c r="G85" s="152" t="s">
        <v>215</v>
      </c>
      <c r="H85" s="154" t="s">
        <v>3864</v>
      </c>
      <c r="I85" s="155"/>
      <c r="J85" s="153"/>
      <c r="K85" s="1201" t="s">
        <v>1822</v>
      </c>
      <c r="L85" s="1201" t="s">
        <v>1822</v>
      </c>
      <c r="M85" s="157"/>
      <c r="N85" s="157">
        <v>46059</v>
      </c>
      <c r="O85" s="156">
        <v>7856</v>
      </c>
      <c r="P85" s="149"/>
      <c r="Q85" s="1201" t="s">
        <v>1822</v>
      </c>
      <c r="R85" s="1201" t="s">
        <v>1822</v>
      </c>
      <c r="S85" s="1201" t="s">
        <v>1822</v>
      </c>
      <c r="T85" s="1201" t="s">
        <v>1822</v>
      </c>
      <c r="U85" s="1165"/>
      <c r="V85" s="204">
        <v>120</v>
      </c>
      <c r="W85" s="760" t="e">
        <f>(((K85*V85)-S85)/(K85*V85))</f>
        <v>#VALUE!</v>
      </c>
    </row>
    <row r="86" spans="2:23" s="7" customFormat="1" ht="15">
      <c r="B86" s="1166"/>
      <c r="C86" s="6" t="s">
        <v>3923</v>
      </c>
      <c r="D86" s="12" t="s">
        <v>3910</v>
      </c>
      <c r="E86" s="17" t="s">
        <v>3839</v>
      </c>
      <c r="F86" s="22"/>
      <c r="G86" s="20"/>
      <c r="H86" s="57"/>
      <c r="I86" s="58"/>
      <c r="J86" s="57"/>
      <c r="K86" s="14" t="s">
        <v>5</v>
      </c>
      <c r="L86" s="126"/>
      <c r="M86" s="31"/>
      <c r="N86" s="31">
        <v>46059</v>
      </c>
      <c r="O86" s="30">
        <v>7856</v>
      </c>
      <c r="P86" s="6" t="s">
        <v>3</v>
      </c>
      <c r="Q86" s="232"/>
      <c r="S86" s="36"/>
      <c r="U86" s="19"/>
      <c r="V86" s="204">
        <v>120</v>
      </c>
      <c r="W86" s="1198" t="e">
        <f>(((K86*V86)-S86)/(K86*V86))</f>
        <v>#VALUE!</v>
      </c>
    </row>
    <row r="87" spans="2:23" s="7" customFormat="1" ht="16.149999999999999" customHeight="1">
      <c r="B87" s="1166"/>
      <c r="C87" s="6" t="s">
        <v>3923</v>
      </c>
      <c r="D87" s="12" t="s">
        <v>3910</v>
      </c>
      <c r="E87" s="20" t="s">
        <v>3874</v>
      </c>
      <c r="F87" s="34"/>
      <c r="G87" s="34" t="s">
        <v>3875</v>
      </c>
      <c r="H87" s="103"/>
      <c r="I87" s="1164"/>
      <c r="J87" s="16">
        <v>3</v>
      </c>
      <c r="K87" s="36">
        <v>43.45</v>
      </c>
      <c r="L87" s="36">
        <f t="shared" ref="L87" si="70">K87*J87</f>
        <v>130.35000000000002</v>
      </c>
      <c r="M87" s="112"/>
      <c r="N87" s="31">
        <v>46059</v>
      </c>
      <c r="O87" s="30">
        <v>7856</v>
      </c>
      <c r="P87" s="36">
        <f t="shared" ref="P87" si="71">K87*0.92</f>
        <v>39.974000000000004</v>
      </c>
      <c r="Q87" s="232">
        <v>39.97</v>
      </c>
      <c r="R87" s="233">
        <f t="shared" ref="R87" si="72">Q87*J87</f>
        <v>119.91</v>
      </c>
      <c r="S87" s="36">
        <f t="shared" ref="S87" si="73">K87*0.84</f>
        <v>36.497999999999998</v>
      </c>
      <c r="T87" s="267">
        <f t="shared" ref="T87" si="74">S87*J87</f>
        <v>109.494</v>
      </c>
      <c r="U87" s="36"/>
      <c r="V87" s="204">
        <v>120</v>
      </c>
      <c r="W87" s="1198"/>
    </row>
    <row r="88" spans="2:23" s="159" customFormat="1" ht="15.6" customHeight="1">
      <c r="B88" s="1166"/>
      <c r="C88" s="149" t="s">
        <v>3923</v>
      </c>
      <c r="D88" s="150" t="s">
        <v>3910</v>
      </c>
      <c r="E88" s="174"/>
      <c r="F88" s="152"/>
      <c r="G88" s="152" t="s">
        <v>215</v>
      </c>
      <c r="H88" s="154" t="s">
        <v>3864</v>
      </c>
      <c r="I88" s="155"/>
      <c r="J88" s="153"/>
      <c r="K88" s="1201">
        <v>27.6</v>
      </c>
      <c r="L88" s="1201">
        <v>27.6</v>
      </c>
      <c r="M88" s="157"/>
      <c r="N88" s="157">
        <v>46059</v>
      </c>
      <c r="O88" s="156">
        <v>7856</v>
      </c>
      <c r="P88" s="149"/>
      <c r="Q88" s="1201">
        <v>27.6</v>
      </c>
      <c r="R88" s="1201">
        <v>27.6</v>
      </c>
      <c r="S88" s="1201">
        <v>27.6</v>
      </c>
      <c r="T88" s="1201">
        <v>27.6</v>
      </c>
      <c r="U88" s="1165"/>
      <c r="V88" s="204">
        <v>120</v>
      </c>
      <c r="W88" s="760">
        <f>(((K88*V88)-S88)/(K88*V88))</f>
        <v>0.9916666666666667</v>
      </c>
    </row>
    <row r="89" spans="2:23" s="7" customFormat="1" ht="15">
      <c r="B89" s="1166"/>
      <c r="C89" s="6" t="s">
        <v>3912</v>
      </c>
      <c r="D89" s="12" t="s">
        <v>3913</v>
      </c>
      <c r="E89" s="17" t="s">
        <v>3839</v>
      </c>
      <c r="F89" s="22"/>
      <c r="G89" s="20"/>
      <c r="H89" s="57"/>
      <c r="I89" s="58"/>
      <c r="J89" s="57"/>
      <c r="K89" s="14" t="s">
        <v>5</v>
      </c>
      <c r="L89" s="126"/>
      <c r="M89" s="31"/>
      <c r="N89" s="31">
        <v>46084</v>
      </c>
      <c r="O89" s="30">
        <v>7938</v>
      </c>
      <c r="P89" s="6" t="s">
        <v>3</v>
      </c>
      <c r="Q89" s="232"/>
      <c r="S89" s="36"/>
      <c r="U89" s="19"/>
      <c r="V89" s="204">
        <v>120</v>
      </c>
      <c r="W89" s="1198" t="e">
        <f>(((K89*V89)-S89)/(K89*V89))</f>
        <v>#VALUE!</v>
      </c>
    </row>
    <row r="90" spans="2:23" s="7" customFormat="1" ht="16.149999999999999" customHeight="1">
      <c r="B90" s="1166"/>
      <c r="C90" s="6" t="s">
        <v>3912</v>
      </c>
      <c r="D90" s="12" t="s">
        <v>3913</v>
      </c>
      <c r="E90" s="20" t="s">
        <v>3914</v>
      </c>
      <c r="F90" s="34"/>
      <c r="G90" s="34" t="s">
        <v>3915</v>
      </c>
      <c r="H90" s="103"/>
      <c r="I90" s="1164"/>
      <c r="J90" s="16">
        <v>28</v>
      </c>
      <c r="K90" s="36">
        <v>5.2</v>
      </c>
      <c r="L90" s="36">
        <f t="shared" ref="L90" si="75">K90*J90</f>
        <v>145.6</v>
      </c>
      <c r="M90" s="112"/>
      <c r="N90" s="31">
        <v>46084</v>
      </c>
      <c r="O90" s="30">
        <v>7938</v>
      </c>
      <c r="P90" s="36">
        <f t="shared" ref="P90" si="76">K90*0.92</f>
        <v>4.7840000000000007</v>
      </c>
      <c r="Q90" s="232">
        <v>4.78</v>
      </c>
      <c r="R90" s="233">
        <f t="shared" ref="R90" si="77">Q90*J90</f>
        <v>133.84</v>
      </c>
      <c r="S90" s="36">
        <f t="shared" ref="S90" si="78">K90*0.84</f>
        <v>4.3680000000000003</v>
      </c>
      <c r="T90" s="267">
        <f t="shared" ref="T90" si="79">S90*J90</f>
        <v>122.304</v>
      </c>
      <c r="U90" s="36"/>
      <c r="V90" s="204">
        <v>120</v>
      </c>
      <c r="W90" s="1198"/>
    </row>
    <row r="91" spans="2:23" s="7" customFormat="1" ht="16.149999999999999" customHeight="1">
      <c r="B91" s="1166"/>
      <c r="C91" s="6" t="s">
        <v>3912</v>
      </c>
      <c r="D91" s="12" t="s">
        <v>3913</v>
      </c>
      <c r="E91" s="20" t="s">
        <v>3914</v>
      </c>
      <c r="F91" s="34"/>
      <c r="G91" s="34" t="s">
        <v>3917</v>
      </c>
      <c r="H91" s="103"/>
      <c r="I91" s="1164"/>
      <c r="J91" s="16">
        <v>4.5</v>
      </c>
      <c r="K91" s="36">
        <v>5.2</v>
      </c>
      <c r="L91" s="36">
        <f>K91*J91</f>
        <v>23.400000000000002</v>
      </c>
      <c r="M91" s="112"/>
      <c r="N91" s="31">
        <v>46084</v>
      </c>
      <c r="O91" s="30">
        <v>7938</v>
      </c>
      <c r="P91" s="36">
        <f>K91*0.92</f>
        <v>4.7840000000000007</v>
      </c>
      <c r="Q91" s="232">
        <v>4.78</v>
      </c>
      <c r="R91" s="233">
        <f>Q91*J91</f>
        <v>21.51</v>
      </c>
      <c r="S91" s="36">
        <f>K91*0.84</f>
        <v>4.3680000000000003</v>
      </c>
      <c r="T91" s="267">
        <f>S91*J91</f>
        <v>19.656000000000002</v>
      </c>
      <c r="U91" s="36"/>
      <c r="V91" s="204">
        <v>120</v>
      </c>
      <c r="W91" s="1198"/>
    </row>
    <row r="92" spans="2:23" s="7" customFormat="1" ht="16.149999999999999" customHeight="1">
      <c r="B92" s="1166"/>
      <c r="C92" s="6" t="s">
        <v>3912</v>
      </c>
      <c r="D92" s="12" t="s">
        <v>3913</v>
      </c>
      <c r="E92" s="20" t="s">
        <v>3981</v>
      </c>
      <c r="F92" s="34"/>
      <c r="G92" s="34" t="s">
        <v>3916</v>
      </c>
      <c r="H92" s="103"/>
      <c r="I92" s="1164"/>
      <c r="J92" s="16">
        <v>20</v>
      </c>
      <c r="K92" s="36">
        <v>5.2</v>
      </c>
      <c r="L92" s="36">
        <f t="shared" ref="L92:L93" si="80">K92*J92</f>
        <v>104</v>
      </c>
      <c r="M92" s="112"/>
      <c r="N92" s="31">
        <v>46090</v>
      </c>
      <c r="O92" s="30">
        <v>7977</v>
      </c>
      <c r="P92" s="36">
        <f t="shared" ref="P92:P93" si="81">K92*0.92</f>
        <v>4.7840000000000007</v>
      </c>
      <c r="Q92" s="232">
        <v>4.78</v>
      </c>
      <c r="R92" s="233">
        <f t="shared" ref="R92:R93" si="82">Q92*J92</f>
        <v>95.600000000000009</v>
      </c>
      <c r="S92" s="36">
        <f t="shared" ref="S92:S93" si="83">K92*0.84</f>
        <v>4.3680000000000003</v>
      </c>
      <c r="T92" s="267">
        <f t="shared" ref="T92:T93" si="84">S92*J92</f>
        <v>87.360000000000014</v>
      </c>
      <c r="U92" s="36"/>
      <c r="V92" s="204">
        <v>120</v>
      </c>
      <c r="W92" s="1198"/>
    </row>
    <row r="93" spans="2:23" s="7" customFormat="1" ht="16.149999999999999" customHeight="1">
      <c r="B93" s="1166"/>
      <c r="C93" s="6" t="s">
        <v>3912</v>
      </c>
      <c r="D93" s="12" t="s">
        <v>3913</v>
      </c>
      <c r="E93" s="20" t="s">
        <v>3981</v>
      </c>
      <c r="F93" s="34"/>
      <c r="G93" s="34" t="s">
        <v>3918</v>
      </c>
      <c r="H93" s="103"/>
      <c r="I93" s="1164"/>
      <c r="J93" s="16">
        <v>10.5</v>
      </c>
      <c r="K93" s="36">
        <v>5.2</v>
      </c>
      <c r="L93" s="36">
        <f t="shared" si="80"/>
        <v>54.6</v>
      </c>
      <c r="M93" s="112"/>
      <c r="N93" s="31">
        <v>46090</v>
      </c>
      <c r="O93" s="30">
        <v>7977</v>
      </c>
      <c r="P93" s="36">
        <f t="shared" si="81"/>
        <v>4.7840000000000007</v>
      </c>
      <c r="Q93" s="232">
        <v>4.78</v>
      </c>
      <c r="R93" s="233">
        <f t="shared" si="82"/>
        <v>50.190000000000005</v>
      </c>
      <c r="S93" s="36">
        <f t="shared" si="83"/>
        <v>4.3680000000000003</v>
      </c>
      <c r="T93" s="267">
        <f t="shared" si="84"/>
        <v>45.864000000000004</v>
      </c>
      <c r="U93" s="36"/>
      <c r="V93" s="204">
        <v>120</v>
      </c>
      <c r="W93" s="1198"/>
    </row>
    <row r="94" spans="2:23" s="7" customFormat="1" ht="16.149999999999999" customHeight="1">
      <c r="B94" s="1166"/>
      <c r="C94" s="6" t="s">
        <v>3912</v>
      </c>
      <c r="D94" s="12" t="s">
        <v>3913</v>
      </c>
      <c r="E94" s="46"/>
      <c r="F94" s="34"/>
      <c r="G94" s="34" t="s">
        <v>3872</v>
      </c>
      <c r="H94" s="103"/>
      <c r="I94" s="1164"/>
      <c r="J94" s="35">
        <v>2</v>
      </c>
      <c r="K94" s="36">
        <v>80</v>
      </c>
      <c r="L94" s="36">
        <f>K94*J94</f>
        <v>160</v>
      </c>
      <c r="M94" s="112"/>
      <c r="N94" s="31">
        <v>46090</v>
      </c>
      <c r="O94" s="30">
        <v>7977</v>
      </c>
      <c r="P94" s="36">
        <f>K94*1</f>
        <v>80</v>
      </c>
      <c r="Q94" s="232">
        <v>80</v>
      </c>
      <c r="R94" s="233">
        <f>Q94*J94</f>
        <v>160</v>
      </c>
      <c r="S94" s="36">
        <f>K94*1</f>
        <v>80</v>
      </c>
      <c r="T94" s="267">
        <f>S94*J94</f>
        <v>160</v>
      </c>
      <c r="U94" s="36"/>
      <c r="V94" s="204">
        <v>120</v>
      </c>
      <c r="W94" s="760"/>
    </row>
    <row r="95" spans="2:23" s="159" customFormat="1" ht="15.6" customHeight="1">
      <c r="B95" s="1166"/>
      <c r="C95" s="149" t="s">
        <v>3912</v>
      </c>
      <c r="D95" s="150" t="s">
        <v>3913</v>
      </c>
      <c r="E95" s="174"/>
      <c r="F95" s="152"/>
      <c r="G95" s="152" t="s">
        <v>215</v>
      </c>
      <c r="H95" s="154" t="s">
        <v>2775</v>
      </c>
      <c r="I95" s="155"/>
      <c r="J95" s="153"/>
      <c r="K95" s="160">
        <v>0</v>
      </c>
      <c r="L95" s="157"/>
      <c r="M95" s="157"/>
      <c r="N95" s="157">
        <v>46090</v>
      </c>
      <c r="O95" s="156">
        <v>7977</v>
      </c>
      <c r="P95" s="149"/>
      <c r="Q95" s="759">
        <v>0</v>
      </c>
      <c r="S95" s="205">
        <v>0</v>
      </c>
      <c r="T95" s="165">
        <v>0</v>
      </c>
      <c r="U95" s="1165"/>
      <c r="V95" s="204">
        <v>120</v>
      </c>
      <c r="W95" s="760" t="e">
        <f>(((K95*V95)-S95)/(K95*V95))</f>
        <v>#DIV/0!</v>
      </c>
    </row>
    <row r="96" spans="2:23" s="1180" customFormat="1" ht="15">
      <c r="B96" s="1167"/>
      <c r="C96" s="1168" t="s">
        <v>3940</v>
      </c>
      <c r="D96" s="1169" t="s">
        <v>3922</v>
      </c>
      <c r="E96" s="1170" t="s">
        <v>3839</v>
      </c>
      <c r="F96" s="1171"/>
      <c r="G96" s="1172"/>
      <c r="H96" s="1173"/>
      <c r="I96" s="1174"/>
      <c r="J96" s="1173"/>
      <c r="K96" s="1175" t="s">
        <v>5</v>
      </c>
      <c r="L96" s="1176"/>
      <c r="M96" s="1177"/>
      <c r="N96" s="1212" t="s">
        <v>3963</v>
      </c>
      <c r="O96" s="1216"/>
      <c r="P96" s="1168" t="s">
        <v>3</v>
      </c>
      <c r="Q96" s="1179"/>
      <c r="S96" s="1181"/>
      <c r="U96" s="1182"/>
      <c r="V96" s="1183">
        <v>120</v>
      </c>
      <c r="W96" s="1184" t="e">
        <f>(((K96*V96)-S96)/(K96*V96))</f>
        <v>#VALUE!</v>
      </c>
    </row>
    <row r="97" spans="2:23" s="1180" customFormat="1" ht="16.149999999999999" customHeight="1">
      <c r="B97" s="1167"/>
      <c r="C97" s="1168" t="s">
        <v>3940</v>
      </c>
      <c r="D97" s="1169" t="s">
        <v>3922</v>
      </c>
      <c r="E97" s="1185" t="s">
        <v>3914</v>
      </c>
      <c r="F97" s="120"/>
      <c r="G97" s="120" t="s">
        <v>3918</v>
      </c>
      <c r="H97" s="1186"/>
      <c r="I97" s="1187"/>
      <c r="J97" s="1188">
        <v>10</v>
      </c>
      <c r="K97" s="1181">
        <v>5.2</v>
      </c>
      <c r="L97" s="1181">
        <f t="shared" ref="L97" si="85">K97*J97</f>
        <v>52</v>
      </c>
      <c r="M97" s="1189"/>
      <c r="N97" s="1217" t="s">
        <v>3963</v>
      </c>
      <c r="O97" s="1216"/>
      <c r="P97" s="1181">
        <f t="shared" ref="P97" si="86">K97*0.92</f>
        <v>4.7840000000000007</v>
      </c>
      <c r="Q97" s="1179">
        <v>4.78</v>
      </c>
      <c r="R97" s="1190">
        <f t="shared" ref="R97" si="87">Q97*J97</f>
        <v>47.800000000000004</v>
      </c>
      <c r="S97" s="1181">
        <f t="shared" ref="S97" si="88">K97*0.84</f>
        <v>4.3680000000000003</v>
      </c>
      <c r="T97" s="1191">
        <f t="shared" ref="T97" si="89">S97*J97</f>
        <v>43.680000000000007</v>
      </c>
      <c r="U97" s="1181"/>
      <c r="V97" s="1183">
        <v>120</v>
      </c>
      <c r="W97" s="1184"/>
    </row>
    <row r="98" spans="2:23" s="1195" customFormat="1" ht="15.6" customHeight="1">
      <c r="B98" s="1167"/>
      <c r="C98" s="1168" t="s">
        <v>3940</v>
      </c>
      <c r="D98" s="1169" t="s">
        <v>3922</v>
      </c>
      <c r="E98" s="1172"/>
      <c r="F98" s="120"/>
      <c r="G98" s="120" t="s">
        <v>215</v>
      </c>
      <c r="H98" s="1192" t="s">
        <v>2775</v>
      </c>
      <c r="I98" s="1193"/>
      <c r="J98" s="1186"/>
      <c r="K98" s="1181">
        <v>0</v>
      </c>
      <c r="L98" s="1177"/>
      <c r="M98" s="1177"/>
      <c r="N98" s="1217" t="s">
        <v>3963</v>
      </c>
      <c r="O98" s="1216"/>
      <c r="P98" s="1168"/>
      <c r="Q98" s="1194">
        <v>0</v>
      </c>
      <c r="S98" s="1183">
        <v>0</v>
      </c>
      <c r="T98" s="1196">
        <v>0</v>
      </c>
      <c r="U98" s="1197"/>
      <c r="V98" s="1183">
        <v>120</v>
      </c>
      <c r="W98" s="1184" t="e">
        <f>(((K98*V98)-S98)/(K98*V98))</f>
        <v>#DIV/0!</v>
      </c>
    </row>
    <row r="99" spans="2:23" s="7" customFormat="1" ht="15">
      <c r="B99" s="1166"/>
      <c r="C99" s="6" t="s">
        <v>3924</v>
      </c>
      <c r="D99" s="12" t="s">
        <v>3907</v>
      </c>
      <c r="E99" s="17" t="s">
        <v>3839</v>
      </c>
      <c r="F99" s="22"/>
      <c r="G99" s="20"/>
      <c r="H99" s="57"/>
      <c r="I99" s="58"/>
      <c r="J99" s="57"/>
      <c r="K99" s="14" t="s">
        <v>5</v>
      </c>
      <c r="L99" s="126"/>
      <c r="M99" s="31"/>
      <c r="N99" s="31">
        <v>46111</v>
      </c>
      <c r="O99" s="30">
        <v>8039</v>
      </c>
      <c r="P99" s="6" t="s">
        <v>3</v>
      </c>
      <c r="Q99" s="232"/>
      <c r="S99" s="36"/>
      <c r="U99" s="19"/>
      <c r="V99" s="204">
        <v>120</v>
      </c>
      <c r="W99" s="1198" t="e">
        <f>(((K99*V99)-S99)/(K99*V99))</f>
        <v>#VALUE!</v>
      </c>
    </row>
    <row r="100" spans="2:23" s="7" customFormat="1" ht="16.149999999999999" customHeight="1">
      <c r="B100" s="1166"/>
      <c r="C100" s="6" t="s">
        <v>3924</v>
      </c>
      <c r="D100" s="12" t="s">
        <v>3907</v>
      </c>
      <c r="E100" s="20" t="s">
        <v>3902</v>
      </c>
      <c r="F100" s="34"/>
      <c r="G100" s="34" t="s">
        <v>3925</v>
      </c>
      <c r="H100" s="103"/>
      <c r="I100" s="1164"/>
      <c r="J100" s="16">
        <v>12</v>
      </c>
      <c r="K100" s="36">
        <v>2.85</v>
      </c>
      <c r="L100" s="36">
        <f t="shared" ref="L100" si="90">K100*J100</f>
        <v>34.200000000000003</v>
      </c>
      <c r="M100" s="112"/>
      <c r="N100" s="31">
        <v>46111</v>
      </c>
      <c r="O100" s="30">
        <v>8039</v>
      </c>
      <c r="P100" s="36">
        <f t="shared" ref="P100" si="91">K100*0.92</f>
        <v>2.6220000000000003</v>
      </c>
      <c r="Q100" s="232">
        <v>3.77</v>
      </c>
      <c r="R100" s="233">
        <f t="shared" ref="R100" si="92">Q100*J100</f>
        <v>45.24</v>
      </c>
      <c r="S100" s="36">
        <f t="shared" ref="S100" si="93">K100*0.84</f>
        <v>2.3940000000000001</v>
      </c>
      <c r="T100" s="267">
        <f t="shared" ref="T100" si="94">S100*J100</f>
        <v>28.728000000000002</v>
      </c>
      <c r="U100" s="36"/>
      <c r="V100" s="204">
        <v>120</v>
      </c>
      <c r="W100" s="1198"/>
    </row>
    <row r="101" spans="2:23" s="7" customFormat="1" ht="16.149999999999999" customHeight="1">
      <c r="B101" s="1166"/>
      <c r="C101" s="6" t="s">
        <v>3924</v>
      </c>
      <c r="D101" s="12" t="s">
        <v>3907</v>
      </c>
      <c r="E101" s="46" t="s">
        <v>3902</v>
      </c>
      <c r="F101" s="34"/>
      <c r="G101" s="34" t="s">
        <v>3926</v>
      </c>
      <c r="H101" s="103"/>
      <c r="I101" s="1164"/>
      <c r="J101" s="16">
        <v>12</v>
      </c>
      <c r="K101" s="36">
        <v>2.85</v>
      </c>
      <c r="L101" s="36">
        <f t="shared" ref="L101:L104" si="95">K101*J101</f>
        <v>34.200000000000003</v>
      </c>
      <c r="M101" s="112"/>
      <c r="N101" s="130"/>
      <c r="O101" s="30"/>
      <c r="P101" s="36">
        <f t="shared" ref="P101:P104" si="96">K101*0.92</f>
        <v>2.6220000000000003</v>
      </c>
      <c r="Q101" s="232">
        <v>3.77</v>
      </c>
      <c r="R101" s="233">
        <f t="shared" ref="R101:R104" si="97">Q101*J101</f>
        <v>45.24</v>
      </c>
      <c r="S101" s="36">
        <f t="shared" ref="S101:S104" si="98">K101*0.84</f>
        <v>2.3940000000000001</v>
      </c>
      <c r="T101" s="267">
        <f t="shared" ref="T101:T104" si="99">S101*J101</f>
        <v>28.728000000000002</v>
      </c>
      <c r="U101" s="36"/>
      <c r="V101" s="204">
        <v>120</v>
      </c>
      <c r="W101" s="1198"/>
    </row>
    <row r="102" spans="2:23" s="7" customFormat="1" ht="16.149999999999999" customHeight="1">
      <c r="B102" s="1166"/>
      <c r="C102" s="6" t="s">
        <v>3924</v>
      </c>
      <c r="D102" s="12" t="s">
        <v>3907</v>
      </c>
      <c r="E102" s="20" t="s">
        <v>3902</v>
      </c>
      <c r="F102" s="34"/>
      <c r="G102" s="34" t="s">
        <v>3927</v>
      </c>
      <c r="H102" s="103"/>
      <c r="I102" s="1164"/>
      <c r="J102" s="16">
        <v>12</v>
      </c>
      <c r="K102" s="36">
        <v>2.85</v>
      </c>
      <c r="L102" s="36">
        <f t="shared" si="95"/>
        <v>34.200000000000003</v>
      </c>
      <c r="M102" s="112"/>
      <c r="N102" s="31">
        <v>46111</v>
      </c>
      <c r="O102" s="30">
        <v>8039</v>
      </c>
      <c r="P102" s="36">
        <f t="shared" si="96"/>
        <v>2.6220000000000003</v>
      </c>
      <c r="Q102" s="232">
        <v>3.77</v>
      </c>
      <c r="R102" s="233">
        <f t="shared" si="97"/>
        <v>45.24</v>
      </c>
      <c r="S102" s="36">
        <f t="shared" si="98"/>
        <v>2.3940000000000001</v>
      </c>
      <c r="T102" s="267">
        <f t="shared" si="99"/>
        <v>28.728000000000002</v>
      </c>
      <c r="U102" s="36"/>
      <c r="V102" s="204">
        <v>120</v>
      </c>
      <c r="W102" s="1198"/>
    </row>
    <row r="103" spans="2:23" s="7" customFormat="1" ht="16.149999999999999" customHeight="1">
      <c r="B103" s="1166"/>
      <c r="C103" s="6" t="s">
        <v>3924</v>
      </c>
      <c r="D103" s="12" t="s">
        <v>3907</v>
      </c>
      <c r="E103" s="20" t="s">
        <v>3902</v>
      </c>
      <c r="F103" s="34"/>
      <c r="G103" s="34" t="s">
        <v>3928</v>
      </c>
      <c r="H103" s="103"/>
      <c r="I103" s="1164"/>
      <c r="J103" s="16">
        <v>12</v>
      </c>
      <c r="K103" s="36">
        <v>2.85</v>
      </c>
      <c r="L103" s="36">
        <f t="shared" si="95"/>
        <v>34.200000000000003</v>
      </c>
      <c r="M103" s="112"/>
      <c r="N103" s="31">
        <v>46111</v>
      </c>
      <c r="O103" s="30">
        <v>8039</v>
      </c>
      <c r="P103" s="36">
        <f t="shared" si="96"/>
        <v>2.6220000000000003</v>
      </c>
      <c r="Q103" s="232">
        <v>3.77</v>
      </c>
      <c r="R103" s="233">
        <f t="shared" si="97"/>
        <v>45.24</v>
      </c>
      <c r="S103" s="36">
        <f t="shared" si="98"/>
        <v>2.3940000000000001</v>
      </c>
      <c r="T103" s="267">
        <f t="shared" si="99"/>
        <v>28.728000000000002</v>
      </c>
      <c r="U103" s="36"/>
      <c r="V103" s="204">
        <v>120</v>
      </c>
      <c r="W103" s="1198"/>
    </row>
    <row r="104" spans="2:23" s="7" customFormat="1" ht="16.149999999999999" customHeight="1">
      <c r="B104" s="1166"/>
      <c r="C104" s="6" t="s">
        <v>3924</v>
      </c>
      <c r="D104" s="12" t="s">
        <v>3907</v>
      </c>
      <c r="E104" s="20" t="s">
        <v>3902</v>
      </c>
      <c r="F104" s="34"/>
      <c r="G104" s="34" t="s">
        <v>3929</v>
      </c>
      <c r="H104" s="103"/>
      <c r="I104" s="1164"/>
      <c r="J104" s="16">
        <v>12</v>
      </c>
      <c r="K104" s="36">
        <v>2.85</v>
      </c>
      <c r="L104" s="36">
        <f t="shared" si="95"/>
        <v>34.200000000000003</v>
      </c>
      <c r="M104" s="112"/>
      <c r="N104" s="31">
        <v>46111</v>
      </c>
      <c r="O104" s="30">
        <v>8039</v>
      </c>
      <c r="P104" s="36">
        <f t="shared" si="96"/>
        <v>2.6220000000000003</v>
      </c>
      <c r="Q104" s="232">
        <v>3.77</v>
      </c>
      <c r="R104" s="233">
        <f t="shared" si="97"/>
        <v>45.24</v>
      </c>
      <c r="S104" s="36">
        <f t="shared" si="98"/>
        <v>2.3940000000000001</v>
      </c>
      <c r="T104" s="267">
        <f t="shared" si="99"/>
        <v>28.728000000000002</v>
      </c>
      <c r="U104" s="36"/>
      <c r="V104" s="204">
        <v>120</v>
      </c>
      <c r="W104" s="1198"/>
    </row>
    <row r="105" spans="2:23" s="7" customFormat="1" ht="16.149999999999999" customHeight="1">
      <c r="B105" s="1166"/>
      <c r="C105" s="6" t="s">
        <v>3924</v>
      </c>
      <c r="D105" s="12" t="s">
        <v>3907</v>
      </c>
      <c r="E105" s="20" t="s">
        <v>3902</v>
      </c>
      <c r="F105" s="34"/>
      <c r="G105" s="34" t="s">
        <v>3930</v>
      </c>
      <c r="H105" s="103"/>
      <c r="I105" s="1164"/>
      <c r="J105" s="16">
        <v>12</v>
      </c>
      <c r="K105" s="36">
        <v>2.85</v>
      </c>
      <c r="L105" s="36">
        <f t="shared" ref="L105" si="100">K105*J105</f>
        <v>34.200000000000003</v>
      </c>
      <c r="M105" s="112"/>
      <c r="N105" s="31">
        <v>46111</v>
      </c>
      <c r="O105" s="30">
        <v>8039</v>
      </c>
      <c r="P105" s="36">
        <f t="shared" ref="P105" si="101">K105*0.92</f>
        <v>2.6220000000000003</v>
      </c>
      <c r="Q105" s="232">
        <v>3.77</v>
      </c>
      <c r="R105" s="233">
        <f t="shared" ref="R105" si="102">Q105*J105</f>
        <v>45.24</v>
      </c>
      <c r="S105" s="36">
        <f t="shared" ref="S105" si="103">K105*0.84</f>
        <v>2.3940000000000001</v>
      </c>
      <c r="T105" s="267">
        <f t="shared" ref="T105" si="104">S105*J105</f>
        <v>28.728000000000002</v>
      </c>
      <c r="U105" s="36"/>
      <c r="V105" s="204">
        <v>120</v>
      </c>
      <c r="W105" s="1198"/>
    </row>
    <row r="106" spans="2:23" s="7" customFormat="1" ht="16.149999999999999" customHeight="1">
      <c r="B106" s="1166"/>
      <c r="C106" s="6" t="s">
        <v>3924</v>
      </c>
      <c r="D106" s="12" t="s">
        <v>3907</v>
      </c>
      <c r="E106" s="46"/>
      <c r="F106" s="34"/>
      <c r="G106" s="34" t="s">
        <v>3872</v>
      </c>
      <c r="H106" s="103"/>
      <c r="I106" s="1164"/>
      <c r="J106" s="35">
        <v>5</v>
      </c>
      <c r="K106" s="36">
        <v>40</v>
      </c>
      <c r="L106" s="36">
        <f>K106*J106</f>
        <v>200</v>
      </c>
      <c r="M106" s="112"/>
      <c r="N106" s="31">
        <v>46111</v>
      </c>
      <c r="O106" s="30">
        <v>8039</v>
      </c>
      <c r="P106" s="36">
        <f>K106*1</f>
        <v>40</v>
      </c>
      <c r="Q106" s="232">
        <v>40</v>
      </c>
      <c r="R106" s="233">
        <f>Q106*J106</f>
        <v>200</v>
      </c>
      <c r="S106" s="36">
        <f>K106*1</f>
        <v>40</v>
      </c>
      <c r="T106" s="267">
        <f>S106*J106</f>
        <v>200</v>
      </c>
      <c r="U106" s="36"/>
      <c r="V106" s="204">
        <v>120</v>
      </c>
      <c r="W106" s="760"/>
    </row>
    <row r="107" spans="2:23" s="7" customFormat="1" ht="16.149999999999999" customHeight="1">
      <c r="B107" s="1166"/>
      <c r="C107" s="6" t="s">
        <v>3924</v>
      </c>
      <c r="D107" s="12" t="s">
        <v>3907</v>
      </c>
      <c r="E107" s="46"/>
      <c r="F107" s="34"/>
      <c r="G107" s="34" t="s">
        <v>3872</v>
      </c>
      <c r="H107" s="103"/>
      <c r="I107" s="1164"/>
      <c r="J107" s="35">
        <v>1</v>
      </c>
      <c r="K107" s="36">
        <v>40</v>
      </c>
      <c r="L107" s="36">
        <f>K107*J107</f>
        <v>40</v>
      </c>
      <c r="M107" s="112"/>
      <c r="N107" s="31"/>
      <c r="O107" s="30"/>
      <c r="P107" s="36">
        <f>K107*1</f>
        <v>40</v>
      </c>
      <c r="Q107" s="232">
        <v>40</v>
      </c>
      <c r="R107" s="233">
        <f>Q107*J107</f>
        <v>40</v>
      </c>
      <c r="S107" s="36">
        <f>K107*1</f>
        <v>40</v>
      </c>
      <c r="T107" s="267">
        <f>S107*J107</f>
        <v>40</v>
      </c>
      <c r="U107" s="36"/>
      <c r="V107" s="204">
        <v>120</v>
      </c>
      <c r="W107" s="760"/>
    </row>
    <row r="108" spans="2:23" s="159" customFormat="1" ht="15.6" customHeight="1">
      <c r="B108" s="1166"/>
      <c r="C108" s="149" t="s">
        <v>3924</v>
      </c>
      <c r="D108" s="150" t="s">
        <v>3907</v>
      </c>
      <c r="E108" s="174"/>
      <c r="F108" s="152"/>
      <c r="G108" s="152" t="s">
        <v>215</v>
      </c>
      <c r="H108" s="154" t="s">
        <v>2775</v>
      </c>
      <c r="I108" s="155"/>
      <c r="J108" s="153"/>
      <c r="K108" s="160">
        <v>0</v>
      </c>
      <c r="L108" s="157"/>
      <c r="M108" s="157"/>
      <c r="N108" s="157"/>
      <c r="O108" s="156"/>
      <c r="P108" s="149"/>
      <c r="Q108" s="759">
        <v>0</v>
      </c>
      <c r="S108" s="205">
        <v>0</v>
      </c>
      <c r="T108" s="165">
        <v>0</v>
      </c>
      <c r="U108" s="1165"/>
      <c r="V108" s="204">
        <v>120</v>
      </c>
      <c r="W108" s="760" t="e">
        <f>(((K108*V108)-S108)/(K108*V108))</f>
        <v>#DIV/0!</v>
      </c>
    </row>
    <row r="109" spans="2:23" s="7" customFormat="1" ht="15">
      <c r="B109" s="1166"/>
      <c r="C109" s="6" t="s">
        <v>3931</v>
      </c>
      <c r="D109" s="12" t="s">
        <v>3846</v>
      </c>
      <c r="E109" s="17" t="s">
        <v>3839</v>
      </c>
      <c r="F109" s="22"/>
      <c r="G109" s="20"/>
      <c r="H109" s="57"/>
      <c r="I109" s="58"/>
      <c r="J109" s="57"/>
      <c r="K109" s="14" t="s">
        <v>5</v>
      </c>
      <c r="L109" s="126"/>
      <c r="M109" s="31"/>
      <c r="N109" s="31">
        <v>46086</v>
      </c>
      <c r="O109" s="30">
        <v>7931</v>
      </c>
      <c r="P109" s="6" t="s">
        <v>3</v>
      </c>
      <c r="Q109" s="232"/>
      <c r="S109" s="36"/>
      <c r="U109" s="19"/>
      <c r="V109" s="204">
        <v>120</v>
      </c>
      <c r="W109" s="1198" t="e">
        <f>(((K109*V109)-S109)/(K109*V109))</f>
        <v>#VALUE!</v>
      </c>
    </row>
    <row r="110" spans="2:23" s="7" customFormat="1" ht="16.149999999999999" customHeight="1">
      <c r="B110" s="1166"/>
      <c r="C110" s="6" t="s">
        <v>3931</v>
      </c>
      <c r="D110" s="12" t="s">
        <v>3846</v>
      </c>
      <c r="E110" s="20" t="s">
        <v>3849</v>
      </c>
      <c r="F110" s="34" t="s">
        <v>3850</v>
      </c>
      <c r="G110" s="34" t="s">
        <v>3848</v>
      </c>
      <c r="H110" s="103"/>
      <c r="I110" s="1164"/>
      <c r="J110" s="16">
        <v>20</v>
      </c>
      <c r="K110" s="36">
        <v>56</v>
      </c>
      <c r="L110" s="36">
        <f>K110*J110</f>
        <v>1120</v>
      </c>
      <c r="M110" s="112" t="s">
        <v>3837</v>
      </c>
      <c r="N110" s="31">
        <v>46086</v>
      </c>
      <c r="O110" s="30">
        <v>7931</v>
      </c>
      <c r="P110" s="36">
        <f>K110*0.92</f>
        <v>51.52</v>
      </c>
      <c r="Q110" s="232">
        <v>51.52</v>
      </c>
      <c r="R110" s="233">
        <f>Q110*J110</f>
        <v>1030.4000000000001</v>
      </c>
      <c r="S110" s="36">
        <f>K110*0.84</f>
        <v>47.04</v>
      </c>
      <c r="T110" s="267">
        <f>S110*J110</f>
        <v>940.8</v>
      </c>
      <c r="U110" s="36"/>
      <c r="V110" s="204">
        <v>120</v>
      </c>
      <c r="W110" s="1198"/>
    </row>
    <row r="111" spans="2:23" s="159" customFormat="1" ht="15.6" customHeight="1">
      <c r="B111" s="1166"/>
      <c r="C111" s="149" t="s">
        <v>3931</v>
      </c>
      <c r="D111" s="150" t="s">
        <v>3846</v>
      </c>
      <c r="E111" s="174"/>
      <c r="F111" s="152"/>
      <c r="G111" s="152" t="s">
        <v>215</v>
      </c>
      <c r="H111" s="154" t="s">
        <v>2775</v>
      </c>
      <c r="I111" s="155"/>
      <c r="J111" s="153"/>
      <c r="K111" s="160">
        <v>0</v>
      </c>
      <c r="L111" s="157"/>
      <c r="M111" s="157"/>
      <c r="N111" s="157">
        <v>46086</v>
      </c>
      <c r="O111" s="156">
        <v>7931</v>
      </c>
      <c r="P111" s="149"/>
      <c r="Q111" s="759">
        <v>0</v>
      </c>
      <c r="S111" s="205">
        <v>0</v>
      </c>
      <c r="T111" s="165">
        <v>0</v>
      </c>
      <c r="U111" s="1165"/>
      <c r="V111" s="204">
        <v>120</v>
      </c>
      <c r="W111" s="760" t="e">
        <f>(((K111*V111)-S111)/(K111*V111))</f>
        <v>#DIV/0!</v>
      </c>
    </row>
    <row r="112" spans="2:23" s="7" customFormat="1" ht="15">
      <c r="B112" s="1166"/>
      <c r="C112" s="6" t="s">
        <v>3934</v>
      </c>
      <c r="D112" s="12" t="s">
        <v>3933</v>
      </c>
      <c r="E112" s="17" t="s">
        <v>3839</v>
      </c>
      <c r="F112" s="22"/>
      <c r="G112" s="20"/>
      <c r="H112" s="57"/>
      <c r="I112" s="58"/>
      <c r="J112" s="57"/>
      <c r="K112" s="14" t="s">
        <v>5</v>
      </c>
      <c r="L112" s="126"/>
      <c r="M112" s="31"/>
      <c r="N112" s="31">
        <v>46086</v>
      </c>
      <c r="O112" s="30">
        <v>7870</v>
      </c>
      <c r="P112" s="6" t="s">
        <v>3</v>
      </c>
      <c r="Q112" s="232"/>
      <c r="S112" s="36"/>
      <c r="U112" s="19"/>
      <c r="V112" s="204">
        <v>120</v>
      </c>
      <c r="W112" s="1198" t="e">
        <f>(((K112*V112)-S112)/(K112*V112))</f>
        <v>#VALUE!</v>
      </c>
    </row>
    <row r="113" spans="2:23" s="7" customFormat="1" ht="16.149999999999999" customHeight="1">
      <c r="B113" s="1166"/>
      <c r="C113" s="6" t="s">
        <v>3934</v>
      </c>
      <c r="D113" s="12" t="s">
        <v>3933</v>
      </c>
      <c r="E113" s="20" t="s">
        <v>3867</v>
      </c>
      <c r="F113" s="34"/>
      <c r="G113" s="34" t="s">
        <v>3875</v>
      </c>
      <c r="H113" s="103"/>
      <c r="I113" s="1164"/>
      <c r="J113" s="16">
        <v>6</v>
      </c>
      <c r="K113" s="36">
        <v>53.15</v>
      </c>
      <c r="L113" s="36">
        <f t="shared" ref="L113" si="105">K113*J113</f>
        <v>318.89999999999998</v>
      </c>
      <c r="M113" s="112"/>
      <c r="N113" s="31">
        <v>46086</v>
      </c>
      <c r="O113" s="30">
        <v>7870</v>
      </c>
      <c r="P113" s="36">
        <f t="shared" ref="P113" si="106">K113*0.92</f>
        <v>48.898000000000003</v>
      </c>
      <c r="Q113" s="232">
        <v>48.9</v>
      </c>
      <c r="R113" s="233">
        <f t="shared" ref="R113" si="107">Q113*J113</f>
        <v>293.39999999999998</v>
      </c>
      <c r="S113" s="36">
        <f t="shared" ref="S113" si="108">K113*0.84</f>
        <v>44.645999999999994</v>
      </c>
      <c r="T113" s="267">
        <f t="shared" ref="T113" si="109">S113*J113</f>
        <v>267.87599999999998</v>
      </c>
      <c r="U113" s="36"/>
      <c r="V113" s="204">
        <v>120</v>
      </c>
      <c r="W113" s="1198"/>
    </row>
    <row r="114" spans="2:23" s="159" customFormat="1" ht="15.6" customHeight="1">
      <c r="B114" s="1166"/>
      <c r="C114" s="149" t="s">
        <v>3934</v>
      </c>
      <c r="D114" s="150" t="s">
        <v>3933</v>
      </c>
      <c r="E114" s="174"/>
      <c r="F114" s="152"/>
      <c r="G114" s="152" t="s">
        <v>215</v>
      </c>
      <c r="H114" s="154" t="s">
        <v>3864</v>
      </c>
      <c r="I114" s="155"/>
      <c r="J114" s="153"/>
      <c r="K114" s="1201">
        <v>71.25</v>
      </c>
      <c r="L114" s="1201">
        <v>71.25</v>
      </c>
      <c r="M114" s="157"/>
      <c r="N114" s="157">
        <v>46086</v>
      </c>
      <c r="O114" s="156">
        <v>7870</v>
      </c>
      <c r="P114" s="149"/>
      <c r="Q114" s="1201">
        <v>71.25</v>
      </c>
      <c r="R114" s="1201">
        <v>71.25</v>
      </c>
      <c r="S114" s="1201">
        <v>71.25</v>
      </c>
      <c r="T114" s="1201">
        <v>71.25</v>
      </c>
      <c r="U114" s="1165"/>
      <c r="V114" s="204">
        <v>120</v>
      </c>
      <c r="W114" s="760">
        <f>(((K114*V114)-S114)/(K114*V114))</f>
        <v>0.9916666666666667</v>
      </c>
    </row>
    <row r="115" spans="2:23" s="7" customFormat="1" ht="15">
      <c r="B115" s="1166"/>
      <c r="C115" s="6" t="s">
        <v>3943</v>
      </c>
      <c r="D115" s="12" t="s">
        <v>3941</v>
      </c>
      <c r="E115" s="17" t="s">
        <v>3839</v>
      </c>
      <c r="F115" s="22"/>
      <c r="G115" s="20"/>
      <c r="H115" s="57"/>
      <c r="I115" s="58"/>
      <c r="J115" s="57"/>
      <c r="K115" s="14" t="s">
        <v>5</v>
      </c>
      <c r="L115" s="126"/>
      <c r="M115" s="31"/>
      <c r="N115" s="31">
        <v>46077</v>
      </c>
      <c r="O115" s="30">
        <v>7900</v>
      </c>
      <c r="P115" s="6" t="s">
        <v>3</v>
      </c>
      <c r="Q115" s="232"/>
      <c r="S115" s="36"/>
      <c r="U115" s="19"/>
      <c r="V115" s="204">
        <v>120</v>
      </c>
      <c r="W115" s="1198" t="e">
        <f>(((K115*V115)-S115)/(K115*V115))</f>
        <v>#VALUE!</v>
      </c>
    </row>
    <row r="116" spans="2:23" s="7" customFormat="1" ht="16.149999999999999" customHeight="1">
      <c r="B116" s="1166"/>
      <c r="C116" s="6" t="s">
        <v>3943</v>
      </c>
      <c r="D116" s="12" t="s">
        <v>3941</v>
      </c>
      <c r="E116" s="20" t="s">
        <v>3942</v>
      </c>
      <c r="F116" s="34"/>
      <c r="G116" s="34" t="s">
        <v>3970</v>
      </c>
      <c r="H116" s="103"/>
      <c r="I116" s="1164"/>
      <c r="J116" s="16">
        <v>6.1</v>
      </c>
      <c r="K116" s="36">
        <v>10.5</v>
      </c>
      <c r="L116" s="36">
        <f>K116*J116</f>
        <v>64.05</v>
      </c>
      <c r="M116" s="112"/>
      <c r="N116" s="31">
        <v>46077</v>
      </c>
      <c r="O116" s="30">
        <v>7900</v>
      </c>
      <c r="P116" s="36">
        <f>K116*0.92</f>
        <v>9.66</v>
      </c>
      <c r="Q116" s="232">
        <v>9.66</v>
      </c>
      <c r="R116" s="233">
        <f>Q116*J116</f>
        <v>58.925999999999995</v>
      </c>
      <c r="S116" s="36">
        <f>K116*0.84</f>
        <v>8.82</v>
      </c>
      <c r="T116" s="267">
        <f>S116*J116</f>
        <v>53.802</v>
      </c>
      <c r="U116" s="36"/>
      <c r="V116" s="204">
        <v>120</v>
      </c>
      <c r="W116" s="1198"/>
    </row>
    <row r="117" spans="2:23" s="159" customFormat="1" ht="15.6" customHeight="1">
      <c r="B117" s="1166"/>
      <c r="C117" s="149" t="s">
        <v>3943</v>
      </c>
      <c r="D117" s="150" t="s">
        <v>3941</v>
      </c>
      <c r="E117" s="174"/>
      <c r="F117" s="152"/>
      <c r="G117" s="152" t="s">
        <v>215</v>
      </c>
      <c r="H117" s="154" t="s">
        <v>2775</v>
      </c>
      <c r="I117" s="155"/>
      <c r="J117" s="153"/>
      <c r="K117" s="160">
        <v>0</v>
      </c>
      <c r="L117" s="157"/>
      <c r="M117" s="157"/>
      <c r="N117" s="157">
        <v>46077</v>
      </c>
      <c r="O117" s="156">
        <v>7900</v>
      </c>
      <c r="P117" s="149"/>
      <c r="Q117" s="759">
        <v>0</v>
      </c>
      <c r="S117" s="205">
        <v>0</v>
      </c>
      <c r="T117" s="165">
        <v>0</v>
      </c>
      <c r="U117" s="1165"/>
      <c r="V117" s="204">
        <v>120</v>
      </c>
      <c r="W117" s="760" t="e">
        <f>(((K117*V117)-S117)/(K117*V117))</f>
        <v>#DIV/0!</v>
      </c>
    </row>
    <row r="118" spans="2:23" s="7" customFormat="1" ht="15">
      <c r="B118" s="1166"/>
      <c r="C118" s="6" t="s">
        <v>3974</v>
      </c>
      <c r="D118" s="12" t="s">
        <v>3846</v>
      </c>
      <c r="E118" s="17" t="s">
        <v>3839</v>
      </c>
      <c r="F118" s="22"/>
      <c r="G118" s="20"/>
      <c r="H118" s="57"/>
      <c r="I118" s="58"/>
      <c r="J118" s="57"/>
      <c r="K118" s="14" t="s">
        <v>5</v>
      </c>
      <c r="L118" s="126"/>
      <c r="M118" s="31"/>
      <c r="N118" s="31"/>
      <c r="O118" s="30"/>
      <c r="P118" s="6" t="s">
        <v>3</v>
      </c>
      <c r="Q118" s="232"/>
      <c r="S118" s="36"/>
      <c r="U118" s="19"/>
      <c r="V118" s="204">
        <v>120</v>
      </c>
      <c r="W118" s="1198" t="e">
        <f>(((K118*V118)-S118)/(K118*V118))</f>
        <v>#VALUE!</v>
      </c>
    </row>
    <row r="119" spans="2:23" s="7" customFormat="1" ht="16.149999999999999" customHeight="1">
      <c r="B119" s="1166"/>
      <c r="C119" s="6" t="s">
        <v>3974</v>
      </c>
      <c r="D119" s="12" t="s">
        <v>3846</v>
      </c>
      <c r="E119" s="46" t="s">
        <v>3849</v>
      </c>
      <c r="F119" s="34" t="s">
        <v>3850</v>
      </c>
      <c r="G119" s="34" t="s">
        <v>3945</v>
      </c>
      <c r="H119" s="103"/>
      <c r="I119" s="1164"/>
      <c r="J119" s="16">
        <v>10</v>
      </c>
      <c r="K119" s="36">
        <v>56</v>
      </c>
      <c r="L119" s="36">
        <f>K119*J119</f>
        <v>560</v>
      </c>
      <c r="M119" s="112" t="s">
        <v>3837</v>
      </c>
      <c r="N119" s="130">
        <v>46101</v>
      </c>
      <c r="O119" s="30"/>
      <c r="P119" s="36">
        <f>K119*0.92</f>
        <v>51.52</v>
      </c>
      <c r="Q119" s="232">
        <v>51.52</v>
      </c>
      <c r="R119" s="233">
        <f>Q119*J119</f>
        <v>515.20000000000005</v>
      </c>
      <c r="S119" s="36">
        <f>K119*0.84</f>
        <v>47.04</v>
      </c>
      <c r="T119" s="267">
        <f>S119*J119</f>
        <v>470.4</v>
      </c>
      <c r="U119" s="36"/>
      <c r="V119" s="204">
        <v>120</v>
      </c>
      <c r="W119" s="1198"/>
    </row>
    <row r="120" spans="2:23" s="7" customFormat="1" ht="16.149999999999999" customHeight="1">
      <c r="B120" s="1166"/>
      <c r="C120" s="6" t="s">
        <v>3974</v>
      </c>
      <c r="D120" s="12" t="s">
        <v>3846</v>
      </c>
      <c r="E120" s="46" t="s">
        <v>3849</v>
      </c>
      <c r="F120" s="34" t="s">
        <v>3850</v>
      </c>
      <c r="G120" s="1215" t="s">
        <v>3944</v>
      </c>
      <c r="H120" s="103"/>
      <c r="I120" s="1164"/>
      <c r="J120" s="16">
        <v>10</v>
      </c>
      <c r="K120" s="36">
        <v>56</v>
      </c>
      <c r="L120" s="36">
        <f>K120*J120</f>
        <v>560</v>
      </c>
      <c r="M120" s="112" t="s">
        <v>3837</v>
      </c>
      <c r="N120" s="130">
        <v>46101</v>
      </c>
      <c r="O120" s="30"/>
      <c r="P120" s="36">
        <f>K120*0.92</f>
        <v>51.52</v>
      </c>
      <c r="Q120" s="232">
        <v>51.52</v>
      </c>
      <c r="R120" s="233">
        <f>Q120*J120</f>
        <v>515.20000000000005</v>
      </c>
      <c r="S120" s="36">
        <f>K120*0.84</f>
        <v>47.04</v>
      </c>
      <c r="T120" s="267">
        <f>S120*J120</f>
        <v>470.4</v>
      </c>
      <c r="U120" s="36"/>
      <c r="V120" s="204">
        <v>120</v>
      </c>
      <c r="W120" s="1198"/>
    </row>
    <row r="121" spans="2:23" s="7" customFormat="1" ht="16.149999999999999" customHeight="1">
      <c r="B121" s="1166"/>
      <c r="C121" s="6" t="s">
        <v>3974</v>
      </c>
      <c r="D121" s="12" t="s">
        <v>3846</v>
      </c>
      <c r="E121" s="46" t="s">
        <v>3849</v>
      </c>
      <c r="F121" s="34" t="s">
        <v>3850</v>
      </c>
      <c r="G121" s="34" t="s">
        <v>3945</v>
      </c>
      <c r="H121" s="103"/>
      <c r="I121" s="1164"/>
      <c r="J121" s="16">
        <v>10</v>
      </c>
      <c r="K121" s="36">
        <v>56</v>
      </c>
      <c r="L121" s="36">
        <f>K121*J121</f>
        <v>560</v>
      </c>
      <c r="M121" s="112" t="s">
        <v>3837</v>
      </c>
      <c r="N121" s="130">
        <v>46101</v>
      </c>
      <c r="O121" s="30"/>
      <c r="P121" s="36">
        <f>K121*0.92</f>
        <v>51.52</v>
      </c>
      <c r="Q121" s="232">
        <v>51.52</v>
      </c>
      <c r="R121" s="233">
        <f>Q121*J121</f>
        <v>515.20000000000005</v>
      </c>
      <c r="S121" s="36">
        <f>K121*0.84</f>
        <v>47.04</v>
      </c>
      <c r="T121" s="267">
        <f>S121*J121</f>
        <v>470.4</v>
      </c>
      <c r="U121" s="36"/>
      <c r="V121" s="204">
        <v>120</v>
      </c>
      <c r="W121" s="1198"/>
    </row>
    <row r="122" spans="2:23" s="159" customFormat="1" ht="15.6" customHeight="1">
      <c r="B122" s="1166"/>
      <c r="C122" s="149" t="s">
        <v>3974</v>
      </c>
      <c r="D122" s="150" t="s">
        <v>3846</v>
      </c>
      <c r="E122" s="174"/>
      <c r="F122" s="152"/>
      <c r="G122" s="152" t="s">
        <v>215</v>
      </c>
      <c r="H122" s="154" t="s">
        <v>2775</v>
      </c>
      <c r="I122" s="155"/>
      <c r="J122" s="153"/>
      <c r="K122" s="160">
        <v>0</v>
      </c>
      <c r="L122" s="157"/>
      <c r="M122" s="157"/>
      <c r="N122" s="157"/>
      <c r="O122" s="156"/>
      <c r="P122" s="149"/>
      <c r="Q122" s="759">
        <v>0</v>
      </c>
      <c r="S122" s="205">
        <v>0</v>
      </c>
      <c r="T122" s="165">
        <v>0</v>
      </c>
      <c r="U122" s="1165"/>
      <c r="V122" s="204">
        <v>120</v>
      </c>
      <c r="W122" s="760" t="e">
        <f>(((K122*V122)-S122)/(K122*V122))</f>
        <v>#DIV/0!</v>
      </c>
    </row>
    <row r="123" spans="2:23" s="7" customFormat="1" ht="15">
      <c r="B123" s="1166"/>
      <c r="C123" s="6" t="s">
        <v>3976</v>
      </c>
      <c r="D123" s="12" t="s">
        <v>3883</v>
      </c>
      <c r="E123" s="17" t="s">
        <v>3839</v>
      </c>
      <c r="F123" s="22"/>
      <c r="G123" s="20"/>
      <c r="H123" s="57"/>
      <c r="I123" s="58"/>
      <c r="J123" s="57"/>
      <c r="K123" s="14" t="s">
        <v>5</v>
      </c>
      <c r="L123" s="126"/>
      <c r="M123" s="31"/>
      <c r="N123" s="31">
        <v>46079</v>
      </c>
      <c r="O123" s="30">
        <v>7934</v>
      </c>
      <c r="P123" s="6" t="s">
        <v>3</v>
      </c>
      <c r="Q123" s="232"/>
      <c r="S123" s="36"/>
      <c r="U123" s="19"/>
      <c r="V123" s="204">
        <v>120</v>
      </c>
      <c r="W123" s="1198" t="e">
        <f>(((K123*V123)-S123)/(K123*V123))</f>
        <v>#VALUE!</v>
      </c>
    </row>
    <row r="124" spans="2:23" s="7" customFormat="1" ht="16.149999999999999" customHeight="1">
      <c r="B124" s="1166"/>
      <c r="C124" s="6" t="s">
        <v>3976</v>
      </c>
      <c r="D124" s="12" t="s">
        <v>3883</v>
      </c>
      <c r="E124" s="20" t="s">
        <v>3965</v>
      </c>
      <c r="F124" s="34"/>
      <c r="G124" s="34" t="s">
        <v>3962</v>
      </c>
      <c r="H124" s="103"/>
      <c r="I124" s="1164"/>
      <c r="J124" s="16">
        <v>18.3</v>
      </c>
      <c r="K124" s="36">
        <v>5.73</v>
      </c>
      <c r="L124" s="36">
        <f t="shared" ref="L124" si="110">K124*J124</f>
        <v>104.85900000000001</v>
      </c>
      <c r="M124" s="112"/>
      <c r="N124" s="31">
        <v>46079</v>
      </c>
      <c r="O124" s="30">
        <v>7934</v>
      </c>
      <c r="P124" s="36">
        <f t="shared" ref="P124" si="111">K124*0.92</f>
        <v>5.2716000000000003</v>
      </c>
      <c r="Q124" s="232">
        <v>5.27</v>
      </c>
      <c r="R124" s="233">
        <f t="shared" ref="R124" si="112">Q124*J124</f>
        <v>96.441000000000003</v>
      </c>
      <c r="S124" s="36">
        <f t="shared" ref="S124" si="113">K124*0.84</f>
        <v>4.8132000000000001</v>
      </c>
      <c r="T124" s="267">
        <f t="shared" ref="T124" si="114">S124*J124</f>
        <v>88.08156000000001</v>
      </c>
      <c r="U124" s="36"/>
      <c r="V124" s="204">
        <v>120</v>
      </c>
      <c r="W124" s="1198"/>
    </row>
    <row r="125" spans="2:23" s="7" customFormat="1" ht="16.149999999999999" customHeight="1">
      <c r="B125" s="1166"/>
      <c r="C125" s="6" t="s">
        <v>3976</v>
      </c>
      <c r="D125" s="12" t="s">
        <v>3883</v>
      </c>
      <c r="E125" s="20" t="s">
        <v>3964</v>
      </c>
      <c r="F125" s="34"/>
      <c r="G125" s="34" t="s">
        <v>3962</v>
      </c>
      <c r="H125" s="103"/>
      <c r="I125" s="1164"/>
      <c r="J125" s="16">
        <v>32.5</v>
      </c>
      <c r="K125" s="36">
        <v>5.13</v>
      </c>
      <c r="L125" s="36">
        <f>K125*J125</f>
        <v>166.72499999999999</v>
      </c>
      <c r="M125" s="112"/>
      <c r="N125" s="31">
        <v>46078</v>
      </c>
      <c r="O125" s="30">
        <v>7901</v>
      </c>
      <c r="P125" s="36">
        <f>K125*0.92</f>
        <v>4.7195999999999998</v>
      </c>
      <c r="Q125" s="232">
        <v>3.77</v>
      </c>
      <c r="R125" s="233">
        <f>Q125*J125</f>
        <v>122.52500000000001</v>
      </c>
      <c r="S125" s="36">
        <f>K125*0.84</f>
        <v>4.3091999999999997</v>
      </c>
      <c r="T125" s="267">
        <f>S125*J125</f>
        <v>140.04899999999998</v>
      </c>
      <c r="U125" s="36"/>
      <c r="V125" s="204">
        <v>120</v>
      </c>
      <c r="W125" s="1198"/>
    </row>
    <row r="126" spans="2:23" s="7" customFormat="1" ht="16.149999999999999" customHeight="1">
      <c r="B126" s="1166"/>
      <c r="C126" s="6" t="s">
        <v>3976</v>
      </c>
      <c r="D126" s="12" t="s">
        <v>3883</v>
      </c>
      <c r="E126" s="20" t="s">
        <v>3965</v>
      </c>
      <c r="F126" s="34"/>
      <c r="G126" s="34" t="s">
        <v>3875</v>
      </c>
      <c r="H126" s="103"/>
      <c r="I126" s="1164"/>
      <c r="J126" s="16">
        <v>24.4</v>
      </c>
      <c r="K126" s="36">
        <v>5.73</v>
      </c>
      <c r="L126" s="36">
        <f t="shared" ref="L126" si="115">K126*J126</f>
        <v>139.81200000000001</v>
      </c>
      <c r="M126" s="112"/>
      <c r="N126" s="31">
        <v>46079</v>
      </c>
      <c r="O126" s="30">
        <v>7934</v>
      </c>
      <c r="P126" s="36">
        <f t="shared" ref="P126" si="116">K126*0.92</f>
        <v>5.2716000000000003</v>
      </c>
      <c r="Q126" s="232">
        <v>5.27</v>
      </c>
      <c r="R126" s="233">
        <f t="shared" ref="R126" si="117">Q126*J126</f>
        <v>128.58799999999999</v>
      </c>
      <c r="S126" s="36">
        <f t="shared" ref="S126" si="118">K126*0.84</f>
        <v>4.8132000000000001</v>
      </c>
      <c r="T126" s="267">
        <f t="shared" ref="T126" si="119">S126*J126</f>
        <v>117.44207999999999</v>
      </c>
      <c r="U126" s="36"/>
      <c r="V126" s="204">
        <v>120</v>
      </c>
      <c r="W126" s="1198"/>
    </row>
    <row r="127" spans="2:23" s="7" customFormat="1" ht="16.149999999999999" customHeight="1">
      <c r="B127" s="1166"/>
      <c r="C127" s="1168" t="s">
        <v>3976</v>
      </c>
      <c r="D127" s="1169" t="s">
        <v>3883</v>
      </c>
      <c r="E127" s="1218" t="s">
        <v>3960</v>
      </c>
      <c r="F127" s="120"/>
      <c r="G127" s="120" t="s">
        <v>3961</v>
      </c>
      <c r="H127" s="1186"/>
      <c r="I127" s="1187"/>
      <c r="J127" s="1219">
        <v>12</v>
      </c>
      <c r="K127" s="1181">
        <v>9.5</v>
      </c>
      <c r="L127" s="1181">
        <f t="shared" ref="L127" si="120">K127*J127</f>
        <v>114</v>
      </c>
      <c r="M127" s="1189"/>
      <c r="N127" s="1220" t="s">
        <v>3968</v>
      </c>
      <c r="O127" s="1216"/>
      <c r="P127" s="36">
        <f t="shared" ref="P127" si="121">K127*0.92</f>
        <v>8.74</v>
      </c>
      <c r="Q127" s="232">
        <v>8.74</v>
      </c>
      <c r="R127" s="233">
        <f t="shared" ref="R127" si="122">Q127*J127</f>
        <v>104.88</v>
      </c>
      <c r="S127" s="36">
        <f t="shared" ref="S127" si="123">K127*0.84</f>
        <v>7.9799999999999995</v>
      </c>
      <c r="T127" s="267">
        <f t="shared" ref="T127" si="124">S127*J127</f>
        <v>95.759999999999991</v>
      </c>
      <c r="U127" s="36"/>
      <c r="V127" s="204">
        <v>120</v>
      </c>
      <c r="W127" s="1198"/>
    </row>
    <row r="128" spans="2:23" s="159" customFormat="1" ht="15.6" customHeight="1">
      <c r="B128" s="1166"/>
      <c r="C128" s="149" t="s">
        <v>3976</v>
      </c>
      <c r="D128" s="150" t="s">
        <v>3883</v>
      </c>
      <c r="E128" s="174"/>
      <c r="F128" s="152"/>
      <c r="G128" s="152" t="s">
        <v>215</v>
      </c>
      <c r="H128" s="154" t="s">
        <v>2775</v>
      </c>
      <c r="I128" s="155"/>
      <c r="J128" s="153"/>
      <c r="K128" s="160">
        <v>0</v>
      </c>
      <c r="L128" s="157"/>
      <c r="M128" s="157"/>
      <c r="N128" s="157">
        <v>46079</v>
      </c>
      <c r="O128" s="156">
        <v>7934</v>
      </c>
      <c r="P128" s="149"/>
      <c r="Q128" s="759">
        <v>0</v>
      </c>
      <c r="S128" s="205">
        <v>0</v>
      </c>
      <c r="T128" s="165">
        <v>0</v>
      </c>
      <c r="U128" s="1165"/>
      <c r="V128" s="204">
        <v>120</v>
      </c>
      <c r="W128" s="760" t="e">
        <f>(((K128*V128)-S128)/(K128*V128))</f>
        <v>#DIV/0!</v>
      </c>
    </row>
    <row r="129" spans="2:23" s="7" customFormat="1" ht="15">
      <c r="B129" s="1166"/>
      <c r="C129" s="6" t="s">
        <v>3984</v>
      </c>
      <c r="D129" s="12" t="s">
        <v>3966</v>
      </c>
      <c r="E129" s="17" t="s">
        <v>3839</v>
      </c>
      <c r="F129" s="22"/>
      <c r="G129" s="20"/>
      <c r="H129" s="57"/>
      <c r="I129" s="58"/>
      <c r="J129" s="57"/>
      <c r="K129" s="14" t="s">
        <v>5</v>
      </c>
      <c r="L129" s="126"/>
      <c r="M129" s="31"/>
      <c r="N129" s="31">
        <v>46085</v>
      </c>
      <c r="O129" s="30">
        <v>7976</v>
      </c>
      <c r="P129" s="6" t="s">
        <v>3</v>
      </c>
      <c r="Q129" s="232"/>
      <c r="S129" s="36"/>
      <c r="U129" s="19"/>
      <c r="V129" s="204">
        <v>120</v>
      </c>
      <c r="W129" s="1198" t="e">
        <f>(((K129*V129)-S129)/(K129*V129))</f>
        <v>#VALUE!</v>
      </c>
    </row>
    <row r="130" spans="2:23" s="7" customFormat="1" ht="16.149999999999999" customHeight="1">
      <c r="B130" s="1166"/>
      <c r="C130" s="6" t="s">
        <v>3984</v>
      </c>
      <c r="D130" s="12" t="s">
        <v>3966</v>
      </c>
      <c r="E130" s="20" t="s">
        <v>3967</v>
      </c>
      <c r="F130" s="34"/>
      <c r="G130" s="34" t="s">
        <v>3982</v>
      </c>
      <c r="H130" s="103"/>
      <c r="I130" s="1164"/>
      <c r="J130" s="16">
        <v>10</v>
      </c>
      <c r="K130" s="36">
        <v>5</v>
      </c>
      <c r="L130" s="36">
        <f t="shared" ref="L130" si="125">K130*J130</f>
        <v>50</v>
      </c>
      <c r="M130" s="112"/>
      <c r="N130" s="31">
        <v>46085</v>
      </c>
      <c r="O130" s="30">
        <v>7976</v>
      </c>
      <c r="P130" s="36">
        <f t="shared" ref="P130" si="126">K130*0.92</f>
        <v>4.6000000000000005</v>
      </c>
      <c r="Q130" s="232"/>
      <c r="R130" s="233">
        <f t="shared" ref="R130" si="127">Q130*J130</f>
        <v>0</v>
      </c>
      <c r="S130" s="36">
        <f t="shared" ref="S130" si="128">K130*0.84</f>
        <v>4.2</v>
      </c>
      <c r="T130" s="267">
        <f t="shared" ref="T130" si="129">S130*J130</f>
        <v>42</v>
      </c>
      <c r="U130" s="36"/>
      <c r="V130" s="204">
        <v>120</v>
      </c>
      <c r="W130" s="1198"/>
    </row>
    <row r="131" spans="2:23" s="159" customFormat="1" ht="15.6" customHeight="1">
      <c r="B131" s="1166"/>
      <c r="C131" s="149" t="s">
        <v>3984</v>
      </c>
      <c r="D131" s="150" t="s">
        <v>3966</v>
      </c>
      <c r="E131" s="174"/>
      <c r="F131" s="152"/>
      <c r="G131" s="152" t="s">
        <v>215</v>
      </c>
      <c r="H131" s="154" t="s">
        <v>2775</v>
      </c>
      <c r="I131" s="155"/>
      <c r="J131" s="153"/>
      <c r="K131" s="160">
        <v>0</v>
      </c>
      <c r="L131" s="157"/>
      <c r="M131" s="157"/>
      <c r="N131" s="157">
        <v>46085</v>
      </c>
      <c r="O131" s="156">
        <v>7976</v>
      </c>
      <c r="P131" s="149"/>
      <c r="Q131" s="759">
        <v>0</v>
      </c>
      <c r="S131" s="205">
        <v>0</v>
      </c>
      <c r="T131" s="165">
        <v>0</v>
      </c>
      <c r="U131" s="1165"/>
      <c r="V131" s="204">
        <v>120</v>
      </c>
      <c r="W131" s="760" t="e">
        <f>(((K131*V131)-S131)/(K131*V131))</f>
        <v>#DIV/0!</v>
      </c>
    </row>
    <row r="132" spans="2:23" s="7" customFormat="1" ht="15">
      <c r="B132" s="1166"/>
      <c r="C132" s="6" t="s">
        <v>3969</v>
      </c>
      <c r="D132" s="12" t="s">
        <v>3846</v>
      </c>
      <c r="E132" s="17" t="s">
        <v>3839</v>
      </c>
      <c r="F132" s="22"/>
      <c r="G132" s="20"/>
      <c r="H132" s="57"/>
      <c r="I132" s="58"/>
      <c r="J132" s="57"/>
      <c r="K132" s="14" t="s">
        <v>5</v>
      </c>
      <c r="L132" s="126"/>
      <c r="M132" s="31"/>
      <c r="N132" s="31"/>
      <c r="O132" s="30"/>
      <c r="P132" s="6" t="s">
        <v>3</v>
      </c>
      <c r="Q132" s="232"/>
      <c r="S132" s="36"/>
      <c r="U132" s="19"/>
      <c r="V132" s="204">
        <v>120</v>
      </c>
      <c r="W132" s="1198" t="e">
        <f>(((K132*V132)-S132)/(K132*V132))</f>
        <v>#VALUE!</v>
      </c>
    </row>
    <row r="133" spans="2:23" s="7" customFormat="1" ht="16.149999999999999" customHeight="1">
      <c r="B133" s="1166"/>
      <c r="C133" s="6" t="s">
        <v>3969</v>
      </c>
      <c r="D133" s="12" t="s">
        <v>3846</v>
      </c>
      <c r="E133" s="46" t="s">
        <v>3932</v>
      </c>
      <c r="F133" s="34" t="s">
        <v>3850</v>
      </c>
      <c r="G133" s="1215" t="s">
        <v>3944</v>
      </c>
      <c r="H133" s="103"/>
      <c r="I133" s="1164"/>
      <c r="J133" s="16">
        <v>23.7</v>
      </c>
      <c r="K133" s="36">
        <v>56</v>
      </c>
      <c r="L133" s="36">
        <f>K133*J133</f>
        <v>1327.2</v>
      </c>
      <c r="M133" s="112" t="s">
        <v>3837</v>
      </c>
      <c r="N133" s="130">
        <v>46101</v>
      </c>
      <c r="O133" s="30"/>
      <c r="P133" s="36">
        <f>K133*0.92</f>
        <v>51.52</v>
      </c>
      <c r="Q133" s="232">
        <v>51.52</v>
      </c>
      <c r="R133" s="233">
        <f>Q133*J133</f>
        <v>1221.0240000000001</v>
      </c>
      <c r="S133" s="36">
        <f>K133*0.84</f>
        <v>47.04</v>
      </c>
      <c r="T133" s="267">
        <f>S133*J133</f>
        <v>1114.848</v>
      </c>
      <c r="U133" s="36"/>
      <c r="V133" s="204">
        <v>120</v>
      </c>
      <c r="W133" s="1198"/>
    </row>
    <row r="134" spans="2:23" s="159" customFormat="1" ht="15.6" customHeight="1">
      <c r="B134" s="1166"/>
      <c r="C134" s="149" t="s">
        <v>3969</v>
      </c>
      <c r="D134" s="150" t="s">
        <v>3846</v>
      </c>
      <c r="E134" s="174"/>
      <c r="F134" s="152"/>
      <c r="G134" s="152" t="s">
        <v>215</v>
      </c>
      <c r="H134" s="154" t="s">
        <v>2775</v>
      </c>
      <c r="I134" s="155"/>
      <c r="J134" s="153"/>
      <c r="K134" s="160">
        <v>0</v>
      </c>
      <c r="L134" s="157"/>
      <c r="M134" s="157"/>
      <c r="N134" s="157"/>
      <c r="O134" s="156"/>
      <c r="P134" s="149"/>
      <c r="Q134" s="759">
        <v>0</v>
      </c>
      <c r="S134" s="205">
        <v>0</v>
      </c>
      <c r="T134" s="165">
        <v>0</v>
      </c>
      <c r="U134" s="1165"/>
      <c r="V134" s="204">
        <v>120</v>
      </c>
      <c r="W134" s="760" t="e">
        <f>(((K134*V134)-S134)/(K134*V134))</f>
        <v>#DIV/0!</v>
      </c>
    </row>
    <row r="135" spans="2:23" s="7" customFormat="1" ht="15">
      <c r="B135" s="1166"/>
      <c r="C135" s="6" t="s">
        <v>3972</v>
      </c>
      <c r="D135" s="12" t="s">
        <v>3971</v>
      </c>
      <c r="E135" s="17" t="s">
        <v>3839</v>
      </c>
      <c r="F135" s="22"/>
      <c r="G135" s="20"/>
      <c r="H135" s="57"/>
      <c r="I135" s="58"/>
      <c r="J135" s="57"/>
      <c r="K135" s="14" t="s">
        <v>5</v>
      </c>
      <c r="L135" s="126"/>
      <c r="M135" s="31"/>
      <c r="N135" s="31">
        <v>46086</v>
      </c>
      <c r="O135" s="30">
        <v>7944</v>
      </c>
      <c r="P135" s="6" t="s">
        <v>3</v>
      </c>
      <c r="Q135" s="232"/>
      <c r="S135" s="36"/>
      <c r="U135" s="19"/>
      <c r="V135" s="204">
        <v>120</v>
      </c>
      <c r="W135" s="1198" t="e">
        <f>(((K135*V135)-S135)/(K135*V135))</f>
        <v>#VALUE!</v>
      </c>
    </row>
    <row r="136" spans="2:23" s="7" customFormat="1" ht="16.149999999999999" customHeight="1">
      <c r="B136" s="1166"/>
      <c r="C136" s="6" t="s">
        <v>3972</v>
      </c>
      <c r="D136" s="12" t="s">
        <v>3971</v>
      </c>
      <c r="E136" s="20" t="s">
        <v>3973</v>
      </c>
      <c r="F136" s="34"/>
      <c r="G136" s="34" t="s">
        <v>3854</v>
      </c>
      <c r="H136" s="103"/>
      <c r="I136" s="1164"/>
      <c r="J136" s="1200">
        <v>5</v>
      </c>
      <c r="K136" s="36">
        <v>9.56</v>
      </c>
      <c r="L136" s="36">
        <f t="shared" ref="L136" si="130">K136*J136</f>
        <v>47.800000000000004</v>
      </c>
      <c r="M136" s="112"/>
      <c r="N136" s="31">
        <v>46086</v>
      </c>
      <c r="O136" s="30">
        <v>7944</v>
      </c>
      <c r="P136" s="36">
        <f t="shared" ref="P136" si="131">K136*0.92</f>
        <v>8.7952000000000012</v>
      </c>
      <c r="Q136" s="232">
        <v>8.8000000000000007</v>
      </c>
      <c r="R136" s="233">
        <f t="shared" ref="R136" si="132">Q136*J136</f>
        <v>44</v>
      </c>
      <c r="S136" s="36">
        <f t="shared" ref="S136" si="133">K136*0.84</f>
        <v>8.0304000000000002</v>
      </c>
      <c r="T136" s="267">
        <f t="shared" ref="T136" si="134">S136*J136</f>
        <v>40.152000000000001</v>
      </c>
      <c r="U136" s="36"/>
      <c r="V136" s="204">
        <v>120</v>
      </c>
      <c r="W136" s="1198"/>
    </row>
    <row r="137" spans="2:23" s="159" customFormat="1" ht="15.6" customHeight="1">
      <c r="B137" s="1166"/>
      <c r="C137" s="149" t="s">
        <v>3972</v>
      </c>
      <c r="D137" s="150" t="s">
        <v>3971</v>
      </c>
      <c r="E137" s="174"/>
      <c r="F137" s="152"/>
      <c r="G137" s="152" t="s">
        <v>215</v>
      </c>
      <c r="H137" s="154" t="s">
        <v>2775</v>
      </c>
      <c r="I137" s="155"/>
      <c r="J137" s="153"/>
      <c r="K137" s="160">
        <v>0</v>
      </c>
      <c r="L137" s="157"/>
      <c r="M137" s="157"/>
      <c r="N137" s="157">
        <v>46086</v>
      </c>
      <c r="O137" s="156">
        <v>7944</v>
      </c>
      <c r="P137" s="149"/>
      <c r="Q137" s="759">
        <v>0</v>
      </c>
      <c r="S137" s="205">
        <v>0</v>
      </c>
      <c r="T137" s="165">
        <v>0</v>
      </c>
      <c r="U137" s="1165"/>
      <c r="V137" s="204">
        <v>120</v>
      </c>
      <c r="W137" s="760" t="e">
        <f>(((K137*V137)-S137)/(K137*V137))</f>
        <v>#DIV/0!</v>
      </c>
    </row>
    <row r="138" spans="2:23" s="7" customFormat="1" ht="15">
      <c r="B138" s="1166"/>
      <c r="C138" s="6" t="s">
        <v>3975</v>
      </c>
      <c r="D138" s="12" t="s">
        <v>3852</v>
      </c>
      <c r="E138" s="17" t="s">
        <v>3839</v>
      </c>
      <c r="F138" s="22"/>
      <c r="G138" s="20"/>
      <c r="H138" s="57"/>
      <c r="I138" s="58"/>
      <c r="J138" s="57"/>
      <c r="K138" s="14" t="s">
        <v>5</v>
      </c>
      <c r="L138" s="126"/>
      <c r="M138" s="31"/>
      <c r="N138" s="31">
        <v>46085</v>
      </c>
      <c r="O138" s="30">
        <v>7939</v>
      </c>
      <c r="P138" s="6" t="s">
        <v>3</v>
      </c>
      <c r="Q138" s="232"/>
      <c r="S138" s="36"/>
      <c r="U138" s="19"/>
      <c r="V138" s="204">
        <v>120</v>
      </c>
      <c r="W138" s="1198" t="e">
        <f>(((K138*V138)-S138)/(K138*V138))</f>
        <v>#VALUE!</v>
      </c>
    </row>
    <row r="139" spans="2:23" s="7" customFormat="1" ht="16.149999999999999" customHeight="1">
      <c r="B139" s="1166"/>
      <c r="C139" s="6" t="s">
        <v>3975</v>
      </c>
      <c r="D139" s="12" t="s">
        <v>3852</v>
      </c>
      <c r="E139" s="20" t="s">
        <v>3856</v>
      </c>
      <c r="F139" s="34"/>
      <c r="G139" s="34" t="s">
        <v>3854</v>
      </c>
      <c r="H139" s="103"/>
      <c r="I139" s="1164"/>
      <c r="J139" s="16">
        <v>10.4</v>
      </c>
      <c r="K139" s="36">
        <v>35.92</v>
      </c>
      <c r="L139" s="36">
        <f t="shared" ref="L139" si="135">K139*J139</f>
        <v>373.56800000000004</v>
      </c>
      <c r="M139" s="112"/>
      <c r="N139" s="31">
        <v>46085</v>
      </c>
      <c r="O139" s="30">
        <v>7939</v>
      </c>
      <c r="P139" s="36">
        <f t="shared" ref="P139" si="136">K139*0.92</f>
        <v>33.046400000000006</v>
      </c>
      <c r="Q139" s="232">
        <v>33.049999999999997</v>
      </c>
      <c r="R139" s="233">
        <f t="shared" ref="R139" si="137">Q139*J139</f>
        <v>343.71999999999997</v>
      </c>
      <c r="S139" s="36">
        <f t="shared" ref="S139" si="138">K139*0.84</f>
        <v>30.172799999999999</v>
      </c>
      <c r="T139" s="267">
        <f t="shared" ref="T139" si="139">S139*J139</f>
        <v>313.79712000000001</v>
      </c>
      <c r="U139" s="36"/>
      <c r="V139" s="204">
        <v>120</v>
      </c>
      <c r="W139" s="1198"/>
    </row>
    <row r="140" spans="2:23" s="159" customFormat="1" ht="15.6" customHeight="1">
      <c r="B140" s="1166"/>
      <c r="C140" s="149" t="s">
        <v>3975</v>
      </c>
      <c r="D140" s="150" t="s">
        <v>3852</v>
      </c>
      <c r="E140" s="174"/>
      <c r="F140" s="152"/>
      <c r="G140" s="152" t="s">
        <v>215</v>
      </c>
      <c r="H140" s="154" t="s">
        <v>3864</v>
      </c>
      <c r="I140" s="155"/>
      <c r="J140" s="153"/>
      <c r="K140" s="1201">
        <v>44</v>
      </c>
      <c r="L140" s="1201">
        <v>44</v>
      </c>
      <c r="M140" s="157"/>
      <c r="N140" s="157">
        <v>46085</v>
      </c>
      <c r="O140" s="156">
        <v>7939</v>
      </c>
      <c r="P140" s="149"/>
      <c r="Q140" s="1201">
        <v>44</v>
      </c>
      <c r="R140" s="1201">
        <v>44</v>
      </c>
      <c r="S140" s="1201">
        <v>44</v>
      </c>
      <c r="T140" s="1201">
        <v>44</v>
      </c>
      <c r="U140" s="1165"/>
      <c r="V140" s="204">
        <v>120</v>
      </c>
      <c r="W140" s="760">
        <f>(((K140*V140)-S140)/(K140*V140))</f>
        <v>0.9916666666666667</v>
      </c>
    </row>
    <row r="141" spans="2:23" s="7" customFormat="1" ht="15">
      <c r="B141" s="1166"/>
      <c r="C141" s="6" t="s">
        <v>3977</v>
      </c>
      <c r="D141" s="12" t="s">
        <v>3852</v>
      </c>
      <c r="E141" s="17" t="s">
        <v>3839</v>
      </c>
      <c r="F141" s="22"/>
      <c r="G141" s="20"/>
      <c r="H141" s="57"/>
      <c r="I141" s="58"/>
      <c r="J141" s="57"/>
      <c r="K141" s="14" t="s">
        <v>5</v>
      </c>
      <c r="L141" s="126"/>
      <c r="M141" s="31"/>
      <c r="N141" s="31">
        <v>46087</v>
      </c>
      <c r="O141" s="30">
        <v>7946</v>
      </c>
      <c r="P141" s="6" t="s">
        <v>3</v>
      </c>
      <c r="Q141" s="232"/>
      <c r="S141" s="36"/>
      <c r="U141" s="19"/>
      <c r="V141" s="204">
        <v>120</v>
      </c>
      <c r="W141" s="1198" t="e">
        <f>(((K141*V141)-S141)/(K141*V141))</f>
        <v>#VALUE!</v>
      </c>
    </row>
    <row r="142" spans="2:23" s="7" customFormat="1" ht="16.149999999999999" customHeight="1">
      <c r="B142" s="1166"/>
      <c r="C142" s="6" t="s">
        <v>3977</v>
      </c>
      <c r="D142" s="12" t="s">
        <v>3852</v>
      </c>
      <c r="E142" s="20" t="s">
        <v>3978</v>
      </c>
      <c r="F142" s="34"/>
      <c r="G142" s="34" t="s">
        <v>3854</v>
      </c>
      <c r="H142" s="103"/>
      <c r="I142" s="1164"/>
      <c r="J142" s="16">
        <v>24.4</v>
      </c>
      <c r="K142" s="36">
        <v>19</v>
      </c>
      <c r="L142" s="36">
        <f t="shared" ref="L142" si="140">K142*J142</f>
        <v>463.59999999999997</v>
      </c>
      <c r="M142" s="112"/>
      <c r="N142" s="31">
        <v>46087</v>
      </c>
      <c r="O142" s="30">
        <v>7946</v>
      </c>
      <c r="P142" s="36">
        <f t="shared" ref="P142" si="141">K142*0.92</f>
        <v>17.48</v>
      </c>
      <c r="Q142" s="232">
        <v>17.48</v>
      </c>
      <c r="R142" s="233">
        <f t="shared" ref="R142" si="142">Q142*J142</f>
        <v>426.512</v>
      </c>
      <c r="S142" s="36">
        <f t="shared" ref="S142" si="143">K142*0.84</f>
        <v>15.959999999999999</v>
      </c>
      <c r="T142" s="267">
        <f t="shared" ref="T142" si="144">S142*J142</f>
        <v>389.42399999999998</v>
      </c>
      <c r="U142" s="36"/>
      <c r="V142" s="204">
        <v>120</v>
      </c>
      <c r="W142" s="1198"/>
    </row>
    <row r="143" spans="2:23" s="159" customFormat="1" ht="15.6" customHeight="1">
      <c r="B143" s="1166"/>
      <c r="C143" s="149" t="s">
        <v>3977</v>
      </c>
      <c r="D143" s="150" t="s">
        <v>3852</v>
      </c>
      <c r="E143" s="174"/>
      <c r="F143" s="152"/>
      <c r="G143" s="152" t="s">
        <v>215</v>
      </c>
      <c r="H143" s="154" t="s">
        <v>3864</v>
      </c>
      <c r="I143" s="155"/>
      <c r="J143" s="153"/>
      <c r="K143" s="1201">
        <v>79.44</v>
      </c>
      <c r="L143" s="1201">
        <v>79.44</v>
      </c>
      <c r="M143" s="157"/>
      <c r="N143" s="157">
        <v>46087</v>
      </c>
      <c r="O143" s="156">
        <v>7946</v>
      </c>
      <c r="P143" s="149"/>
      <c r="Q143" s="1201">
        <v>79.44</v>
      </c>
      <c r="R143" s="1201">
        <v>79.44</v>
      </c>
      <c r="S143" s="1201">
        <v>79.44</v>
      </c>
      <c r="T143" s="1201">
        <v>79.44</v>
      </c>
      <c r="U143" s="1165"/>
      <c r="V143" s="204">
        <v>120</v>
      </c>
      <c r="W143" s="760">
        <f>(((K143*V143)-S143)/(K143*V143))</f>
        <v>0.99166666666666659</v>
      </c>
    </row>
    <row r="144" spans="2:23" s="7" customFormat="1" ht="15">
      <c r="B144" s="1166"/>
      <c r="C144" s="6" t="s">
        <v>3934</v>
      </c>
      <c r="D144" s="12" t="s">
        <v>3933</v>
      </c>
      <c r="E144" s="17" t="s">
        <v>3839</v>
      </c>
      <c r="F144" s="22"/>
      <c r="G144" s="20"/>
      <c r="H144" s="57"/>
      <c r="I144" s="58"/>
      <c r="J144" s="57"/>
      <c r="K144" s="14" t="s">
        <v>5</v>
      </c>
      <c r="L144" s="126"/>
      <c r="M144" s="31"/>
      <c r="N144" s="31">
        <v>46086</v>
      </c>
      <c r="O144" s="30">
        <v>7942</v>
      </c>
      <c r="P144" s="6" t="s">
        <v>3</v>
      </c>
      <c r="Q144" s="232"/>
      <c r="S144" s="36"/>
      <c r="U144" s="19"/>
      <c r="V144" s="204">
        <v>120</v>
      </c>
      <c r="W144" s="1198" t="e">
        <f>(((K144*V144)-S144)/(K144*V144))</f>
        <v>#VALUE!</v>
      </c>
    </row>
    <row r="145" spans="2:23" s="7" customFormat="1" ht="16.149999999999999" customHeight="1">
      <c r="B145" s="1166"/>
      <c r="C145" s="6" t="s">
        <v>3934</v>
      </c>
      <c r="D145" s="12" t="s">
        <v>3933</v>
      </c>
      <c r="E145" s="20" t="s">
        <v>3835</v>
      </c>
      <c r="F145" s="34"/>
      <c r="G145" s="34" t="s">
        <v>3836</v>
      </c>
      <c r="H145" s="103"/>
      <c r="I145" s="104"/>
      <c r="J145" s="57">
        <v>54</v>
      </c>
      <c r="K145" s="36">
        <v>7.5</v>
      </c>
      <c r="L145" s="36">
        <f>K145*J145</f>
        <v>405</v>
      </c>
      <c r="M145" s="112"/>
      <c r="N145" s="31">
        <v>46086</v>
      </c>
      <c r="O145" s="30">
        <v>7942</v>
      </c>
      <c r="P145" s="36">
        <f>K145*0.92</f>
        <v>6.9</v>
      </c>
      <c r="Q145" s="232">
        <v>6.9</v>
      </c>
      <c r="R145" s="233">
        <f>Q145*J145</f>
        <v>372.6</v>
      </c>
      <c r="S145" s="36">
        <f>K145*0.84</f>
        <v>6.3</v>
      </c>
      <c r="T145" s="267">
        <f>S145*J145</f>
        <v>340.2</v>
      </c>
      <c r="U145" s="36" t="s">
        <v>3979</v>
      </c>
      <c r="V145" s="204">
        <v>120</v>
      </c>
      <c r="W145" s="760"/>
    </row>
    <row r="146" spans="2:23" s="159" customFormat="1" ht="15.6" customHeight="1">
      <c r="B146" s="1166"/>
      <c r="C146" s="149" t="s">
        <v>3934</v>
      </c>
      <c r="D146" s="150" t="s">
        <v>3933</v>
      </c>
      <c r="E146" s="174"/>
      <c r="F146" s="152"/>
      <c r="G146" s="152" t="s">
        <v>215</v>
      </c>
      <c r="H146" s="154" t="s">
        <v>3864</v>
      </c>
      <c r="I146" s="155"/>
      <c r="J146" s="153"/>
      <c r="K146" s="1201">
        <v>0</v>
      </c>
      <c r="L146" s="1201">
        <v>0</v>
      </c>
      <c r="M146" s="157"/>
      <c r="N146" s="157">
        <v>46086</v>
      </c>
      <c r="O146" s="156">
        <v>7942</v>
      </c>
      <c r="P146" s="149"/>
      <c r="Q146" s="1201">
        <v>0</v>
      </c>
      <c r="R146" s="1201">
        <v>0</v>
      </c>
      <c r="S146" s="1201">
        <v>0</v>
      </c>
      <c r="T146" s="1201">
        <v>0</v>
      </c>
      <c r="U146" s="1165"/>
      <c r="V146" s="204">
        <v>120</v>
      </c>
      <c r="W146" s="760" t="e">
        <f>(((K146*V146)-S146)/(K146*V146))</f>
        <v>#DIV/0!</v>
      </c>
    </row>
    <row r="147" spans="2:23" s="7" customFormat="1" ht="15">
      <c r="B147" s="1166"/>
      <c r="C147" s="6" t="s">
        <v>3983</v>
      </c>
      <c r="D147" s="12" t="s">
        <v>3913</v>
      </c>
      <c r="E147" s="17" t="s">
        <v>3839</v>
      </c>
      <c r="F147" s="22"/>
      <c r="G147" s="20"/>
      <c r="H147" s="57"/>
      <c r="I147" s="58"/>
      <c r="J147" s="57"/>
      <c r="K147" s="14" t="s">
        <v>5</v>
      </c>
      <c r="L147" s="126"/>
      <c r="M147" s="31"/>
      <c r="N147" s="31">
        <v>46094</v>
      </c>
      <c r="O147" s="30">
        <v>7983</v>
      </c>
      <c r="P147" s="6" t="s">
        <v>3</v>
      </c>
      <c r="Q147" s="232"/>
      <c r="S147" s="36"/>
      <c r="U147" s="19"/>
      <c r="V147" s="204">
        <v>120</v>
      </c>
      <c r="W147" s="1198" t="e">
        <f>(((K147*V147)-S147)/(K147*V147))</f>
        <v>#VALUE!</v>
      </c>
    </row>
    <row r="148" spans="2:23" s="7" customFormat="1" ht="16.149999999999999" customHeight="1">
      <c r="B148" s="1166"/>
      <c r="C148" s="6" t="s">
        <v>3983</v>
      </c>
      <c r="D148" s="12" t="s">
        <v>3913</v>
      </c>
      <c r="E148" s="20" t="s">
        <v>3980</v>
      </c>
      <c r="F148" s="34"/>
      <c r="G148" s="34" t="s">
        <v>3854</v>
      </c>
      <c r="H148" s="103"/>
      <c r="I148" s="1164"/>
      <c r="J148" s="16">
        <v>36</v>
      </c>
      <c r="K148" s="36">
        <v>1.8</v>
      </c>
      <c r="L148" s="36">
        <f t="shared" ref="L148" si="145">K148*J148</f>
        <v>64.8</v>
      </c>
      <c r="M148" s="112"/>
      <c r="N148" s="31">
        <v>46094</v>
      </c>
      <c r="O148" s="30">
        <v>7983</v>
      </c>
      <c r="P148" s="36">
        <f t="shared" ref="P148" si="146">K148*0.92</f>
        <v>1.6560000000000001</v>
      </c>
      <c r="Q148" s="232">
        <v>1.66</v>
      </c>
      <c r="R148" s="233">
        <f t="shared" ref="R148" si="147">Q148*J148</f>
        <v>59.76</v>
      </c>
      <c r="S148" s="36">
        <f t="shared" ref="S148" si="148">K148*0.84</f>
        <v>1.512</v>
      </c>
      <c r="T148" s="267">
        <f t="shared" ref="T148" si="149">S148*J148</f>
        <v>54.432000000000002</v>
      </c>
      <c r="U148" s="36"/>
      <c r="V148" s="204">
        <v>120</v>
      </c>
      <c r="W148" s="1198"/>
    </row>
    <row r="149" spans="2:23" s="159" customFormat="1" ht="15.6" customHeight="1">
      <c r="B149" s="1166"/>
      <c r="C149" s="149" t="s">
        <v>3983</v>
      </c>
      <c r="D149" s="150" t="s">
        <v>3913</v>
      </c>
      <c r="E149" s="174"/>
      <c r="F149" s="152"/>
      <c r="G149" s="152" t="s">
        <v>215</v>
      </c>
      <c r="H149" s="154" t="s">
        <v>2775</v>
      </c>
      <c r="I149" s="155"/>
      <c r="J149" s="153"/>
      <c r="K149" s="160">
        <v>0</v>
      </c>
      <c r="L149" s="157"/>
      <c r="M149" s="157"/>
      <c r="N149" s="157">
        <v>46094</v>
      </c>
      <c r="O149" s="156">
        <v>7983</v>
      </c>
      <c r="P149" s="149"/>
      <c r="Q149" s="759">
        <v>0</v>
      </c>
      <c r="S149" s="205">
        <v>0</v>
      </c>
      <c r="T149" s="165">
        <v>0</v>
      </c>
      <c r="U149" s="1165"/>
      <c r="V149" s="204">
        <v>120</v>
      </c>
      <c r="W149" s="760" t="e">
        <f>(((K149*V149)-S149)/(K149*V149))</f>
        <v>#DIV/0!</v>
      </c>
    </row>
    <row r="150" spans="2:23" s="7" customFormat="1" ht="15">
      <c r="B150" s="1166"/>
      <c r="C150" s="6" t="s">
        <v>3985</v>
      </c>
      <c r="D150" s="12" t="s">
        <v>3846</v>
      </c>
      <c r="E150" s="17" t="s">
        <v>3839</v>
      </c>
      <c r="F150" s="22"/>
      <c r="G150" s="20"/>
      <c r="H150" s="57"/>
      <c r="I150" s="58"/>
      <c r="J150" s="57"/>
      <c r="K150" s="14" t="s">
        <v>5</v>
      </c>
      <c r="L150" s="126"/>
      <c r="M150" s="31"/>
      <c r="N150" s="31"/>
      <c r="O150" s="30"/>
      <c r="P150" s="6" t="s">
        <v>3</v>
      </c>
      <c r="Q150" s="232"/>
      <c r="S150" s="36"/>
      <c r="U150" s="19"/>
      <c r="V150" s="204">
        <v>120</v>
      </c>
      <c r="W150" s="1198" t="e">
        <f>(((K150*V150)-S150)/(K150*V150))</f>
        <v>#VALUE!</v>
      </c>
    </row>
    <row r="151" spans="2:23" s="7" customFormat="1" ht="16.149999999999999" customHeight="1">
      <c r="B151" s="1166"/>
      <c r="C151" s="6" t="s">
        <v>3985</v>
      </c>
      <c r="D151" s="12" t="s">
        <v>3846</v>
      </c>
      <c r="E151" s="46" t="s">
        <v>3932</v>
      </c>
      <c r="F151" s="34" t="s">
        <v>3850</v>
      </c>
      <c r="G151" s="1215" t="s">
        <v>3986</v>
      </c>
      <c r="H151" s="103"/>
      <c r="I151" s="1164"/>
      <c r="J151" s="1222">
        <v>30</v>
      </c>
      <c r="K151" s="36">
        <v>56</v>
      </c>
      <c r="L151" s="36">
        <f>K151*J151</f>
        <v>1680</v>
      </c>
      <c r="M151" s="112" t="s">
        <v>3837</v>
      </c>
      <c r="N151" s="130" t="s">
        <v>3988</v>
      </c>
      <c r="O151" s="30"/>
      <c r="P151" s="36">
        <f>K151*0.92</f>
        <v>51.52</v>
      </c>
      <c r="Q151" s="232">
        <v>51.52</v>
      </c>
      <c r="R151" s="233">
        <f>Q151*J151</f>
        <v>1545.6000000000001</v>
      </c>
      <c r="S151" s="36">
        <f>K151*0.84</f>
        <v>47.04</v>
      </c>
      <c r="T151" s="267">
        <f>S151*J151</f>
        <v>1411.2</v>
      </c>
      <c r="U151" s="36"/>
      <c r="V151" s="204">
        <v>120</v>
      </c>
      <c r="W151" s="1198"/>
    </row>
    <row r="152" spans="2:23" s="159" customFormat="1" ht="15.6" customHeight="1">
      <c r="B152" s="1166"/>
      <c r="C152" s="149" t="s">
        <v>3985</v>
      </c>
      <c r="D152" s="150" t="s">
        <v>3846</v>
      </c>
      <c r="E152" s="174"/>
      <c r="F152" s="152"/>
      <c r="G152" s="152" t="s">
        <v>215</v>
      </c>
      <c r="H152" s="154" t="s">
        <v>2775</v>
      </c>
      <c r="I152" s="155"/>
      <c r="J152" s="153"/>
      <c r="K152" s="160">
        <v>0</v>
      </c>
      <c r="L152" s="157"/>
      <c r="M152" s="157"/>
      <c r="N152" s="157"/>
      <c r="O152" s="156"/>
      <c r="P152" s="149"/>
      <c r="Q152" s="759">
        <v>0</v>
      </c>
      <c r="S152" s="205">
        <v>0</v>
      </c>
      <c r="T152" s="165">
        <v>0</v>
      </c>
      <c r="U152" s="1165"/>
      <c r="V152" s="204">
        <v>120</v>
      </c>
      <c r="W152" s="760" t="e">
        <f>(((K152*V152)-S152)/(K152*V152))</f>
        <v>#DIV/0!</v>
      </c>
    </row>
    <row r="153" spans="2:23" s="7" customFormat="1" ht="15">
      <c r="B153" s="1166"/>
      <c r="C153" s="6" t="s">
        <v>3987</v>
      </c>
      <c r="D153" s="12" t="s">
        <v>3910</v>
      </c>
      <c r="E153" s="17" t="s">
        <v>3839</v>
      </c>
      <c r="F153" s="22"/>
      <c r="G153" s="20"/>
      <c r="H153" s="57"/>
      <c r="I153" s="58"/>
      <c r="J153" s="57"/>
      <c r="K153" s="14" t="s">
        <v>5</v>
      </c>
      <c r="L153" s="126"/>
      <c r="M153" s="31"/>
      <c r="N153" s="31"/>
      <c r="O153" s="30"/>
      <c r="P153" s="6" t="s">
        <v>3</v>
      </c>
      <c r="Q153" s="232"/>
      <c r="S153" s="36"/>
      <c r="U153" s="19"/>
      <c r="V153" s="204">
        <v>120</v>
      </c>
      <c r="W153" s="1198" t="e">
        <f>(((K153*V153)-S153)/(K153*V153))</f>
        <v>#VALUE!</v>
      </c>
    </row>
    <row r="154" spans="2:23" s="7" customFormat="1" ht="16.149999999999999" customHeight="1">
      <c r="B154" s="1166"/>
      <c r="C154" s="6" t="s">
        <v>3987</v>
      </c>
      <c r="D154" s="12" t="s">
        <v>3910</v>
      </c>
      <c r="E154" s="46" t="s">
        <v>3867</v>
      </c>
      <c r="F154" s="34"/>
      <c r="G154" s="34" t="s">
        <v>3875</v>
      </c>
      <c r="H154" s="103"/>
      <c r="I154" s="1164"/>
      <c r="J154" s="16">
        <v>30</v>
      </c>
      <c r="K154" s="36">
        <v>53.15</v>
      </c>
      <c r="L154" s="36">
        <f t="shared" ref="L154" si="150">K154*J154</f>
        <v>1594.5</v>
      </c>
      <c r="M154" s="112"/>
      <c r="N154" s="31"/>
      <c r="O154" s="30"/>
      <c r="P154" s="36">
        <f t="shared" ref="P154" si="151">K154*0.92</f>
        <v>48.898000000000003</v>
      </c>
      <c r="Q154" s="232">
        <v>48.9</v>
      </c>
      <c r="R154" s="233">
        <f t="shared" ref="R154" si="152">Q154*J154</f>
        <v>1467</v>
      </c>
      <c r="S154" s="36">
        <f t="shared" ref="S154" si="153">K154*0.84</f>
        <v>44.645999999999994</v>
      </c>
      <c r="T154" s="267">
        <f t="shared" ref="T154" si="154">S154*J154</f>
        <v>1339.3799999999999</v>
      </c>
      <c r="U154" s="36"/>
      <c r="V154" s="204">
        <v>120</v>
      </c>
      <c r="W154" s="1198"/>
    </row>
    <row r="155" spans="2:23" s="159" customFormat="1" ht="15.6" customHeight="1">
      <c r="B155" s="1166"/>
      <c r="C155" s="149" t="s">
        <v>3987</v>
      </c>
      <c r="D155" s="150" t="s">
        <v>3910</v>
      </c>
      <c r="E155" s="174"/>
      <c r="F155" s="152"/>
      <c r="G155" s="152" t="s">
        <v>215</v>
      </c>
      <c r="H155" s="154" t="s">
        <v>3864</v>
      </c>
      <c r="I155" s="155"/>
      <c r="J155" s="153"/>
      <c r="K155" s="1201" t="s">
        <v>1822</v>
      </c>
      <c r="L155" s="1201" t="s">
        <v>1822</v>
      </c>
      <c r="M155" s="157"/>
      <c r="N155" s="157"/>
      <c r="O155" s="156"/>
      <c r="P155" s="149"/>
      <c r="Q155" s="1201" t="s">
        <v>1822</v>
      </c>
      <c r="R155" s="1201" t="s">
        <v>1822</v>
      </c>
      <c r="S155" s="1201" t="s">
        <v>1822</v>
      </c>
      <c r="T155" s="1201" t="s">
        <v>1822</v>
      </c>
      <c r="U155" s="1165"/>
      <c r="V155" s="204">
        <v>120</v>
      </c>
      <c r="W155" s="760" t="e">
        <f>(((K155*V155)-S155)/(K155*V155))</f>
        <v>#VALUE!</v>
      </c>
    </row>
    <row r="325" spans="5:5" ht="18" customHeight="1">
      <c r="E325" s="1" ph="1"/>
    </row>
    <row r="326" spans="5:5" ht="18" customHeight="1">
      <c r="E326" s="1" ph="1"/>
    </row>
    <row r="327" spans="5:5" ht="18" customHeight="1">
      <c r="E327" s="1" ph="1"/>
    </row>
    <row r="328" spans="5:5" ht="18" customHeight="1">
      <c r="E328" s="1" ph="1"/>
    </row>
    <row r="329" spans="5:5" ht="18" customHeight="1">
      <c r="E329" s="1" ph="1"/>
    </row>
    <row r="515" spans="9:10" ht="18" customHeight="1">
      <c r="I515" s="1" ph="1"/>
      <c r="J515" s="1" ph="1"/>
    </row>
    <row r="516" spans="9:10" ht="18" customHeight="1">
      <c r="I516" s="1" ph="1"/>
      <c r="J516" s="1" ph="1"/>
    </row>
    <row r="529" spans="9:10" ht="18" customHeight="1">
      <c r="I529" s="1" ph="1"/>
      <c r="J529" s="1" ph="1"/>
    </row>
    <row r="543" spans="9:10" ht="18" customHeight="1">
      <c r="I543" s="1" ph="1"/>
      <c r="J543" s="1" ph="1"/>
    </row>
    <row r="551" spans="9:10" ht="18" customHeight="1">
      <c r="I551" s="1" ph="1"/>
      <c r="J551" s="1" ph="1"/>
    </row>
    <row r="589" spans="9:10" ht="18" customHeight="1">
      <c r="I589" s="1" ph="1"/>
      <c r="J589" s="1" ph="1"/>
    </row>
    <row r="596" spans="9:10" ht="18" customHeight="1">
      <c r="I596" s="1" ph="1"/>
      <c r="J596" s="1" ph="1"/>
    </row>
    <row r="632" spans="9:10" ht="18" customHeight="1">
      <c r="I632" s="1" ph="1"/>
      <c r="J632" s="1" ph="1"/>
    </row>
    <row r="647" spans="9:10" ht="18" customHeight="1">
      <c r="I647" s="1" ph="1"/>
      <c r="J647" s="1" ph="1"/>
    </row>
    <row r="772" spans="5:5" ht="18" customHeight="1">
      <c r="E772" s="1" ph="1"/>
    </row>
    <row r="856" spans="9:10" ht="18" customHeight="1">
      <c r="I856" s="1" ph="1"/>
      <c r="J856" s="1" ph="1"/>
    </row>
    <row r="870" spans="9:10" ht="18" customHeight="1">
      <c r="I870" s="1" ph="1"/>
      <c r="J870" s="1" ph="1"/>
    </row>
    <row r="876" spans="9:10" ht="18" customHeight="1">
      <c r="I876" s="1" ph="1"/>
      <c r="J876" s="1" ph="1"/>
    </row>
    <row r="916" spans="9:10" ht="18" customHeight="1">
      <c r="I916" s="1" ph="1"/>
      <c r="J916" s="1" ph="1"/>
    </row>
    <row r="923" spans="9:10" ht="18" customHeight="1">
      <c r="I923" s="1" ph="1"/>
      <c r="J923" s="1" ph="1"/>
    </row>
    <row r="980" spans="9:10" ht="18" customHeight="1">
      <c r="I980" s="1" ph="1"/>
      <c r="J980" s="1" ph="1"/>
    </row>
    <row r="991" spans="9:10" ht="18" customHeight="1">
      <c r="I991" s="1" ph="1"/>
      <c r="J991" s="1" ph="1"/>
    </row>
    <row r="992" spans="9:10" ht="18" customHeight="1">
      <c r="I992" s="1" ph="1"/>
      <c r="J992" s="1" ph="1"/>
    </row>
    <row r="995" spans="9:10" ht="18" customHeight="1">
      <c r="I995" s="1" ph="1"/>
      <c r="J995" s="1" ph="1"/>
    </row>
    <row r="998" spans="9:10" ht="18" customHeight="1">
      <c r="I998" s="1" ph="1"/>
      <c r="J998" s="1" ph="1"/>
    </row>
    <row r="1001" spans="9:10" ht="18" customHeight="1">
      <c r="I1001" s="1" ph="1"/>
      <c r="J1001" s="1" ph="1"/>
    </row>
    <row r="1073" spans="9:10" ht="18" customHeight="1">
      <c r="I1073" s="1" ph="1"/>
      <c r="J1073" s="1" ph="1"/>
    </row>
    <row r="1074" spans="9:10" ht="18" customHeight="1">
      <c r="I1074" s="1" ph="1"/>
      <c r="J1074" s="1" ph="1"/>
    </row>
    <row r="1078" spans="9:10" ht="18" customHeight="1">
      <c r="I1078" s="1" ph="1"/>
      <c r="J1078" s="1" ph="1"/>
    </row>
    <row r="1085" spans="9:10" ht="18" customHeight="1">
      <c r="I1085" s="1" ph="1"/>
      <c r="J1085" s="1" ph="1"/>
    </row>
    <row r="1090" spans="9:10" ht="18" customHeight="1">
      <c r="I1090" s="1" ph="1"/>
      <c r="J1090" s="1" ph="1"/>
    </row>
    <row r="1097" spans="9:10" ht="18" customHeight="1">
      <c r="I1097" s="1" ph="1"/>
      <c r="J1097" s="1" ph="1"/>
    </row>
    <row r="1140" spans="9:10" ht="18" customHeight="1">
      <c r="I1140" s="1" ph="1"/>
      <c r="J1140" s="1" ph="1"/>
    </row>
    <row r="1141" spans="9:10" ht="18" customHeight="1">
      <c r="I1141" s="1" ph="1"/>
      <c r="J1141" s="1" ph="1"/>
    </row>
    <row r="1173" spans="9:10" ht="18" customHeight="1">
      <c r="I1173" s="1" ph="1"/>
      <c r="J1173" s="1" ph="1"/>
    </row>
    <row r="1183" spans="9:10" ht="18" customHeight="1">
      <c r="I1183" s="1" ph="1"/>
      <c r="J1183" s="1" ph="1"/>
    </row>
    <row r="1190" spans="9:10" ht="18" customHeight="1">
      <c r="I1190" s="1" ph="1"/>
      <c r="J1190" s="1" ph="1"/>
    </row>
    <row r="1194" spans="9:10" ht="18" customHeight="1">
      <c r="I1194" s="1" ph="1"/>
      <c r="J1194" s="1" ph="1"/>
    </row>
    <row r="1198" spans="9:10" ht="18" customHeight="1">
      <c r="I1198" s="1" ph="1"/>
      <c r="J1198" s="1" ph="1"/>
    </row>
    <row r="1208" spans="9:10" ht="18" customHeight="1">
      <c r="I1208" s="1" ph="1"/>
      <c r="J1208" s="1" ph="1"/>
    </row>
    <row r="1209" spans="9:10" ht="18" customHeight="1">
      <c r="I1209" s="1" ph="1"/>
      <c r="J1209" s="1" ph="1"/>
    </row>
    <row r="1218" spans="9:10" ht="18" customHeight="1">
      <c r="I1218" s="1" ph="1"/>
      <c r="J1218" s="1" ph="1"/>
    </row>
    <row r="1227" spans="9:10" ht="18" customHeight="1">
      <c r="I1227" s="1" ph="1"/>
      <c r="J1227" s="1" ph="1"/>
    </row>
    <row r="1228" spans="9:10" ht="18" customHeight="1">
      <c r="I1228" s="1" ph="1"/>
      <c r="J1228" s="1" ph="1"/>
    </row>
    <row r="1283" spans="9:10" ht="18" customHeight="1">
      <c r="I1283" s="1" ph="1"/>
      <c r="J1283" s="1" ph="1"/>
    </row>
    <row r="1284" spans="9:10" ht="18" customHeight="1">
      <c r="I1284" s="1" ph="1"/>
      <c r="J1284" s="1" ph="1"/>
    </row>
    <row r="1287" spans="9:10" ht="18" customHeight="1">
      <c r="I1287" s="1" ph="1"/>
      <c r="J1287" s="1" ph="1"/>
    </row>
    <row r="1290" spans="9:10" ht="18" customHeight="1">
      <c r="I1290" s="1" ph="1"/>
      <c r="J1290" s="1" ph="1"/>
    </row>
    <row r="1292" spans="9:10" ht="18" customHeight="1">
      <c r="I1292" s="1" ph="1"/>
      <c r="J1292" s="1" ph="1"/>
    </row>
    <row r="1338" spans="9:10" ht="18" customHeight="1">
      <c r="I1338" s="1" ph="1"/>
      <c r="J1338" s="1" ph="1"/>
    </row>
    <row r="1341" spans="9:10" ht="18" customHeight="1">
      <c r="I1341" s="1" ph="1"/>
      <c r="J1341" s="1" ph="1"/>
    </row>
    <row r="1354" spans="9:10" ht="18" customHeight="1">
      <c r="I1354" s="1" ph="1"/>
      <c r="J1354" s="1" ph="1"/>
    </row>
    <row r="1370" spans="9:10" ht="18" customHeight="1">
      <c r="I1370" s="1" ph="1"/>
      <c r="J1370" s="1" ph="1"/>
    </row>
    <row r="1373" spans="9:10" ht="18" customHeight="1">
      <c r="I1373" s="1" ph="1"/>
      <c r="J1373" s="1" ph="1"/>
    </row>
    <row r="1385" spans="9:10" ht="18" customHeight="1">
      <c r="I1385" s="1" ph="1"/>
      <c r="J1385" s="1" ph="1"/>
    </row>
    <row r="1386" spans="9:10" ht="18" customHeight="1">
      <c r="I1386" s="1" ph="1"/>
      <c r="J1386" s="1" ph="1"/>
    </row>
    <row r="1389" spans="9:10" ht="18" customHeight="1">
      <c r="I1389" s="1" ph="1"/>
      <c r="J1389" s="1" ph="1"/>
    </row>
    <row r="1409" spans="9:10" ht="18" customHeight="1">
      <c r="I1409" s="1" ph="1"/>
      <c r="J1409" s="1" ph="1"/>
    </row>
    <row r="1438" spans="9:10" ht="18" customHeight="1">
      <c r="I1438" s="1" ph="1"/>
      <c r="J1438" s="1" ph="1"/>
    </row>
    <row r="1443" spans="9:10" ht="18" customHeight="1">
      <c r="I1443" s="1" ph="1"/>
      <c r="J1443" s="1" ph="1"/>
    </row>
    <row r="1452" spans="9:10" ht="18" customHeight="1">
      <c r="I1452" s="1" ph="1"/>
      <c r="J1452" s="1" ph="1"/>
    </row>
    <row r="1469" spans="9:10" ht="18" customHeight="1">
      <c r="I1469" s="1" ph="1"/>
      <c r="J1469" s="1" ph="1"/>
    </row>
    <row r="1501" spans="9:10" ht="18" customHeight="1">
      <c r="I1501" s="1" ph="1"/>
      <c r="J1501" s="1" ph="1"/>
    </row>
    <row r="1505" spans="9:10" ht="18" customHeight="1">
      <c r="I1505" s="1" ph="1"/>
      <c r="J1505" s="1" ph="1"/>
    </row>
    <row r="1530" spans="9:10" ht="18" customHeight="1">
      <c r="I1530" s="1" ph="1"/>
      <c r="J1530" s="1" ph="1"/>
    </row>
    <row r="1563" spans="9:10" ht="18" customHeight="1">
      <c r="I1563" s="1" ph="1"/>
      <c r="J1563" s="1" ph="1"/>
    </row>
    <row r="1630" spans="9:10" ht="18" customHeight="1">
      <c r="I1630" s="1" ph="1"/>
      <c r="J1630" s="1" ph="1"/>
    </row>
    <row r="1631" spans="9:10" ht="18" customHeight="1">
      <c r="I1631" s="1" ph="1"/>
      <c r="J1631" s="1" ph="1"/>
    </row>
    <row r="1635" spans="9:10" ht="18" customHeight="1">
      <c r="I1635" s="1" ph="1"/>
      <c r="J1635" s="1" ph="1"/>
    </row>
    <row r="1702" spans="9:10" ht="18" customHeight="1">
      <c r="I1702" s="1" ph="1"/>
      <c r="J1702" s="1" ph="1"/>
    </row>
    <row r="1715" spans="9:10" ht="18" customHeight="1">
      <c r="I1715" s="1" ph="1"/>
      <c r="J1715" s="1" ph="1"/>
    </row>
    <row r="1722" spans="9:10" ht="18" customHeight="1">
      <c r="I1722" s="1" ph="1"/>
      <c r="J1722" s="1" ph="1"/>
    </row>
    <row r="1723" spans="9:10" ht="18" customHeight="1">
      <c r="I1723" s="1" ph="1"/>
      <c r="J1723" s="1" ph="1"/>
    </row>
    <row r="1724" spans="9:10" ht="18" customHeight="1">
      <c r="I1724" s="1" ph="1"/>
      <c r="J1724" s="1" ph="1"/>
    </row>
    <row r="1732" spans="9:10" ht="18" customHeight="1">
      <c r="I1732" s="1" ph="1"/>
      <c r="J1732" s="1" ph="1"/>
    </row>
    <row r="1742" spans="9:10" ht="18" customHeight="1">
      <c r="I1742" s="1" ph="1"/>
      <c r="J1742" s="1" ph="1"/>
    </row>
    <row r="1749" spans="9:10" ht="18" customHeight="1">
      <c r="I1749" s="1" ph="1"/>
      <c r="J1749" s="1" ph="1"/>
    </row>
    <row r="1752" spans="9:10" ht="18" customHeight="1">
      <c r="I1752" s="1" ph="1"/>
      <c r="J1752" s="1" ph="1"/>
    </row>
    <row r="1753" spans="9:10" ht="18" customHeight="1">
      <c r="I1753" s="1" ph="1"/>
      <c r="J1753" s="1" ph="1"/>
    </row>
    <row r="1757" spans="9:10" ht="18" customHeight="1">
      <c r="I1757" s="1" ph="1"/>
      <c r="J1757" s="1" ph="1"/>
    </row>
    <row r="1760" spans="9:10" ht="18" customHeight="1">
      <c r="I1760" s="1" ph="1"/>
      <c r="J1760" s="1" ph="1"/>
    </row>
    <row r="1763" spans="9:10" ht="18" customHeight="1">
      <c r="I1763" s="1" ph="1"/>
      <c r="J1763" s="1" ph="1"/>
    </row>
    <row r="1783" spans="9:10" ht="18" customHeight="1">
      <c r="I1783" s="1" ph="1"/>
      <c r="J1783" s="1" ph="1"/>
    </row>
    <row r="1786" spans="9:10" ht="18" customHeight="1">
      <c r="I1786" s="1" ph="1"/>
      <c r="J1786" s="1" ph="1"/>
    </row>
    <row r="1796" spans="9:10" ht="18" customHeight="1">
      <c r="I1796" s="1" ph="1"/>
      <c r="J1796" s="1" ph="1"/>
    </row>
    <row r="1820" spans="9:10" ht="18" customHeight="1">
      <c r="I1820" s="1" ph="1"/>
      <c r="J1820" s="1" ph="1"/>
    </row>
    <row r="1823" spans="9:10" ht="18" customHeight="1">
      <c r="I1823" s="1" ph="1"/>
      <c r="J1823" s="1" ph="1"/>
    </row>
    <row r="1843" spans="9:10" ht="18" customHeight="1">
      <c r="I1843" s="1" ph="1"/>
      <c r="J1843" s="1" ph="1"/>
    </row>
    <row r="1858" spans="9:10" ht="18" customHeight="1">
      <c r="I1858" s="1" ph="1"/>
      <c r="J1858" s="1" ph="1"/>
    </row>
    <row r="1911" spans="9:10" ht="18" customHeight="1">
      <c r="I1911" s="1" ph="1"/>
      <c r="J1911" s="1" ph="1"/>
    </row>
    <row r="1927" spans="9:10" ht="18" customHeight="1">
      <c r="I1927" s="1" ph="1"/>
      <c r="J1927" s="1" ph="1"/>
    </row>
    <row r="1930" spans="9:10" ht="18" customHeight="1">
      <c r="I1930" s="1" ph="1"/>
      <c r="J1930" s="1" ph="1"/>
    </row>
    <row r="1933" spans="9:10" ht="18" customHeight="1">
      <c r="I1933" s="1" ph="1"/>
      <c r="J1933" s="1" ph="1"/>
    </row>
    <row r="1945" spans="9:10" ht="18" customHeight="1">
      <c r="I1945" s="1" ph="1"/>
      <c r="J1945" s="1" ph="1"/>
    </row>
    <row r="1949" spans="9:10" ht="18" customHeight="1">
      <c r="I1949" s="1" ph="1"/>
      <c r="J1949" s="1" ph="1"/>
    </row>
    <row r="2189" spans="9:10" ht="18" customHeight="1">
      <c r="I2189" s="1" ph="1"/>
      <c r="J2189" s="1" ph="1"/>
    </row>
    <row r="2193" spans="9:10" ht="18" customHeight="1">
      <c r="I2193" s="1" ph="1"/>
      <c r="J2193" s="1" ph="1"/>
    </row>
    <row r="2196" spans="9:10" ht="18" customHeight="1">
      <c r="I2196" s="1" ph="1"/>
      <c r="J2196" s="1" ph="1"/>
    </row>
    <row r="2197" spans="9:10" ht="18" customHeight="1">
      <c r="I2197" s="1" ph="1"/>
      <c r="J2197" s="1" ph="1"/>
    </row>
    <row r="2209" spans="9:10" ht="18" customHeight="1">
      <c r="I2209" s="1" ph="1"/>
      <c r="J2209" s="1" ph="1"/>
    </row>
    <row r="2217" spans="9:10" ht="18" customHeight="1">
      <c r="I2217" s="1" ph="1"/>
      <c r="J2217" s="1" ph="1"/>
    </row>
    <row r="2224" spans="9:10" ht="18" customHeight="1">
      <c r="I2224" s="1" ph="1"/>
      <c r="J2224" s="1" ph="1"/>
    </row>
    <row r="2230" spans="9:10" ht="18" customHeight="1">
      <c r="I2230" s="1" ph="1"/>
      <c r="J2230" s="1" ph="1"/>
    </row>
    <row r="2231" spans="9:10" ht="18" customHeight="1">
      <c r="I2231" s="1" ph="1"/>
      <c r="J2231" s="1" ph="1"/>
    </row>
    <row r="2253" spans="9:10" ht="18" customHeight="1">
      <c r="I2253" s="1" ph="1"/>
      <c r="J2253" s="1" ph="1"/>
    </row>
    <row r="2257" spans="9:10" ht="18" customHeight="1">
      <c r="I2257" s="1" ph="1"/>
      <c r="J2257" s="1" ph="1"/>
    </row>
    <row r="2261" spans="9:10" ht="18" customHeight="1">
      <c r="I2261" s="1" ph="1"/>
      <c r="J2261" s="1" ph="1"/>
    </row>
    <row r="2390" spans="9:10" ht="18" customHeight="1">
      <c r="I2390" s="1" ph="1"/>
      <c r="J2390" s="1" ph="1"/>
    </row>
    <row r="2393" spans="9:10" ht="18" customHeight="1">
      <c r="I2393" s="1" ph="1"/>
      <c r="J2393" s="1" ph="1"/>
    </row>
    <row r="2396" spans="9:10" ht="18" customHeight="1">
      <c r="I2396" s="1" ph="1"/>
      <c r="J2396" s="1" ph="1"/>
    </row>
    <row r="2404" spans="9:10" ht="18" customHeight="1">
      <c r="I2404" s="1" ph="1"/>
      <c r="J2404" s="1" ph="1"/>
    </row>
    <row r="2405" spans="9:10" ht="18" customHeight="1">
      <c r="I2405" s="1" ph="1"/>
      <c r="J2405" s="1" ph="1"/>
    </row>
    <row r="2410" spans="9:10" ht="18" customHeight="1">
      <c r="I2410" s="1" ph="1"/>
      <c r="J2410" s="1" ph="1"/>
    </row>
    <row r="2413" spans="9:10" ht="18" customHeight="1">
      <c r="I2413" s="1" ph="1"/>
      <c r="J2413" s="1" ph="1"/>
    </row>
    <row r="2432" spans="9:10" ht="18" customHeight="1">
      <c r="I2432" s="1" ph="1"/>
      <c r="J2432" s="1" ph="1"/>
    </row>
    <row r="2435" spans="9:10" ht="18" customHeight="1">
      <c r="I2435" s="1" ph="1"/>
      <c r="J2435" s="1" ph="1"/>
    </row>
    <row r="2438" spans="9:10" ht="18" customHeight="1">
      <c r="I2438" s="1" ph="1"/>
      <c r="J2438" s="1" ph="1"/>
    </row>
    <row r="2439" spans="9:10" ht="18" customHeight="1">
      <c r="I2439" s="1" ph="1"/>
      <c r="J2439" s="1" ph="1"/>
    </row>
    <row r="2541" spans="9:10" ht="18" customHeight="1">
      <c r="I2541" s="1" ph="1"/>
      <c r="J2541" s="1" ph="1"/>
    </row>
    <row r="2544" spans="9:10" ht="18" customHeight="1">
      <c r="I2544" s="1" ph="1"/>
      <c r="J2544" s="1" ph="1"/>
    </row>
    <row r="2548" spans="9:10" ht="18" customHeight="1">
      <c r="I2548" s="1" ph="1"/>
      <c r="J2548" s="1" ph="1"/>
    </row>
    <row r="2565" spans="9:10" ht="18" customHeight="1">
      <c r="I2565" s="1" ph="1"/>
      <c r="J2565" s="1" ph="1"/>
    </row>
    <row r="2569" spans="9:10" ht="18" customHeight="1">
      <c r="I2569" s="1" ph="1"/>
      <c r="J2569" s="1" ph="1"/>
    </row>
    <row r="2573" spans="9:10" ht="18" customHeight="1">
      <c r="I2573" s="1" ph="1"/>
      <c r="J2573" s="1" ph="1"/>
    </row>
    <row r="2578" spans="9:10" ht="18" customHeight="1">
      <c r="I2578" s="1" ph="1"/>
      <c r="J2578" s="1" ph="1"/>
    </row>
    <row r="2764" spans="9:10" ht="18" customHeight="1">
      <c r="I2764" s="1" ph="1"/>
      <c r="J2764" s="1" ph="1"/>
    </row>
    <row r="2771" spans="9:10" ht="18" customHeight="1">
      <c r="I2771" s="1" ph="1"/>
      <c r="J2771" s="1" ph="1"/>
    </row>
    <row r="2775" spans="9:10" ht="18" customHeight="1">
      <c r="I2775" s="1" ph="1"/>
      <c r="J2775" s="1" ph="1"/>
    </row>
    <row r="2830" spans="9:10" ht="18" customHeight="1">
      <c r="I2830" s="1" ph="1"/>
      <c r="J2830" s="1" ph="1"/>
    </row>
    <row r="2831" spans="9:10" ht="18" customHeight="1">
      <c r="I2831" s="1" ph="1"/>
      <c r="J2831" s="1" ph="1"/>
    </row>
    <row r="2870" spans="9:10" ht="18" customHeight="1">
      <c r="I2870" s="1" ph="1"/>
      <c r="J2870" s="1" ph="1"/>
    </row>
    <row r="2875" spans="9:10" ht="18" customHeight="1">
      <c r="I2875" s="1" ph="1"/>
      <c r="J2875" s="1" ph="1"/>
    </row>
    <row r="2887" spans="9:10" ht="18" customHeight="1">
      <c r="I2887" s="1" ph="1"/>
      <c r="J2887" s="1" ph="1"/>
    </row>
    <row r="2888" spans="9:10" ht="18" customHeight="1">
      <c r="I2888" s="1" ph="1"/>
      <c r="J2888" s="1" ph="1"/>
    </row>
    <row r="2891" spans="9:10" ht="18" customHeight="1">
      <c r="I2891" s="1" ph="1"/>
      <c r="J2891" s="1" ph="1"/>
    </row>
    <row r="2894" spans="9:10" ht="18" customHeight="1">
      <c r="I2894" s="1" ph="1"/>
      <c r="J2894" s="1" ph="1"/>
    </row>
    <row r="2908" spans="9:10" ht="18" customHeight="1">
      <c r="I2908" s="1" ph="1"/>
      <c r="J2908" s="1" ph="1"/>
    </row>
    <row r="2909" spans="9:10" ht="18" customHeight="1">
      <c r="I2909" s="1" ph="1"/>
      <c r="J2909" s="1" ph="1"/>
    </row>
    <row r="2912" spans="9:10" ht="18" customHeight="1">
      <c r="I2912" s="1" ph="1"/>
      <c r="J2912" s="1" ph="1"/>
    </row>
    <row r="2917" spans="9:10" ht="18" customHeight="1">
      <c r="I2917" s="1" ph="1"/>
      <c r="J2917" s="1" ph="1"/>
    </row>
    <row r="2938" spans="9:10" ht="18" customHeight="1">
      <c r="I2938" s="1" ph="1"/>
      <c r="J2938" s="1" ph="1"/>
    </row>
    <row r="2941" spans="9:10" ht="18" customHeight="1">
      <c r="I2941" s="1" ph="1"/>
      <c r="J2941" s="1" ph="1"/>
    </row>
    <row r="2971" spans="9:10" ht="18" customHeight="1">
      <c r="I2971" s="1" ph="1"/>
      <c r="J2971" s="1" ph="1"/>
    </row>
    <row r="3076" spans="9:10" ht="18" customHeight="1">
      <c r="I3076" s="1" ph="1"/>
      <c r="J3076" s="1" ph="1"/>
    </row>
    <row r="3079" spans="9:10" ht="18" customHeight="1">
      <c r="I3079" s="1" ph="1"/>
      <c r="J3079" s="1" ph="1"/>
    </row>
    <row r="3153" spans="9:10" ht="18" customHeight="1">
      <c r="I3153" s="1" ph="1"/>
      <c r="J3153" s="1" ph="1"/>
    </row>
    <row r="3196" spans="9:10" ht="18" customHeight="1">
      <c r="I3196" s="1" ph="1"/>
      <c r="J3196" s="1" ph="1"/>
    </row>
    <row r="3260" spans="9:10" ht="18" customHeight="1">
      <c r="I3260" s="1" ph="1"/>
      <c r="J3260" s="1" ph="1"/>
    </row>
    <row r="3267" spans="9:10" ht="18" customHeight="1">
      <c r="I3267" s="1" ph="1"/>
      <c r="J3267" s="1" ph="1"/>
    </row>
    <row r="3282" spans="9:10" ht="18" customHeight="1">
      <c r="I3282" s="1" ph="1"/>
      <c r="J3282" s="1" ph="1"/>
    </row>
    <row r="3285" spans="9:10" ht="18" customHeight="1">
      <c r="I3285" s="1" ph="1"/>
      <c r="J3285" s="1" ph="1"/>
    </row>
    <row r="3293" spans="9:10" ht="18" customHeight="1">
      <c r="I3293" s="1" ph="1"/>
      <c r="J3293" s="1" ph="1"/>
    </row>
    <row r="3343" spans="9:10" ht="18" customHeight="1">
      <c r="I3343" s="1" ph="1"/>
      <c r="J3343" s="1" ph="1"/>
    </row>
    <row r="3410" spans="9:10" ht="18" customHeight="1">
      <c r="I3410" s="1" ph="1"/>
      <c r="J3410" s="1" ph="1"/>
    </row>
    <row r="3425" spans="9:10" ht="18" customHeight="1">
      <c r="I3425" s="1" ph="1"/>
      <c r="J3425" s="1" ph="1"/>
    </row>
    <row r="3436" spans="9:10" ht="18" customHeight="1">
      <c r="I3436" s="1" ph="1"/>
      <c r="J3436" s="1" ph="1"/>
    </row>
    <row r="3437" spans="9:10" ht="18" customHeight="1">
      <c r="I3437" s="1" ph="1"/>
      <c r="J3437" s="1" ph="1"/>
    </row>
    <row r="3440" spans="9:10" ht="18" customHeight="1">
      <c r="I3440" s="1" ph="1"/>
      <c r="J3440" s="1" ph="1"/>
    </row>
    <row r="3444" spans="9:10" ht="18" customHeight="1">
      <c r="I3444" s="1" ph="1"/>
      <c r="J3444" s="1" ph="1"/>
    </row>
    <row r="3482" spans="9:10" ht="18" customHeight="1">
      <c r="I3482" s="1" ph="1"/>
      <c r="J3482" s="1" ph="1"/>
    </row>
    <row r="3513" spans="9:10" ht="18" customHeight="1">
      <c r="I3513" s="1" ph="1"/>
      <c r="J3513" s="1" ph="1"/>
    </row>
    <row r="3579" spans="9:10" ht="18" customHeight="1">
      <c r="I3579" s="1" ph="1"/>
      <c r="J3579" s="1" ph="1"/>
    </row>
    <row r="3580" spans="9:10" ht="18" customHeight="1">
      <c r="I3580" s="1" ph="1"/>
      <c r="J3580" s="1" ph="1"/>
    </row>
    <row r="3599" spans="9:10" ht="18" customHeight="1">
      <c r="I3599" s="1" ph="1"/>
      <c r="J3599" s="1" ph="1"/>
    </row>
    <row r="3618" spans="9:10" ht="18" customHeight="1">
      <c r="I3618" s="1" ph="1"/>
      <c r="J3618" s="1" ph="1"/>
    </row>
    <row r="3625" spans="9:10" ht="18" customHeight="1">
      <c r="I3625" s="1" ph="1"/>
      <c r="J3625" s="1" ph="1"/>
    </row>
    <row r="3721" spans="9:9" ht="18" customHeight="1">
      <c r="I3721" s="1" ph="1"/>
    </row>
    <row r="3725" spans="9:9" ht="18" customHeight="1">
      <c r="I3725" s="1" ph="1"/>
    </row>
    <row r="3728" spans="9:9" ht="18" customHeight="1">
      <c r="I3728" s="1" ph="1"/>
    </row>
    <row r="3741" spans="9:9" ht="18" customHeight="1">
      <c r="I3741" s="1" ph="1"/>
    </row>
    <row r="3752" spans="9:9" ht="18" customHeight="1">
      <c r="I3752" s="1" ph="1"/>
    </row>
    <row r="3756" spans="9:9" ht="18" customHeight="1">
      <c r="I3756" s="1" ph="1"/>
    </row>
    <row r="3765" spans="9:9" ht="18" customHeight="1">
      <c r="I3765" s="1" ph="1"/>
    </row>
    <row r="3768" spans="9:9" ht="18" customHeight="1">
      <c r="I3768" s="1" ph="1"/>
    </row>
    <row r="3794" spans="9:9" ht="18" customHeight="1">
      <c r="I3794" s="1" ph="1"/>
    </row>
    <row r="3795" spans="9:9" ht="18" customHeight="1">
      <c r="I3795" s="1" ph="1"/>
    </row>
    <row r="3813" spans="9:9" ht="18" customHeight="1">
      <c r="I3813" s="1" ph="1"/>
    </row>
    <row r="3818" spans="9:9" ht="18" customHeight="1">
      <c r="I3818" s="1" ph="1"/>
    </row>
    <row r="3832" spans="9:9" ht="18" customHeight="1">
      <c r="I3832" s="1" ph="1"/>
    </row>
    <row r="3861" spans="9:9" ht="18" customHeight="1">
      <c r="I3861" s="1" ph="1"/>
    </row>
    <row r="3957" spans="9:9" ht="18" customHeight="1">
      <c r="I3957" s="1" ph="1"/>
    </row>
    <row r="3963" spans="9:9" ht="18" customHeight="1">
      <c r="I3963" s="1" ph="1"/>
    </row>
    <row r="3964" spans="9:9" ht="18" customHeight="1">
      <c r="I3964" s="1" ph="1"/>
    </row>
    <row r="3980" spans="9:9" ht="18" customHeight="1">
      <c r="I3980" s="1" ph="1"/>
    </row>
    <row r="3984" spans="9:9" ht="18" customHeight="1">
      <c r="I3984" s="1" ph="1"/>
    </row>
    <row r="3988" spans="9:9" ht="18" customHeight="1">
      <c r="I3988" s="1" ph="1"/>
    </row>
    <row r="3997" spans="9:9" ht="18" customHeight="1">
      <c r="I3997" s="1" ph="1"/>
    </row>
    <row r="4012" spans="9:9" ht="18" customHeight="1">
      <c r="I4012" s="1" ph="1"/>
    </row>
    <row r="4013" spans="9:9" ht="18" customHeight="1">
      <c r="I4013" s="1" ph="1"/>
    </row>
    <row r="4014" spans="9:9" ht="18" customHeight="1">
      <c r="I4014" s="1" ph="1"/>
    </row>
    <row r="4015" spans="9:9" ht="18" customHeight="1">
      <c r="I4015" s="1" ph="1"/>
    </row>
    <row r="4023" spans="9:9" ht="18" customHeight="1">
      <c r="I4023" s="1" ph="1"/>
    </row>
    <row r="4054" spans="9:9" ht="18" customHeight="1">
      <c r="I4054" s="1" ph="1"/>
    </row>
    <row r="4058" spans="9:9" ht="18" customHeight="1">
      <c r="I4058" s="1" ph="1"/>
    </row>
    <row r="4074" spans="9:9" ht="18" customHeight="1">
      <c r="I4074" s="1" ph="1"/>
    </row>
    <row r="4173" spans="9:9" ht="18" customHeight="1">
      <c r="I4173" s="1" ph="1"/>
    </row>
    <row r="4218" spans="9:9" ht="18" customHeight="1">
      <c r="I4218" s="1" ph="1"/>
    </row>
    <row r="4219" spans="9:9" ht="18" customHeight="1">
      <c r="I4219" s="1" ph="1"/>
    </row>
    <row r="4223" spans="9:9" ht="18" customHeight="1">
      <c r="I4223" s="1" ph="1"/>
    </row>
    <row r="4263" spans="9:9" ht="18" customHeight="1">
      <c r="I4263" s="1" ph="1"/>
    </row>
    <row r="4264" spans="9:9" ht="18" customHeight="1">
      <c r="I4264" s="1" ph="1"/>
    </row>
    <row r="4341" spans="9:9" ht="18" customHeight="1">
      <c r="I4341" s="1" ph="1"/>
    </row>
    <row r="4346" spans="9:9" ht="18" customHeight="1">
      <c r="I4346" s="1" ph="1"/>
    </row>
    <row r="4375" spans="9:9" ht="18" customHeight="1">
      <c r="I4375" s="1" ph="1"/>
    </row>
    <row r="4378" spans="9:9" ht="18" customHeight="1">
      <c r="I4378" s="1" ph="1"/>
    </row>
    <row r="4382" spans="9:9" ht="18" customHeight="1">
      <c r="I4382" s="1" ph="1"/>
    </row>
    <row r="4397" spans="9:9" ht="18" customHeight="1">
      <c r="I4397" s="1" ph="1"/>
    </row>
    <row r="4450" spans="9:9" ht="18" customHeight="1">
      <c r="I4450" s="1" ph="1"/>
    </row>
    <row r="4462" spans="9:9" ht="18" customHeight="1">
      <c r="I4462" s="1" ph="1"/>
    </row>
    <row r="4563" spans="9:9" ht="18" customHeight="1">
      <c r="I4563" s="1" ph="1"/>
    </row>
    <row r="4569" spans="9:9" ht="18" customHeight="1">
      <c r="I4569" s="1" ph="1"/>
    </row>
    <row r="4605" spans="9:9" ht="18" customHeight="1">
      <c r="I4605" s="1" ph="1"/>
    </row>
    <row r="4660" spans="9:9" ht="18" customHeight="1">
      <c r="I4660" s="1" ph="1"/>
    </row>
    <row r="4661" spans="9:9" ht="18" customHeight="1">
      <c r="I4661" s="1" ph="1"/>
    </row>
    <row r="4753" spans="9:9" ht="18" customHeight="1">
      <c r="I4753" s="1" ph="1"/>
    </row>
    <row r="4766" spans="9:9" ht="18" customHeight="1">
      <c r="I4766" s="1" ph="1"/>
    </row>
    <row r="4805" spans="9:9" ht="18" customHeight="1">
      <c r="I4805" s="1" ph="1"/>
    </row>
    <row r="4847" spans="9:9" ht="18" customHeight="1">
      <c r="I4847" s="1" ph="1"/>
    </row>
    <row r="4855" spans="9:9" ht="18" customHeight="1">
      <c r="I4855" s="1" ph="1"/>
    </row>
    <row r="4894" spans="9:9" ht="18" customHeight="1">
      <c r="I4894" s="1" ph="1"/>
    </row>
    <row r="4965" spans="9:9" ht="18" customHeight="1">
      <c r="I4965" s="1" ph="1"/>
    </row>
    <row r="4971" spans="9:9" ht="18" customHeight="1">
      <c r="I4971" s="1" ph="1"/>
    </row>
    <row r="5119" spans="9:9" ht="18" customHeight="1">
      <c r="I5119" s="1" ph="1"/>
    </row>
    <row r="5123" spans="9:9" ht="18" customHeight="1">
      <c r="I5123" s="1" ph="1"/>
    </row>
    <row r="5124" spans="9:9" ht="18" customHeight="1">
      <c r="I5124" s="1" ph="1"/>
    </row>
    <row r="5151" spans="9:9" ht="18" customHeight="1">
      <c r="I5151" s="1" ph="1"/>
    </row>
    <row r="5196" spans="9:9" ht="18" customHeight="1">
      <c r="I5196" s="1" ph="1"/>
    </row>
    <row r="5208" spans="9:9" ht="18" customHeight="1">
      <c r="I5208" s="1" ph="1"/>
    </row>
    <row r="5212" spans="9:9" ht="18" customHeight="1">
      <c r="I5212" s="1" ph="1"/>
    </row>
    <row r="5213" spans="9:9" ht="18" customHeight="1">
      <c r="I5213" s="1" ph="1"/>
    </row>
    <row r="5214" spans="9:9" ht="18" customHeight="1">
      <c r="I5214" s="1" ph="1"/>
    </row>
    <row r="5215" spans="9:9" ht="18" customHeight="1">
      <c r="I5215" s="1" ph="1"/>
    </row>
    <row r="5216" spans="9:9" ht="18" customHeight="1">
      <c r="I5216" s="1" ph="1"/>
    </row>
    <row r="5218" spans="9:9" ht="18" customHeight="1">
      <c r="I5218" s="1" ph="1"/>
    </row>
    <row r="5219" spans="9:9" ht="18" customHeight="1">
      <c r="I5219" s="1" ph="1"/>
    </row>
    <row r="5220" spans="9:9" ht="18" customHeight="1">
      <c r="I5220" s="1" ph="1"/>
    </row>
    <row r="5221" spans="9:9" ht="18" customHeight="1">
      <c r="I5221" s="1" ph="1"/>
    </row>
    <row r="5222" spans="9:9" ht="18" customHeight="1">
      <c r="I5222" s="1" ph="1"/>
    </row>
    <row r="5224" spans="9:9" ht="18" customHeight="1">
      <c r="I5224" s="1" ph="1"/>
    </row>
    <row r="5228" spans="9:9" ht="18" customHeight="1">
      <c r="I5228" s="1" ph="1"/>
    </row>
    <row r="5229" spans="9:9" ht="18" customHeight="1">
      <c r="I5229" s="1" ph="1"/>
    </row>
    <row r="5230" spans="9:9" ht="18" customHeight="1">
      <c r="I5230" s="1" ph="1"/>
    </row>
    <row r="5232" spans="9:9" ht="18" customHeight="1">
      <c r="I5232" s="1" ph="1"/>
    </row>
    <row r="5234" spans="9:9" ht="18" customHeight="1">
      <c r="I5234" s="1" ph="1"/>
    </row>
    <row r="5235" spans="9:9" ht="18" customHeight="1">
      <c r="I5235" s="1" ph="1"/>
    </row>
    <row r="5236" spans="9:9" ht="18" customHeight="1">
      <c r="I5236" s="1" ph="1"/>
    </row>
    <row r="5238" spans="9:9" ht="18" customHeight="1">
      <c r="I5238" s="1" ph="1"/>
    </row>
    <row r="5239" spans="9:9" ht="18" customHeight="1">
      <c r="I5239" s="1" ph="1"/>
    </row>
    <row r="5240" spans="9:9" ht="18" customHeight="1">
      <c r="I5240" s="1" ph="1"/>
    </row>
    <row r="5241" spans="9:9" ht="18" customHeight="1">
      <c r="I5241" s="1" ph="1"/>
    </row>
    <row r="5242" spans="9:9" ht="18" customHeight="1">
      <c r="I5242" s="1" ph="1"/>
    </row>
    <row r="5244" spans="9:9" ht="18" customHeight="1">
      <c r="I5244" s="1" ph="1"/>
    </row>
    <row r="5246" spans="9:9" ht="18" customHeight="1">
      <c r="I5246" s="1" ph="1"/>
    </row>
    <row r="5248" spans="9:9" ht="18" customHeight="1">
      <c r="I5248" s="1" ph="1"/>
    </row>
    <row r="5249" spans="9:9" ht="18" customHeight="1">
      <c r="I5249" s="1" ph="1"/>
    </row>
    <row r="5250" spans="9:9" ht="18" customHeight="1">
      <c r="I5250" s="1" ph="1"/>
    </row>
    <row r="5252" spans="9:9" ht="18" customHeight="1">
      <c r="I5252" s="1" ph="1"/>
    </row>
    <row r="5253" spans="9:9" ht="18" customHeight="1">
      <c r="I5253" s="1" ph="1"/>
    </row>
    <row r="5254" spans="9:9" ht="18" customHeight="1">
      <c r="I5254" s="1" ph="1"/>
    </row>
    <row r="5255" spans="9:9" ht="18" customHeight="1">
      <c r="I5255" s="1" ph="1"/>
    </row>
    <row r="5256" spans="9:9" ht="18" customHeight="1">
      <c r="I5256" s="1" ph="1"/>
    </row>
    <row r="5257" spans="9:9" ht="18" customHeight="1">
      <c r="I5257" s="1" ph="1"/>
    </row>
    <row r="5258" spans="9:9" ht="18" customHeight="1">
      <c r="I5258" s="1" ph="1"/>
    </row>
    <row r="5259" spans="9:9" ht="18" customHeight="1">
      <c r="I5259" s="1" ph="1"/>
    </row>
    <row r="5260" spans="9:9" ht="18" customHeight="1">
      <c r="I5260" s="1" ph="1"/>
    </row>
    <row r="5262" spans="9:9" ht="18" customHeight="1">
      <c r="I5262" s="1" ph="1"/>
    </row>
    <row r="5264" spans="9:9" ht="18" customHeight="1">
      <c r="I5264" s="1" ph="1"/>
    </row>
    <row r="5265" spans="9:9" ht="18" customHeight="1">
      <c r="I5265" s="1" ph="1"/>
    </row>
    <row r="5266" spans="9:9" ht="18" customHeight="1">
      <c r="I5266" s="1" ph="1"/>
    </row>
    <row r="5267" spans="9:9" ht="18" customHeight="1">
      <c r="I5267" s="1" ph="1"/>
    </row>
    <row r="5268" spans="9:9" ht="18" customHeight="1">
      <c r="I5268" s="1" ph="1"/>
    </row>
    <row r="5269" spans="9:9" ht="18" customHeight="1">
      <c r="I5269" s="1" ph="1"/>
    </row>
    <row r="5270" spans="9:9" ht="18" customHeight="1">
      <c r="I5270" s="1" ph="1"/>
    </row>
    <row r="5271" spans="9:9" ht="18" customHeight="1">
      <c r="I5271" s="1" ph="1"/>
    </row>
    <row r="5272" spans="9:9" ht="18" customHeight="1">
      <c r="I5272" s="1" ph="1"/>
    </row>
    <row r="5273" spans="9:9" ht="18" customHeight="1">
      <c r="I5273" s="1" ph="1"/>
    </row>
    <row r="5274" spans="9:9" ht="18" customHeight="1">
      <c r="I5274" s="1" ph="1"/>
    </row>
    <row r="5275" spans="9:9" ht="18" customHeight="1">
      <c r="I5275" s="1" ph="1"/>
    </row>
    <row r="5276" spans="9:9" ht="18" customHeight="1">
      <c r="I5276" s="1" ph="1"/>
    </row>
    <row r="5277" spans="9:9" ht="18" customHeight="1">
      <c r="I5277" s="1" ph="1"/>
    </row>
    <row r="5278" spans="9:9" ht="18" customHeight="1">
      <c r="I5278" s="1" ph="1"/>
    </row>
    <row r="5279" spans="9:9" ht="18" customHeight="1">
      <c r="I5279" s="1" ph="1"/>
    </row>
    <row r="5280" spans="9:9" ht="18" customHeight="1">
      <c r="I5280" s="1" ph="1"/>
    </row>
    <row r="5281" spans="9:9" ht="18" customHeight="1">
      <c r="I5281" s="1" ph="1"/>
    </row>
    <row r="5282" spans="9:9" ht="18" customHeight="1">
      <c r="I5282" s="1" ph="1"/>
    </row>
    <row r="5283" spans="9:9" ht="18" customHeight="1">
      <c r="I5283" s="1" ph="1"/>
    </row>
    <row r="5284" spans="9:9" ht="18" customHeight="1">
      <c r="I5284" s="1" ph="1"/>
    </row>
    <row r="5285" spans="9:9" ht="18" customHeight="1">
      <c r="I5285" s="1" ph="1"/>
    </row>
    <row r="5286" spans="9:9" ht="18" customHeight="1">
      <c r="I5286" s="1" ph="1"/>
    </row>
    <row r="5287" spans="9:9" ht="18" customHeight="1">
      <c r="I5287" s="1" ph="1"/>
    </row>
    <row r="5288" spans="9:9" ht="18" customHeight="1">
      <c r="I5288" s="1" ph="1"/>
    </row>
    <row r="5289" spans="9:9" ht="18" customHeight="1">
      <c r="I5289" s="1" ph="1"/>
    </row>
    <row r="5290" spans="9:9" ht="18" customHeight="1">
      <c r="I5290" s="1" ph="1"/>
    </row>
    <row r="5291" spans="9:9" ht="18" customHeight="1">
      <c r="I5291" s="1" ph="1"/>
    </row>
    <row r="5292" spans="9:9" ht="18" customHeight="1">
      <c r="I5292" s="1" ph="1"/>
    </row>
    <row r="5293" spans="9:9" ht="18" customHeight="1">
      <c r="I5293" s="1" ph="1"/>
    </row>
    <row r="5294" spans="9:9" ht="18" customHeight="1">
      <c r="I5294" s="1" ph="1"/>
    </row>
    <row r="5295" spans="9:9" ht="18" customHeight="1">
      <c r="I5295" s="1" ph="1"/>
    </row>
    <row r="5296" spans="9:9" ht="18" customHeight="1">
      <c r="I5296" s="1" ph="1"/>
    </row>
    <row r="5297" spans="9:9" ht="18" customHeight="1">
      <c r="I5297" s="1" ph="1"/>
    </row>
    <row r="5298" spans="9:9" ht="18" customHeight="1">
      <c r="I5298" s="1" ph="1"/>
    </row>
    <row r="5299" spans="9:9" ht="18" customHeight="1">
      <c r="I5299" s="1" ph="1"/>
    </row>
    <row r="5300" spans="9:9" ht="18" customHeight="1">
      <c r="I5300" s="1" ph="1"/>
    </row>
    <row r="5301" spans="9:9" ht="18" customHeight="1">
      <c r="I5301" s="1" ph="1"/>
    </row>
    <row r="5302" spans="9:9" ht="18" customHeight="1">
      <c r="I5302" s="1" ph="1"/>
    </row>
    <row r="5303" spans="9:9" ht="18" customHeight="1">
      <c r="I5303" s="1" ph="1"/>
    </row>
    <row r="5304" spans="9:9" ht="18" customHeight="1">
      <c r="I5304" s="1" ph="1"/>
    </row>
    <row r="5305" spans="9:9" ht="18" customHeight="1">
      <c r="I5305" s="1" ph="1"/>
    </row>
    <row r="5306" spans="9:9" ht="18" customHeight="1">
      <c r="I5306" s="1" ph="1"/>
    </row>
    <row r="5307" spans="9:9" ht="18" customHeight="1">
      <c r="I5307" s="1" ph="1"/>
    </row>
    <row r="5308" spans="9:9" ht="18" customHeight="1">
      <c r="I5308" s="1" ph="1"/>
    </row>
    <row r="5309" spans="9:9" ht="18" customHeight="1">
      <c r="I5309" s="1" ph="1"/>
    </row>
    <row r="5310" spans="9:9" ht="18" customHeight="1">
      <c r="I5310" s="1" ph="1"/>
    </row>
    <row r="5311" spans="9:9" ht="18" customHeight="1">
      <c r="I5311" s="1" ph="1"/>
    </row>
    <row r="5312" spans="9:9" ht="18" customHeight="1">
      <c r="I5312" s="1" ph="1"/>
    </row>
    <row r="5313" spans="9:9" ht="18" customHeight="1">
      <c r="I5313" s="1" ph="1"/>
    </row>
    <row r="5314" spans="9:9" ht="18" customHeight="1">
      <c r="I5314" s="1" ph="1"/>
    </row>
    <row r="5315" spans="9:9" ht="18" customHeight="1">
      <c r="I5315" s="1" ph="1"/>
    </row>
    <row r="5316" spans="9:9" ht="18" customHeight="1">
      <c r="I5316" s="1" ph="1"/>
    </row>
    <row r="5317" spans="9:9" ht="18" customHeight="1">
      <c r="I5317" s="1" ph="1"/>
    </row>
    <row r="5318" spans="9:9" ht="18" customHeight="1">
      <c r="I5318" s="1" ph="1"/>
    </row>
    <row r="5319" spans="9:9" ht="18" customHeight="1">
      <c r="I5319" s="1" ph="1"/>
    </row>
    <row r="5320" spans="9:9" ht="18" customHeight="1">
      <c r="I5320" s="1" ph="1"/>
    </row>
    <row r="5321" spans="9:9" ht="18" customHeight="1">
      <c r="I5321" s="1" ph="1"/>
    </row>
    <row r="5322" spans="9:9" ht="18" customHeight="1">
      <c r="I5322" s="1" ph="1"/>
    </row>
    <row r="5323" spans="9:9" ht="18" customHeight="1">
      <c r="I5323" s="1" ph="1"/>
    </row>
    <row r="5324" spans="9:9" ht="18" customHeight="1">
      <c r="I5324" s="1" ph="1"/>
    </row>
    <row r="5325" spans="9:9" ht="18" customHeight="1">
      <c r="I5325" s="1" ph="1"/>
    </row>
    <row r="5326" spans="9:9" ht="18" customHeight="1">
      <c r="I5326" s="1" ph="1"/>
    </row>
    <row r="5327" spans="9:9" ht="18" customHeight="1">
      <c r="I5327" s="1" ph="1"/>
    </row>
    <row r="5328" spans="9:9" ht="18" customHeight="1">
      <c r="I5328" s="1" ph="1"/>
    </row>
    <row r="5329" spans="9:9" ht="18" customHeight="1">
      <c r="I5329" s="1" ph="1"/>
    </row>
    <row r="5330" spans="9:9" ht="18" customHeight="1">
      <c r="I5330" s="1" ph="1"/>
    </row>
    <row r="5331" spans="9:9" ht="18" customHeight="1">
      <c r="I5331" s="1" ph="1"/>
    </row>
    <row r="5332" spans="9:9" ht="18" customHeight="1">
      <c r="I5332" s="1" ph="1"/>
    </row>
    <row r="5333" spans="9:9" ht="18" customHeight="1">
      <c r="I5333" s="1" ph="1"/>
    </row>
    <row r="5334" spans="9:9" ht="18" customHeight="1">
      <c r="I5334" s="1" ph="1"/>
    </row>
    <row r="5335" spans="9:9" ht="18" customHeight="1">
      <c r="I5335" s="1" ph="1"/>
    </row>
    <row r="5336" spans="9:9" ht="18" customHeight="1">
      <c r="I5336" s="1" ph="1"/>
    </row>
    <row r="5337" spans="9:9" ht="18" customHeight="1">
      <c r="I5337" s="1" ph="1"/>
    </row>
    <row r="5338" spans="9:9" ht="18" customHeight="1">
      <c r="I5338" s="1" ph="1"/>
    </row>
    <row r="5339" spans="9:9" ht="18" customHeight="1">
      <c r="I5339" s="1" ph="1"/>
    </row>
    <row r="5340" spans="9:9" ht="18" customHeight="1">
      <c r="I5340" s="1" ph="1"/>
    </row>
    <row r="5341" spans="9:9" ht="18" customHeight="1">
      <c r="I5341" s="1" ph="1"/>
    </row>
    <row r="5342" spans="9:9" ht="18" customHeight="1">
      <c r="I5342" s="1" ph="1"/>
    </row>
    <row r="5343" spans="9:9" ht="18" customHeight="1">
      <c r="I5343" s="1" ph="1"/>
    </row>
    <row r="5344" spans="9:9" ht="18" customHeight="1">
      <c r="I5344" s="1" ph="1"/>
    </row>
    <row r="5345" spans="9:9" ht="18" customHeight="1">
      <c r="I5345" s="1" ph="1"/>
    </row>
    <row r="5346" spans="9:9" ht="18" customHeight="1">
      <c r="I5346" s="1" ph="1"/>
    </row>
    <row r="5347" spans="9:9" ht="18" customHeight="1">
      <c r="I5347" s="1" ph="1"/>
    </row>
    <row r="5348" spans="9:9" ht="18" customHeight="1">
      <c r="I5348" s="1" ph="1"/>
    </row>
    <row r="5349" spans="9:9" ht="18" customHeight="1">
      <c r="I5349" s="1" ph="1"/>
    </row>
    <row r="5350" spans="9:9" ht="18" customHeight="1">
      <c r="I5350" s="1" ph="1"/>
    </row>
    <row r="5351" spans="9:9" ht="18" customHeight="1">
      <c r="I5351" s="1" ph="1"/>
    </row>
    <row r="5352" spans="9:9" ht="18" customHeight="1">
      <c r="I5352" s="1" ph="1"/>
    </row>
    <row r="5353" spans="9:9" ht="18" customHeight="1">
      <c r="I5353" s="1" ph="1"/>
    </row>
    <row r="5354" spans="9:9" ht="18" customHeight="1">
      <c r="I5354" s="1" ph="1"/>
    </row>
    <row r="5355" spans="9:9" ht="18" customHeight="1">
      <c r="I5355" s="1" ph="1"/>
    </row>
    <row r="5356" spans="9:9" ht="18" customHeight="1">
      <c r="I5356" s="1" ph="1"/>
    </row>
    <row r="5357" spans="9:9" ht="18" customHeight="1">
      <c r="I5357" s="1" ph="1"/>
    </row>
    <row r="5358" spans="9:9" ht="18" customHeight="1">
      <c r="I5358" s="1" ph="1"/>
    </row>
    <row r="5359" spans="9:9" ht="18" customHeight="1">
      <c r="I5359" s="1" ph="1"/>
    </row>
    <row r="5360" spans="9:9" ht="18" customHeight="1">
      <c r="I5360" s="1" ph="1"/>
    </row>
    <row r="5361" spans="9:9" ht="18" customHeight="1">
      <c r="I5361" s="1" ph="1"/>
    </row>
    <row r="5362" spans="9:9" ht="18" customHeight="1">
      <c r="I5362" s="1" ph="1"/>
    </row>
    <row r="5363" spans="9:9" ht="18" customHeight="1">
      <c r="I5363" s="1" ph="1"/>
    </row>
    <row r="5364" spans="9:9" ht="18" customHeight="1">
      <c r="I5364" s="1" ph="1"/>
    </row>
    <row r="5365" spans="9:9" ht="18" customHeight="1">
      <c r="I5365" s="1" ph="1"/>
    </row>
    <row r="5366" spans="9:9" ht="18" customHeight="1">
      <c r="I5366" s="1" ph="1"/>
    </row>
    <row r="5367" spans="9:9" ht="18" customHeight="1">
      <c r="I5367" s="1" ph="1"/>
    </row>
    <row r="5368" spans="9:9" ht="18" customHeight="1">
      <c r="I5368" s="1" ph="1"/>
    </row>
    <row r="5369" spans="9:9" ht="18" customHeight="1">
      <c r="I5369" s="1" ph="1"/>
    </row>
    <row r="5370" spans="9:9" ht="18" customHeight="1">
      <c r="I5370" s="1" ph="1"/>
    </row>
    <row r="5371" spans="9:9" ht="18" customHeight="1">
      <c r="I5371" s="1" ph="1"/>
    </row>
    <row r="5372" spans="9:9" ht="18" customHeight="1">
      <c r="I5372" s="1" ph="1"/>
    </row>
    <row r="5373" spans="9:9" ht="18" customHeight="1">
      <c r="I5373" s="1" ph="1"/>
    </row>
    <row r="5374" spans="9:9" ht="18" customHeight="1">
      <c r="I5374" s="1" ph="1"/>
    </row>
    <row r="5375" spans="9:9" ht="18" customHeight="1">
      <c r="I5375" s="1" ph="1"/>
    </row>
    <row r="5376" spans="9:9" ht="18" customHeight="1">
      <c r="I5376" s="1" ph="1"/>
    </row>
    <row r="5377" spans="9:9" ht="18" customHeight="1">
      <c r="I5377" s="1" ph="1"/>
    </row>
    <row r="5378" spans="9:9" ht="18" customHeight="1">
      <c r="I5378" s="1" ph="1"/>
    </row>
    <row r="5379" spans="9:9" ht="18" customHeight="1">
      <c r="I5379" s="1" ph="1"/>
    </row>
    <row r="5380" spans="9:9" ht="18" customHeight="1">
      <c r="I5380" s="1" ph="1"/>
    </row>
    <row r="5381" spans="9:9" ht="18" customHeight="1">
      <c r="I5381" s="1" ph="1"/>
    </row>
    <row r="5382" spans="9:9" ht="18" customHeight="1">
      <c r="I5382" s="1" ph="1"/>
    </row>
    <row r="5383" spans="9:9" ht="18" customHeight="1">
      <c r="I5383" s="1" ph="1"/>
    </row>
    <row r="5384" spans="9:9" ht="18" customHeight="1">
      <c r="I5384" s="1" ph="1"/>
    </row>
    <row r="5385" spans="9:9" ht="18" customHeight="1">
      <c r="I5385" s="1" ph="1"/>
    </row>
    <row r="5386" spans="9:9" ht="18" customHeight="1">
      <c r="I5386" s="1" ph="1"/>
    </row>
    <row r="5387" spans="9:9" ht="18" customHeight="1">
      <c r="I5387" s="1" ph="1"/>
    </row>
    <row r="5388" spans="9:9" ht="18" customHeight="1">
      <c r="I5388" s="1" ph="1"/>
    </row>
    <row r="5389" spans="9:9" ht="18" customHeight="1">
      <c r="I5389" s="1" ph="1"/>
    </row>
    <row r="5390" spans="9:9" ht="18" customHeight="1">
      <c r="I5390" s="1" ph="1"/>
    </row>
    <row r="5391" spans="9:9" ht="18" customHeight="1">
      <c r="I5391" s="1" ph="1"/>
    </row>
    <row r="5392" spans="9:9" ht="18" customHeight="1">
      <c r="I5392" s="1" ph="1"/>
    </row>
    <row r="5393" spans="9:9" ht="18" customHeight="1">
      <c r="I5393" s="1" ph="1"/>
    </row>
    <row r="5394" spans="9:9" ht="18" customHeight="1">
      <c r="I5394" s="1" ph="1"/>
    </row>
    <row r="5395" spans="9:9" ht="18" customHeight="1">
      <c r="I5395" s="1" ph="1"/>
    </row>
    <row r="5396" spans="9:9" ht="18" customHeight="1">
      <c r="I5396" s="1" ph="1"/>
    </row>
    <row r="5397" spans="9:9" ht="18" customHeight="1">
      <c r="I5397" s="1" ph="1"/>
    </row>
    <row r="5398" spans="9:9" ht="18" customHeight="1">
      <c r="I5398" s="1" ph="1"/>
    </row>
    <row r="5399" spans="9:9" ht="18" customHeight="1">
      <c r="I5399" s="1" ph="1"/>
    </row>
    <row r="5400" spans="9:9" ht="18" customHeight="1">
      <c r="I5400" s="1" ph="1"/>
    </row>
    <row r="5401" spans="9:9" ht="18" customHeight="1">
      <c r="I5401" s="1" ph="1"/>
    </row>
    <row r="5402" spans="9:9" ht="18" customHeight="1">
      <c r="I5402" s="1" ph="1"/>
    </row>
    <row r="5403" spans="9:9" ht="18" customHeight="1">
      <c r="I5403" s="1" ph="1"/>
    </row>
    <row r="5404" spans="9:9" ht="18" customHeight="1">
      <c r="I5404" s="1" ph="1"/>
    </row>
    <row r="5405" spans="9:9" ht="18" customHeight="1">
      <c r="I5405" s="1" ph="1"/>
    </row>
    <row r="5406" spans="9:9" ht="18" customHeight="1">
      <c r="I5406" s="1" ph="1"/>
    </row>
    <row r="5407" spans="9:9" ht="18" customHeight="1">
      <c r="I5407" s="1" ph="1"/>
    </row>
    <row r="5408" spans="9:9" ht="18" customHeight="1">
      <c r="I5408" s="1" ph="1"/>
    </row>
    <row r="5409" spans="9:9" ht="18" customHeight="1">
      <c r="I5409" s="1" ph="1"/>
    </row>
    <row r="5410" spans="9:9" ht="18" customHeight="1">
      <c r="I5410" s="1" ph="1"/>
    </row>
    <row r="5411" spans="9:9" ht="18" customHeight="1">
      <c r="I5411" s="1" ph="1"/>
    </row>
    <row r="5412" spans="9:9" ht="18" customHeight="1">
      <c r="I5412" s="1" ph="1"/>
    </row>
    <row r="5413" spans="9:9" ht="18" customHeight="1">
      <c r="I5413" s="1" ph="1"/>
    </row>
    <row r="5414" spans="9:9" ht="18" customHeight="1">
      <c r="I5414" s="1" ph="1"/>
    </row>
    <row r="5415" spans="9:9" ht="18" customHeight="1">
      <c r="I5415" s="1" ph="1"/>
    </row>
    <row r="5416" spans="9:9" ht="18" customHeight="1">
      <c r="I5416" s="1" ph="1"/>
    </row>
    <row r="5417" spans="9:9" ht="18" customHeight="1">
      <c r="I5417" s="1" ph="1"/>
    </row>
    <row r="5418" spans="9:9" ht="18" customHeight="1">
      <c r="I5418" s="1" ph="1"/>
    </row>
    <row r="5419" spans="9:9" ht="18" customHeight="1">
      <c r="I5419" s="1" ph="1"/>
    </row>
    <row r="5420" spans="9:9" ht="18" customHeight="1">
      <c r="I5420" s="1" ph="1"/>
    </row>
    <row r="5421" spans="9:9" ht="18" customHeight="1">
      <c r="I5421" s="1" ph="1"/>
    </row>
    <row r="5422" spans="9:9" ht="18" customHeight="1">
      <c r="I5422" s="1" ph="1"/>
    </row>
    <row r="5423" spans="9:9" ht="18" customHeight="1">
      <c r="I5423" s="1" ph="1"/>
    </row>
    <row r="5424" spans="9:9" ht="18" customHeight="1">
      <c r="I5424" s="1" ph="1"/>
    </row>
    <row r="5425" spans="9:9" ht="18" customHeight="1">
      <c r="I5425" s="1" ph="1"/>
    </row>
    <row r="5426" spans="9:9" ht="18" customHeight="1">
      <c r="I5426" s="1" ph="1"/>
    </row>
    <row r="5427" spans="9:9" ht="18" customHeight="1">
      <c r="I5427" s="1" ph="1"/>
    </row>
    <row r="5428" spans="9:9" ht="18" customHeight="1">
      <c r="I5428" s="1" ph="1"/>
    </row>
    <row r="5429" spans="9:9" ht="18" customHeight="1">
      <c r="I5429" s="1" ph="1"/>
    </row>
    <row r="5430" spans="9:9" ht="18" customHeight="1">
      <c r="I5430" s="1" ph="1"/>
    </row>
    <row r="5431" spans="9:9" ht="18" customHeight="1">
      <c r="I5431" s="1" ph="1"/>
    </row>
    <row r="5432" spans="9:9" ht="18" customHeight="1">
      <c r="I5432" s="1" ph="1"/>
    </row>
    <row r="5433" spans="9:9" ht="18" customHeight="1">
      <c r="I5433" s="1" ph="1"/>
    </row>
    <row r="5434" spans="9:9" ht="18" customHeight="1">
      <c r="I5434" s="1" ph="1"/>
    </row>
    <row r="5435" spans="9:9" ht="18" customHeight="1">
      <c r="I5435" s="1" ph="1"/>
    </row>
    <row r="5436" spans="9:9" ht="18" customHeight="1">
      <c r="I5436" s="1" ph="1"/>
    </row>
    <row r="5437" spans="9:9" ht="18" customHeight="1">
      <c r="I5437" s="1" ph="1"/>
    </row>
    <row r="5438" spans="9:9" ht="18" customHeight="1">
      <c r="I5438" s="1" ph="1"/>
    </row>
    <row r="5439" spans="9:9" ht="18" customHeight="1">
      <c r="I5439" s="1" ph="1"/>
    </row>
    <row r="5440" spans="9:9" ht="18" customHeight="1">
      <c r="I5440" s="1" ph="1"/>
    </row>
    <row r="5441" spans="9:9" ht="18" customHeight="1">
      <c r="I5441" s="1" ph="1"/>
    </row>
    <row r="5442" spans="9:9" ht="18" customHeight="1">
      <c r="I5442" s="1" ph="1"/>
    </row>
    <row r="5443" spans="9:9" ht="18" customHeight="1">
      <c r="I5443" s="1" ph="1"/>
    </row>
    <row r="5444" spans="9:9" ht="18" customHeight="1">
      <c r="I5444" s="1" ph="1"/>
    </row>
    <row r="5445" spans="9:9" ht="18" customHeight="1">
      <c r="I5445" s="1" ph="1"/>
    </row>
    <row r="5446" spans="9:9" ht="18" customHeight="1">
      <c r="I5446" s="1" ph="1"/>
    </row>
    <row r="5447" spans="9:9" ht="18" customHeight="1">
      <c r="I5447" s="1" ph="1"/>
    </row>
    <row r="5448" spans="9:9" ht="18" customHeight="1">
      <c r="I5448" s="1" ph="1"/>
    </row>
    <row r="5449" spans="9:9" ht="18" customHeight="1">
      <c r="I5449" s="1" ph="1"/>
    </row>
    <row r="5450" spans="9:9" ht="18" customHeight="1">
      <c r="I5450" s="1" ph="1"/>
    </row>
    <row r="5451" spans="9:9" ht="18" customHeight="1">
      <c r="I5451" s="1" ph="1"/>
    </row>
    <row r="5452" spans="9:9" ht="18" customHeight="1">
      <c r="I5452" s="1" ph="1"/>
    </row>
    <row r="5453" spans="9:9" ht="18" customHeight="1">
      <c r="I5453" s="1" ph="1"/>
    </row>
    <row r="5454" spans="9:9" ht="18" customHeight="1">
      <c r="I5454" s="1" ph="1"/>
    </row>
    <row r="5455" spans="9:9" ht="18" customHeight="1">
      <c r="I5455" s="1" ph="1"/>
    </row>
    <row r="5456" spans="9:9" ht="18" customHeight="1">
      <c r="I5456" s="1" ph="1"/>
    </row>
    <row r="5457" spans="9:9" ht="18" customHeight="1">
      <c r="I5457" s="1" ph="1"/>
    </row>
    <row r="5458" spans="9:9" ht="18" customHeight="1">
      <c r="I5458" s="1" ph="1"/>
    </row>
    <row r="5459" spans="9:9" ht="18" customHeight="1">
      <c r="I5459" s="1" ph="1"/>
    </row>
    <row r="5460" spans="9:9" ht="18" customHeight="1">
      <c r="I5460" s="1" ph="1"/>
    </row>
    <row r="5461" spans="9:9" ht="18" customHeight="1">
      <c r="I5461" s="1" ph="1"/>
    </row>
    <row r="5462" spans="9:9" ht="18" customHeight="1">
      <c r="I5462" s="1" ph="1"/>
    </row>
    <row r="5463" spans="9:9" ht="18" customHeight="1">
      <c r="I5463" s="1" ph="1"/>
    </row>
    <row r="5464" spans="9:9" ht="18" customHeight="1">
      <c r="I5464" s="1" ph="1"/>
    </row>
    <row r="5465" spans="9:9" ht="18" customHeight="1">
      <c r="I5465" s="1" ph="1"/>
    </row>
    <row r="5466" spans="9:9" ht="18" customHeight="1">
      <c r="I5466" s="1" ph="1"/>
    </row>
    <row r="5467" spans="9:9" ht="18" customHeight="1">
      <c r="I5467" s="1" ph="1"/>
    </row>
    <row r="5468" spans="9:9" ht="18" customHeight="1">
      <c r="I5468" s="1" ph="1"/>
    </row>
    <row r="5469" spans="9:9" ht="18" customHeight="1">
      <c r="I5469" s="1" ph="1"/>
    </row>
    <row r="5470" spans="9:9" ht="18" customHeight="1">
      <c r="I5470" s="1" ph="1"/>
    </row>
    <row r="5471" spans="9:9" ht="18" customHeight="1">
      <c r="I5471" s="1" ph="1"/>
    </row>
    <row r="5472" spans="9:9" ht="18" customHeight="1">
      <c r="I5472" s="1" ph="1"/>
    </row>
    <row r="5473" spans="9:9" ht="18" customHeight="1">
      <c r="I5473" s="1" ph="1"/>
    </row>
    <row r="5474" spans="9:9" ht="18" customHeight="1">
      <c r="I5474" s="1" ph="1"/>
    </row>
    <row r="5475" spans="9:9" ht="18" customHeight="1">
      <c r="I5475" s="1" ph="1"/>
    </row>
    <row r="5476" spans="9:9" ht="18" customHeight="1">
      <c r="I5476" s="1" ph="1"/>
    </row>
    <row r="5477" spans="9:9" ht="18" customHeight="1">
      <c r="I5477" s="1" ph="1"/>
    </row>
    <row r="5478" spans="9:9" ht="18" customHeight="1">
      <c r="I5478" s="1" ph="1"/>
    </row>
    <row r="5479" spans="9:9" ht="18" customHeight="1">
      <c r="I5479" s="1" ph="1"/>
    </row>
    <row r="5480" spans="9:9" ht="18" customHeight="1">
      <c r="I5480" s="1" ph="1"/>
    </row>
    <row r="5481" spans="9:9" ht="18" customHeight="1">
      <c r="I5481" s="1" ph="1"/>
    </row>
    <row r="5482" spans="9:9" ht="18" customHeight="1">
      <c r="I5482" s="1" ph="1"/>
    </row>
    <row r="5483" spans="9:9" ht="18" customHeight="1">
      <c r="I5483" s="1" ph="1"/>
    </row>
    <row r="5484" spans="9:9" ht="18" customHeight="1">
      <c r="I5484" s="1" ph="1"/>
    </row>
    <row r="5485" spans="9:9" ht="18" customHeight="1">
      <c r="I5485" s="1" ph="1"/>
    </row>
    <row r="5486" spans="9:9" ht="18" customHeight="1">
      <c r="I5486" s="1" ph="1"/>
    </row>
    <row r="5487" spans="9:9" ht="18" customHeight="1">
      <c r="I5487" s="1" ph="1"/>
    </row>
    <row r="5488" spans="9:9" ht="18" customHeight="1">
      <c r="I5488" s="1" ph="1"/>
    </row>
    <row r="5489" spans="9:9" ht="18" customHeight="1">
      <c r="I5489" s="1" ph="1"/>
    </row>
    <row r="5490" spans="9:9" ht="18" customHeight="1">
      <c r="I5490" s="1" ph="1"/>
    </row>
    <row r="5491" spans="9:9" ht="18" customHeight="1">
      <c r="I5491" s="1" ph="1"/>
    </row>
    <row r="5492" spans="9:9" ht="18" customHeight="1">
      <c r="I5492" s="1" ph="1"/>
    </row>
    <row r="5493" spans="9:9" ht="18" customHeight="1">
      <c r="I5493" s="1" ph="1"/>
    </row>
    <row r="5494" spans="9:9" ht="18" customHeight="1">
      <c r="I5494" s="1" ph="1"/>
    </row>
    <row r="5495" spans="9:9" ht="18" customHeight="1">
      <c r="I5495" s="1" ph="1"/>
    </row>
    <row r="5496" spans="9:9" ht="18" customHeight="1">
      <c r="I5496" s="1" ph="1"/>
    </row>
    <row r="5497" spans="9:9" ht="18" customHeight="1">
      <c r="I5497" s="1" ph="1"/>
    </row>
    <row r="5498" spans="9:9" ht="18" customHeight="1">
      <c r="I5498" s="1" ph="1"/>
    </row>
    <row r="5499" spans="9:9" ht="18" customHeight="1">
      <c r="I5499" s="1" ph="1"/>
    </row>
    <row r="5500" spans="9:9" ht="18" customHeight="1">
      <c r="I5500" s="1" ph="1"/>
    </row>
    <row r="5501" spans="9:9" ht="18" customHeight="1">
      <c r="I5501" s="1" ph="1"/>
    </row>
    <row r="5502" spans="9:9" ht="18" customHeight="1">
      <c r="I5502" s="1" ph="1"/>
    </row>
    <row r="5503" spans="9:9" ht="18" customHeight="1">
      <c r="I5503" s="1" ph="1"/>
    </row>
    <row r="5504" spans="9:9" ht="18" customHeight="1">
      <c r="I5504" s="1" ph="1"/>
    </row>
    <row r="5505" spans="9:9" ht="18" customHeight="1">
      <c r="I5505" s="1" ph="1"/>
    </row>
    <row r="5506" spans="9:9" ht="18" customHeight="1">
      <c r="I5506" s="1" ph="1"/>
    </row>
    <row r="5507" spans="9:9" ht="18" customHeight="1">
      <c r="I5507" s="1" ph="1"/>
    </row>
    <row r="5508" spans="9:9" ht="18" customHeight="1">
      <c r="I5508" s="1" ph="1"/>
    </row>
    <row r="5509" spans="9:9" ht="18" customHeight="1">
      <c r="I5509" s="1" ph="1"/>
    </row>
    <row r="5510" spans="9:9" ht="18" customHeight="1">
      <c r="I5510" s="1" ph="1"/>
    </row>
    <row r="5511" spans="9:9" ht="18" customHeight="1">
      <c r="I5511" s="1" ph="1"/>
    </row>
    <row r="5512" spans="9:9" ht="18" customHeight="1">
      <c r="I5512" s="1" ph="1"/>
    </row>
    <row r="5513" spans="9:9" ht="18" customHeight="1">
      <c r="I5513" s="1" ph="1"/>
    </row>
    <row r="5514" spans="9:9" ht="18" customHeight="1">
      <c r="I5514" s="1" ph="1"/>
    </row>
    <row r="5515" spans="9:9" ht="18" customHeight="1">
      <c r="I5515" s="1" ph="1"/>
    </row>
    <row r="5516" spans="9:9" ht="18" customHeight="1">
      <c r="I5516" s="1" ph="1"/>
    </row>
    <row r="5517" spans="9:9" ht="18" customHeight="1">
      <c r="I5517" s="1" ph="1"/>
    </row>
    <row r="5518" spans="9:9" ht="18" customHeight="1">
      <c r="I5518" s="1" ph="1"/>
    </row>
    <row r="5519" spans="9:9" ht="18" customHeight="1">
      <c r="I5519" s="1" ph="1"/>
    </row>
    <row r="5520" spans="9:9" ht="18" customHeight="1">
      <c r="I5520" s="1" ph="1"/>
    </row>
    <row r="5521" spans="9:9" ht="18" customHeight="1">
      <c r="I5521" s="1" ph="1"/>
    </row>
    <row r="5522" spans="9:9" ht="18" customHeight="1">
      <c r="I5522" s="1" ph="1"/>
    </row>
    <row r="5523" spans="9:9" ht="18" customHeight="1">
      <c r="I5523" s="1" ph="1"/>
    </row>
    <row r="5524" spans="9:9" ht="18" customHeight="1">
      <c r="I5524" s="1" ph="1"/>
    </row>
    <row r="5525" spans="9:9" ht="18" customHeight="1">
      <c r="I5525" s="1" ph="1"/>
    </row>
    <row r="5526" spans="9:9" ht="18" customHeight="1">
      <c r="I5526" s="1" ph="1"/>
    </row>
    <row r="5527" spans="9:9" ht="18" customHeight="1">
      <c r="I5527" s="1" ph="1"/>
    </row>
    <row r="5528" spans="9:9" ht="18" customHeight="1">
      <c r="I5528" s="1" ph="1"/>
    </row>
    <row r="5529" spans="9:9" ht="18" customHeight="1">
      <c r="I5529" s="1" ph="1"/>
    </row>
    <row r="5530" spans="9:9" ht="18" customHeight="1">
      <c r="I5530" s="1" ph="1"/>
    </row>
    <row r="5531" spans="9:9" ht="18" customHeight="1">
      <c r="I5531" s="1" ph="1"/>
    </row>
    <row r="5532" spans="9:9" ht="18" customHeight="1">
      <c r="I5532" s="1" ph="1"/>
    </row>
    <row r="5533" spans="9:9" ht="18" customHeight="1">
      <c r="I5533" s="1" ph="1"/>
    </row>
    <row r="5534" spans="9:9" ht="18" customHeight="1">
      <c r="I5534" s="1" ph="1"/>
    </row>
    <row r="5535" spans="9:9" ht="18" customHeight="1">
      <c r="I5535" s="1" ph="1"/>
    </row>
    <row r="5536" spans="9:9" ht="18" customHeight="1">
      <c r="I5536" s="1" ph="1"/>
    </row>
    <row r="5537" spans="9:9" ht="18" customHeight="1">
      <c r="I5537" s="1" ph="1"/>
    </row>
    <row r="5538" spans="9:9" ht="18" customHeight="1">
      <c r="I5538" s="1" ph="1"/>
    </row>
    <row r="5539" spans="9:9" ht="18" customHeight="1">
      <c r="I5539" s="1" ph="1"/>
    </row>
    <row r="5540" spans="9:9" ht="18" customHeight="1">
      <c r="I5540" s="1" ph="1"/>
    </row>
    <row r="5541" spans="9:9" ht="18" customHeight="1">
      <c r="I5541" s="1" ph="1"/>
    </row>
    <row r="5542" spans="9:9" ht="18" customHeight="1">
      <c r="I5542" s="1" ph="1"/>
    </row>
    <row r="5543" spans="9:9" ht="18" customHeight="1">
      <c r="I5543" s="1" ph="1"/>
    </row>
    <row r="5544" spans="9:9" ht="18" customHeight="1">
      <c r="I5544" s="1" ph="1"/>
    </row>
    <row r="5545" spans="9:9" ht="18" customHeight="1">
      <c r="I5545" s="1" ph="1"/>
    </row>
    <row r="5546" spans="9:9" ht="18" customHeight="1">
      <c r="I5546" s="1" ph="1"/>
    </row>
    <row r="5547" spans="9:9" ht="18" customHeight="1">
      <c r="I5547" s="1" ph="1"/>
    </row>
    <row r="5548" spans="9:9" ht="18" customHeight="1">
      <c r="I5548" s="1" ph="1"/>
    </row>
    <row r="5549" spans="9:9" ht="18" customHeight="1">
      <c r="I5549" s="1" ph="1"/>
    </row>
    <row r="5550" spans="9:9" ht="18" customHeight="1">
      <c r="I5550" s="1" ph="1"/>
    </row>
    <row r="5551" spans="9:9" ht="18" customHeight="1">
      <c r="I5551" s="1" ph="1"/>
    </row>
    <row r="5552" spans="9:9" ht="18" customHeight="1">
      <c r="I5552" s="1" ph="1"/>
    </row>
    <row r="5553" spans="9:9" ht="18" customHeight="1">
      <c r="I5553" s="1" ph="1"/>
    </row>
    <row r="5554" spans="9:9" ht="18" customHeight="1">
      <c r="I5554" s="1" ph="1"/>
    </row>
    <row r="5555" spans="9:9" ht="18" customHeight="1">
      <c r="I5555" s="1" ph="1"/>
    </row>
    <row r="5556" spans="9:9" ht="18" customHeight="1">
      <c r="I5556" s="1" ph="1"/>
    </row>
    <row r="5557" spans="9:9" ht="18" customHeight="1">
      <c r="I5557" s="1" ph="1"/>
    </row>
    <row r="5558" spans="9:9" ht="18" customHeight="1">
      <c r="I5558" s="1" ph="1"/>
    </row>
    <row r="5559" spans="9:9" ht="18" customHeight="1">
      <c r="I5559" s="1" ph="1"/>
    </row>
    <row r="5560" spans="9:9" ht="18" customHeight="1">
      <c r="I5560" s="1" ph="1"/>
    </row>
    <row r="5561" spans="9:9" ht="18" customHeight="1">
      <c r="I5561" s="1" ph="1"/>
    </row>
    <row r="5562" spans="9:9" ht="18" customHeight="1">
      <c r="I5562" s="1" ph="1"/>
    </row>
    <row r="5563" spans="9:9" ht="18" customHeight="1">
      <c r="I5563" s="1" ph="1"/>
    </row>
    <row r="5564" spans="9:9" ht="18" customHeight="1">
      <c r="I5564" s="1" ph="1"/>
    </row>
    <row r="5565" spans="9:9" ht="18" customHeight="1">
      <c r="I5565" s="1" ph="1"/>
    </row>
    <row r="5566" spans="9:9" ht="18" customHeight="1">
      <c r="I5566" s="1" ph="1"/>
    </row>
    <row r="5567" spans="9:9" ht="18" customHeight="1">
      <c r="I5567" s="1" ph="1"/>
    </row>
    <row r="5568" spans="9:9" ht="18" customHeight="1">
      <c r="I5568" s="1" ph="1"/>
    </row>
    <row r="5569" spans="9:9" ht="18" customHeight="1">
      <c r="I5569" s="1" ph="1"/>
    </row>
    <row r="5570" spans="9:9" ht="18" customHeight="1">
      <c r="I5570" s="1" ph="1"/>
    </row>
    <row r="5571" spans="9:9" ht="18" customHeight="1">
      <c r="I5571" s="1" ph="1"/>
    </row>
    <row r="5572" spans="9:9" ht="18" customHeight="1">
      <c r="I5572" s="1" ph="1"/>
    </row>
    <row r="5573" spans="9:9" ht="18" customHeight="1">
      <c r="I5573" s="1" ph="1"/>
    </row>
    <row r="5574" spans="9:9" ht="18" customHeight="1">
      <c r="I5574" s="1" ph="1"/>
    </row>
    <row r="5575" spans="9:9" ht="18" customHeight="1">
      <c r="I5575" s="1" ph="1"/>
    </row>
    <row r="5576" spans="9:9" ht="18" customHeight="1">
      <c r="I5576" s="1" ph="1"/>
    </row>
    <row r="5577" spans="9:9" ht="18" customHeight="1">
      <c r="I5577" s="1" ph="1"/>
    </row>
    <row r="5578" spans="9:9" ht="18" customHeight="1">
      <c r="I5578" s="1" ph="1"/>
    </row>
    <row r="5579" spans="9:9" ht="18" customHeight="1">
      <c r="I5579" s="1" ph="1"/>
    </row>
    <row r="5580" spans="9:9" ht="18" customHeight="1">
      <c r="I5580" s="1" ph="1"/>
    </row>
    <row r="5581" spans="9:9" ht="18" customHeight="1">
      <c r="I5581" s="1" ph="1"/>
    </row>
    <row r="5582" spans="9:9" ht="18" customHeight="1">
      <c r="I5582" s="1" ph="1"/>
    </row>
    <row r="5583" spans="9:9" ht="18" customHeight="1">
      <c r="I5583" s="1" ph="1"/>
    </row>
    <row r="5584" spans="9:9" ht="18" customHeight="1">
      <c r="I5584" s="1" ph="1"/>
    </row>
    <row r="5585" spans="9:9" ht="18" customHeight="1">
      <c r="I5585" s="1" ph="1"/>
    </row>
    <row r="5586" spans="9:9" ht="18" customHeight="1">
      <c r="I5586" s="1" ph="1"/>
    </row>
    <row r="5587" spans="9:9" ht="18" customHeight="1">
      <c r="I5587" s="1" ph="1"/>
    </row>
    <row r="5588" spans="9:9" ht="18" customHeight="1">
      <c r="I5588" s="1" ph="1"/>
    </row>
    <row r="5589" spans="9:9" ht="18" customHeight="1">
      <c r="I5589" s="1" ph="1"/>
    </row>
    <row r="5590" spans="9:9" ht="18" customHeight="1">
      <c r="I5590" s="1" ph="1"/>
    </row>
    <row r="5591" spans="9:9" ht="18" customHeight="1">
      <c r="I5591" s="1" ph="1"/>
    </row>
    <row r="5592" spans="9:9" ht="18" customHeight="1">
      <c r="I5592" s="1" ph="1"/>
    </row>
    <row r="5593" spans="9:9" ht="18" customHeight="1">
      <c r="I5593" s="1" ph="1"/>
    </row>
    <row r="5594" spans="9:9" ht="18" customHeight="1">
      <c r="I5594" s="1" ph="1"/>
    </row>
    <row r="5595" spans="9:9" ht="18" customHeight="1">
      <c r="I5595" s="1" ph="1"/>
    </row>
    <row r="5596" spans="9:9" ht="18" customHeight="1">
      <c r="I5596" s="1" ph="1"/>
    </row>
    <row r="5597" spans="9:9" ht="18" customHeight="1">
      <c r="I5597" s="1" ph="1"/>
    </row>
    <row r="5598" spans="9:9" ht="18" customHeight="1">
      <c r="I5598" s="1" ph="1"/>
    </row>
    <row r="5599" spans="9:9" ht="18" customHeight="1">
      <c r="I5599" s="1" ph="1"/>
    </row>
    <row r="5600" spans="9:9" ht="18" customHeight="1">
      <c r="I5600" s="1" ph="1"/>
    </row>
    <row r="5601" spans="9:9" ht="18" customHeight="1">
      <c r="I5601" s="1" ph="1"/>
    </row>
    <row r="5602" spans="9:9" ht="18" customHeight="1">
      <c r="I5602" s="1" ph="1"/>
    </row>
    <row r="5603" spans="9:9" ht="18" customHeight="1">
      <c r="I5603" s="1" ph="1"/>
    </row>
    <row r="5604" spans="9:9" ht="18" customHeight="1">
      <c r="I5604" s="1" ph="1"/>
    </row>
    <row r="5605" spans="9:9" ht="18" customHeight="1">
      <c r="I5605" s="1" ph="1"/>
    </row>
    <row r="5606" spans="9:9" ht="18" customHeight="1">
      <c r="I5606" s="1" ph="1"/>
    </row>
    <row r="5607" spans="9:9" ht="18" customHeight="1">
      <c r="I5607" s="1" ph="1"/>
    </row>
    <row r="5608" spans="9:9" ht="18" customHeight="1">
      <c r="I5608" s="1" ph="1"/>
    </row>
    <row r="5609" spans="9:9" ht="18" customHeight="1">
      <c r="I5609" s="1" ph="1"/>
    </row>
    <row r="5610" spans="9:9" ht="18" customHeight="1">
      <c r="I5610" s="1" ph="1"/>
    </row>
    <row r="5611" spans="9:9" ht="18" customHeight="1">
      <c r="I5611" s="1" ph="1"/>
    </row>
    <row r="5612" spans="9:9" ht="18" customHeight="1">
      <c r="I5612" s="1" ph="1"/>
    </row>
    <row r="5613" spans="9:9" ht="18" customHeight="1">
      <c r="I5613" s="1" ph="1"/>
    </row>
    <row r="5614" spans="9:9" ht="18" customHeight="1">
      <c r="I5614" s="1" ph="1"/>
    </row>
    <row r="5615" spans="9:9" ht="18" customHeight="1">
      <c r="I5615" s="1" ph="1"/>
    </row>
    <row r="5616" spans="9:9" ht="18" customHeight="1">
      <c r="I5616" s="1" ph="1"/>
    </row>
    <row r="5617" spans="9:9" ht="18" customHeight="1">
      <c r="I5617" s="1" ph="1"/>
    </row>
    <row r="5618" spans="9:9" ht="18" customHeight="1">
      <c r="I5618" s="1" ph="1"/>
    </row>
    <row r="5619" spans="9:9" ht="18" customHeight="1">
      <c r="I5619" s="1" ph="1"/>
    </row>
    <row r="5620" spans="9:9" ht="18" customHeight="1">
      <c r="I5620" s="1" ph="1"/>
    </row>
    <row r="5621" spans="9:9" ht="18" customHeight="1">
      <c r="I5621" s="1" ph="1"/>
    </row>
    <row r="5622" spans="9:9" ht="18" customHeight="1">
      <c r="I5622" s="1" ph="1"/>
    </row>
    <row r="5623" spans="9:9" ht="18" customHeight="1">
      <c r="I5623" s="1" ph="1"/>
    </row>
    <row r="5624" spans="9:9" ht="18" customHeight="1">
      <c r="I5624" s="1" ph="1"/>
    </row>
    <row r="5625" spans="9:9" ht="18" customHeight="1">
      <c r="I5625" s="1" ph="1"/>
    </row>
    <row r="5626" spans="9:9" ht="18" customHeight="1">
      <c r="I5626" s="1" ph="1"/>
    </row>
    <row r="5627" spans="9:9" ht="18" customHeight="1">
      <c r="I5627" s="1" ph="1"/>
    </row>
    <row r="5628" spans="9:9" ht="18" customHeight="1">
      <c r="I5628" s="1" ph="1"/>
    </row>
    <row r="5629" spans="9:9" ht="18" customHeight="1">
      <c r="I5629" s="1" ph="1"/>
    </row>
    <row r="5630" spans="9:9" ht="18" customHeight="1">
      <c r="I5630" s="1" ph="1"/>
    </row>
    <row r="5631" spans="9:9" ht="18" customHeight="1">
      <c r="I5631" s="1" ph="1"/>
    </row>
    <row r="5632" spans="9:9" ht="18" customHeight="1">
      <c r="I5632" s="1" ph="1"/>
    </row>
    <row r="5633" spans="9:9" ht="18" customHeight="1">
      <c r="I5633" s="1" ph="1"/>
    </row>
    <row r="5634" spans="9:9" ht="18" customHeight="1">
      <c r="I5634" s="1" ph="1"/>
    </row>
    <row r="5635" spans="9:9" ht="18" customHeight="1">
      <c r="I5635" s="1" ph="1"/>
    </row>
    <row r="5636" spans="9:9" ht="18" customHeight="1">
      <c r="I5636" s="1" ph="1"/>
    </row>
    <row r="5637" spans="9:9" ht="18" customHeight="1">
      <c r="I5637" s="1" ph="1"/>
    </row>
    <row r="5638" spans="9:9" ht="18" customHeight="1">
      <c r="I5638" s="1" ph="1"/>
    </row>
    <row r="5639" spans="9:9" ht="18" customHeight="1">
      <c r="I5639" s="1" ph="1"/>
    </row>
    <row r="5640" spans="9:9" ht="18" customHeight="1">
      <c r="I5640" s="1" ph="1"/>
    </row>
    <row r="5641" spans="9:9" ht="18" customHeight="1">
      <c r="I5641" s="1" ph="1"/>
    </row>
    <row r="5642" spans="9:9" ht="18" customHeight="1">
      <c r="I5642" s="1" ph="1"/>
    </row>
    <row r="5643" spans="9:9" ht="18" customHeight="1">
      <c r="I5643" s="1" ph="1"/>
    </row>
    <row r="5644" spans="9:9" ht="18" customHeight="1">
      <c r="I5644" s="1" ph="1"/>
    </row>
    <row r="5645" spans="9:9" ht="18" customHeight="1">
      <c r="I5645" s="1" ph="1"/>
    </row>
    <row r="5646" spans="9:9" ht="18" customHeight="1">
      <c r="I5646" s="1" ph="1"/>
    </row>
    <row r="5647" spans="9:9" ht="18" customHeight="1">
      <c r="I5647" s="1" ph="1"/>
    </row>
    <row r="5648" spans="9:9" ht="18" customHeight="1">
      <c r="I5648" s="1" ph="1"/>
    </row>
    <row r="5649" spans="9:9" ht="18" customHeight="1">
      <c r="I5649" s="1" ph="1"/>
    </row>
    <row r="5650" spans="9:9" ht="18" customHeight="1">
      <c r="I5650" s="1" ph="1"/>
    </row>
    <row r="5651" spans="9:9" ht="18" customHeight="1">
      <c r="I5651" s="1" ph="1"/>
    </row>
    <row r="5652" spans="9:9" ht="18" customHeight="1">
      <c r="I5652" s="1" ph="1"/>
    </row>
    <row r="5653" spans="9:9" ht="18" customHeight="1">
      <c r="I5653" s="1" ph="1"/>
    </row>
    <row r="5654" spans="9:9" ht="18" customHeight="1">
      <c r="I5654" s="1" ph="1"/>
    </row>
    <row r="5655" spans="9:9" ht="18" customHeight="1">
      <c r="I5655" s="1" ph="1"/>
    </row>
    <row r="5656" spans="9:9" ht="18" customHeight="1">
      <c r="I5656" s="1" ph="1"/>
    </row>
    <row r="5657" spans="9:9" ht="18" customHeight="1">
      <c r="I5657" s="1" ph="1"/>
    </row>
    <row r="5658" spans="9:9" ht="18" customHeight="1">
      <c r="I5658" s="1" ph="1"/>
    </row>
    <row r="5659" spans="9:9" ht="18" customHeight="1">
      <c r="I5659" s="1" ph="1"/>
    </row>
    <row r="5660" spans="9:9" ht="18" customHeight="1">
      <c r="I5660" s="1" ph="1"/>
    </row>
    <row r="5661" spans="9:9" ht="18" customHeight="1">
      <c r="I5661" s="1" ph="1"/>
    </row>
    <row r="5662" spans="9:9" ht="18" customHeight="1">
      <c r="I5662" s="1" ph="1"/>
    </row>
    <row r="5663" spans="9:9" ht="18" customHeight="1">
      <c r="I5663" s="1" ph="1"/>
    </row>
    <row r="5664" spans="9:9" ht="18" customHeight="1">
      <c r="I5664" s="1" ph="1"/>
    </row>
    <row r="5665" spans="9:9" ht="18" customHeight="1">
      <c r="I5665" s="1" ph="1"/>
    </row>
    <row r="5666" spans="9:9" ht="18" customHeight="1">
      <c r="I5666" s="1" ph="1"/>
    </row>
    <row r="5667" spans="9:9" ht="18" customHeight="1">
      <c r="I5667" s="1" ph="1"/>
    </row>
    <row r="5668" spans="9:9" ht="18" customHeight="1">
      <c r="I5668" s="1" ph="1"/>
    </row>
    <row r="5669" spans="9:9" ht="18" customHeight="1">
      <c r="I5669" s="1" ph="1"/>
    </row>
    <row r="5670" spans="9:9" ht="18" customHeight="1">
      <c r="I5670" s="1" ph="1"/>
    </row>
    <row r="5671" spans="9:9" ht="18" customHeight="1">
      <c r="I5671" s="1" ph="1"/>
    </row>
    <row r="5672" spans="9:9" ht="18" customHeight="1">
      <c r="I5672" s="1" ph="1"/>
    </row>
    <row r="5673" spans="9:9" ht="18" customHeight="1">
      <c r="I5673" s="1" ph="1"/>
    </row>
    <row r="5674" spans="9:9" ht="18" customHeight="1">
      <c r="I5674" s="1" ph="1"/>
    </row>
    <row r="5675" spans="9:9" ht="18" customHeight="1">
      <c r="I5675" s="1" ph="1"/>
    </row>
    <row r="5676" spans="9:9" ht="18" customHeight="1">
      <c r="I5676" s="1" ph="1"/>
    </row>
    <row r="5677" spans="9:9" ht="18" customHeight="1">
      <c r="I5677" s="1" ph="1"/>
    </row>
    <row r="5678" spans="9:9" ht="18" customHeight="1">
      <c r="I5678" s="1" ph="1"/>
    </row>
    <row r="5679" spans="9:9" ht="18" customHeight="1">
      <c r="I5679" s="1" ph="1"/>
    </row>
    <row r="5680" spans="9:9" ht="18" customHeight="1">
      <c r="I5680" s="1" ph="1"/>
    </row>
    <row r="5681" spans="9:9" ht="18" customHeight="1">
      <c r="I5681" s="1" ph="1"/>
    </row>
    <row r="5682" spans="9:9" ht="18" customHeight="1">
      <c r="I5682" s="1" ph="1"/>
    </row>
    <row r="5683" spans="9:9" ht="18" customHeight="1">
      <c r="I5683" s="1" ph="1"/>
    </row>
    <row r="5684" spans="9:9" ht="18" customHeight="1">
      <c r="I5684" s="1" ph="1"/>
    </row>
    <row r="5685" spans="9:9" ht="18" customHeight="1">
      <c r="I5685" s="1" ph="1"/>
    </row>
    <row r="5686" spans="9:9" ht="18" customHeight="1">
      <c r="I5686" s="1" ph="1"/>
    </row>
    <row r="5687" spans="9:9" ht="18" customHeight="1">
      <c r="I5687" s="1" ph="1"/>
    </row>
    <row r="5688" spans="9:9" ht="18" customHeight="1">
      <c r="I5688" s="1" ph="1"/>
    </row>
    <row r="5689" spans="9:9" ht="18" customHeight="1">
      <c r="I5689" s="1" ph="1"/>
    </row>
    <row r="5690" spans="9:9" ht="18" customHeight="1">
      <c r="I5690" s="1" ph="1"/>
    </row>
    <row r="5691" spans="9:9" ht="18" customHeight="1">
      <c r="I5691" s="1" ph="1"/>
    </row>
    <row r="5692" spans="9:9" ht="18" customHeight="1">
      <c r="I5692" s="1" ph="1"/>
    </row>
    <row r="5693" spans="9:9" ht="18" customHeight="1">
      <c r="I5693" s="1" ph="1"/>
    </row>
    <row r="5694" spans="9:9" ht="18" customHeight="1">
      <c r="I5694" s="1" ph="1"/>
    </row>
    <row r="5695" spans="9:9" ht="18" customHeight="1">
      <c r="I5695" s="1" ph="1"/>
    </row>
    <row r="5696" spans="9:9" ht="18" customHeight="1">
      <c r="I5696" s="1" ph="1"/>
    </row>
    <row r="5697" spans="9:9" ht="18" customHeight="1">
      <c r="I5697" s="1" ph="1"/>
    </row>
    <row r="5698" spans="9:9" ht="18" customHeight="1">
      <c r="I5698" s="1" ph="1"/>
    </row>
    <row r="5699" spans="9:9" ht="18" customHeight="1">
      <c r="I5699" s="1" ph="1"/>
    </row>
    <row r="5700" spans="9:9" ht="18" customHeight="1">
      <c r="I5700" s="1" ph="1"/>
    </row>
    <row r="5701" spans="9:9" ht="18" customHeight="1">
      <c r="I5701" s="1" ph="1"/>
    </row>
    <row r="5702" spans="9:9" ht="18" customHeight="1">
      <c r="I5702" s="1" ph="1"/>
    </row>
    <row r="5703" spans="9:9" ht="18" customHeight="1">
      <c r="I5703" s="1" ph="1"/>
    </row>
    <row r="5704" spans="9:9" ht="18" customHeight="1">
      <c r="I5704" s="1" ph="1"/>
    </row>
    <row r="5705" spans="9:9" ht="18" customHeight="1">
      <c r="I5705" s="1" ph="1"/>
    </row>
    <row r="5706" spans="9:9" ht="18" customHeight="1">
      <c r="I5706" s="1" ph="1"/>
    </row>
    <row r="5707" spans="9:9" ht="18" customHeight="1">
      <c r="I5707" s="1" ph="1"/>
    </row>
    <row r="5708" spans="9:9" ht="18" customHeight="1">
      <c r="I5708" s="1" ph="1"/>
    </row>
    <row r="5709" spans="9:9" ht="18" customHeight="1">
      <c r="I5709" s="1" ph="1"/>
    </row>
    <row r="5710" spans="9:9" ht="18" customHeight="1">
      <c r="I5710" s="1" ph="1"/>
    </row>
    <row r="5711" spans="9:9" ht="18" customHeight="1">
      <c r="I5711" s="1" ph="1"/>
    </row>
    <row r="5712" spans="9:9" ht="18" customHeight="1">
      <c r="I5712" s="1" ph="1"/>
    </row>
    <row r="5713" spans="9:9" ht="18" customHeight="1">
      <c r="I5713" s="1" ph="1"/>
    </row>
    <row r="5714" spans="9:9" ht="18" customHeight="1">
      <c r="I5714" s="1" ph="1"/>
    </row>
    <row r="5715" spans="9:9" ht="18" customHeight="1">
      <c r="I5715" s="1" ph="1"/>
    </row>
    <row r="5716" spans="9:9" ht="18" customHeight="1">
      <c r="I5716" s="1" ph="1"/>
    </row>
    <row r="5717" spans="9:9" ht="18" customHeight="1">
      <c r="I5717" s="1" ph="1"/>
    </row>
    <row r="5718" spans="9:9" ht="18" customHeight="1">
      <c r="I5718" s="1" ph="1"/>
    </row>
    <row r="5719" spans="9:9" ht="18" customHeight="1">
      <c r="I5719" s="1" ph="1"/>
    </row>
    <row r="5720" spans="9:9" ht="18" customHeight="1">
      <c r="I5720" s="1" ph="1"/>
    </row>
    <row r="5721" spans="9:9" ht="18" customHeight="1">
      <c r="I5721" s="1" ph="1"/>
    </row>
    <row r="5722" spans="9:9" ht="18" customHeight="1">
      <c r="I5722" s="1" ph="1"/>
    </row>
    <row r="5723" spans="9:9" ht="18" customHeight="1">
      <c r="I5723" s="1" ph="1"/>
    </row>
    <row r="5724" spans="9:9" ht="18" customHeight="1">
      <c r="I5724" s="1" ph="1"/>
    </row>
    <row r="5725" spans="9:9" ht="18" customHeight="1">
      <c r="I5725" s="1" ph="1"/>
    </row>
    <row r="5726" spans="9:9" ht="18" customHeight="1">
      <c r="I5726" s="1" ph="1"/>
    </row>
    <row r="5727" spans="9:9" ht="18" customHeight="1">
      <c r="I5727" s="1" ph="1"/>
    </row>
    <row r="5728" spans="9:9" ht="18" customHeight="1">
      <c r="I5728" s="1" ph="1"/>
    </row>
    <row r="5729" spans="9:9" ht="18" customHeight="1">
      <c r="I5729" s="1" ph="1"/>
    </row>
    <row r="5730" spans="9:9" ht="18" customHeight="1">
      <c r="I5730" s="1" ph="1"/>
    </row>
    <row r="5731" spans="9:9" ht="18" customHeight="1">
      <c r="I5731" s="1" ph="1"/>
    </row>
    <row r="5732" spans="9:9" ht="18" customHeight="1">
      <c r="I5732" s="1" ph="1"/>
    </row>
    <row r="5733" spans="9:9" ht="18" customHeight="1">
      <c r="I5733" s="1" ph="1"/>
    </row>
    <row r="5734" spans="9:9" ht="18" customHeight="1">
      <c r="I5734" s="1" ph="1"/>
    </row>
    <row r="5735" spans="9:9" ht="18" customHeight="1">
      <c r="I5735" s="1" ph="1"/>
    </row>
    <row r="5736" spans="9:9" ht="18" customHeight="1">
      <c r="I5736" s="1" ph="1"/>
    </row>
    <row r="5737" spans="9:9" ht="18" customHeight="1">
      <c r="I5737" s="1" ph="1"/>
    </row>
    <row r="5738" spans="9:9" ht="18" customHeight="1">
      <c r="I5738" s="1" ph="1"/>
    </row>
    <row r="5739" spans="9:9" ht="18" customHeight="1">
      <c r="I5739" s="1" ph="1"/>
    </row>
    <row r="5740" spans="9:9" ht="18" customHeight="1">
      <c r="I5740" s="1" ph="1"/>
    </row>
    <row r="5741" spans="9:9" ht="18" customHeight="1">
      <c r="I5741" s="1" ph="1"/>
    </row>
    <row r="5742" spans="9:9" ht="18" customHeight="1">
      <c r="I5742" s="1" ph="1"/>
    </row>
    <row r="5743" spans="9:9" ht="18" customHeight="1">
      <c r="I5743" s="1" ph="1"/>
    </row>
    <row r="5744" spans="9:9" ht="18" customHeight="1">
      <c r="I5744" s="1" ph="1"/>
    </row>
    <row r="5745" spans="9:9" ht="18" customHeight="1">
      <c r="I5745" s="1" ph="1"/>
    </row>
    <row r="5746" spans="9:9" ht="18" customHeight="1">
      <c r="I5746" s="1" ph="1"/>
    </row>
    <row r="5747" spans="9:9" ht="18" customHeight="1">
      <c r="I5747" s="1" ph="1"/>
    </row>
    <row r="5748" spans="9:9" ht="18" customHeight="1">
      <c r="I5748" s="1" ph="1"/>
    </row>
    <row r="5749" spans="9:9" ht="18" customHeight="1">
      <c r="I5749" s="1" ph="1"/>
    </row>
    <row r="5750" spans="9:9" ht="18" customHeight="1">
      <c r="I5750" s="1" ph="1"/>
    </row>
    <row r="5751" spans="9:9" ht="18" customHeight="1">
      <c r="I5751" s="1" ph="1"/>
    </row>
    <row r="5752" spans="9:9" ht="18" customHeight="1">
      <c r="I5752" s="1" ph="1"/>
    </row>
    <row r="5753" spans="9:9" ht="18" customHeight="1">
      <c r="I5753" s="1" ph="1"/>
    </row>
    <row r="5754" spans="9:9" ht="18" customHeight="1">
      <c r="I5754" s="1" ph="1"/>
    </row>
    <row r="5755" spans="9:9" ht="18" customHeight="1">
      <c r="I5755" s="1" ph="1"/>
    </row>
    <row r="5756" spans="9:9" ht="18" customHeight="1">
      <c r="I5756" s="1" ph="1"/>
    </row>
    <row r="5757" spans="9:9" ht="18" customHeight="1">
      <c r="I5757" s="1" ph="1"/>
    </row>
    <row r="5758" spans="9:9" ht="18" customHeight="1">
      <c r="I5758" s="1" ph="1"/>
    </row>
    <row r="5759" spans="9:9" ht="18" customHeight="1">
      <c r="I5759" s="1" ph="1"/>
    </row>
    <row r="5760" spans="9:9" ht="18" customHeight="1">
      <c r="I5760" s="1" ph="1"/>
    </row>
    <row r="5761" spans="9:9" ht="18" customHeight="1">
      <c r="I5761" s="1" ph="1"/>
    </row>
    <row r="5762" spans="9:9" ht="18" customHeight="1">
      <c r="I5762" s="1" ph="1"/>
    </row>
    <row r="5763" spans="9:9" ht="18" customHeight="1">
      <c r="I5763" s="1" ph="1"/>
    </row>
    <row r="5764" spans="9:9" ht="18" customHeight="1">
      <c r="I5764" s="1" ph="1"/>
    </row>
    <row r="5765" spans="9:9" ht="18" customHeight="1">
      <c r="I5765" s="1" ph="1"/>
    </row>
    <row r="5766" spans="9:9" ht="18" customHeight="1">
      <c r="I5766" s="1" ph="1"/>
    </row>
    <row r="5767" spans="9:9" ht="18" customHeight="1">
      <c r="I5767" s="1" ph="1"/>
    </row>
    <row r="5768" spans="9:9" ht="18" customHeight="1">
      <c r="I5768" s="1" ph="1"/>
    </row>
    <row r="5769" spans="9:9" ht="18" customHeight="1">
      <c r="I5769" s="1" ph="1"/>
    </row>
    <row r="5770" spans="9:9" ht="18" customHeight="1">
      <c r="I5770" s="1" ph="1"/>
    </row>
    <row r="5771" spans="9:9" ht="18" customHeight="1">
      <c r="I5771" s="1" ph="1"/>
    </row>
    <row r="5772" spans="9:9" ht="18" customHeight="1">
      <c r="I5772" s="1" ph="1"/>
    </row>
    <row r="5773" spans="9:9" ht="18" customHeight="1">
      <c r="I5773" s="1" ph="1"/>
    </row>
    <row r="5774" spans="9:9" ht="18" customHeight="1">
      <c r="I5774" s="1" ph="1"/>
    </row>
    <row r="5775" spans="9:9" ht="18" customHeight="1">
      <c r="I5775" s="1" ph="1"/>
    </row>
    <row r="5776" spans="9:9" ht="18" customHeight="1">
      <c r="I5776" s="1" ph="1"/>
    </row>
    <row r="5777" spans="9:9" ht="18" customHeight="1">
      <c r="I5777" s="1" ph="1"/>
    </row>
    <row r="5778" spans="9:9" ht="18" customHeight="1">
      <c r="I5778" s="1" ph="1"/>
    </row>
    <row r="5779" spans="9:9" ht="18" customHeight="1">
      <c r="I5779" s="1" ph="1"/>
    </row>
    <row r="5780" spans="9:9" ht="18" customHeight="1">
      <c r="I5780" s="1" ph="1"/>
    </row>
    <row r="5781" spans="9:9" ht="18" customHeight="1">
      <c r="I5781" s="1" ph="1"/>
    </row>
    <row r="5782" spans="9:9" ht="18" customHeight="1">
      <c r="I5782" s="1" ph="1"/>
    </row>
    <row r="5783" spans="9:9" ht="18" customHeight="1">
      <c r="I5783" s="1" ph="1"/>
    </row>
    <row r="5784" spans="9:9" ht="18" customHeight="1">
      <c r="I5784" s="1" ph="1"/>
    </row>
    <row r="5785" spans="9:9" ht="18" customHeight="1">
      <c r="I5785" s="1" ph="1"/>
    </row>
    <row r="5786" spans="9:9" ht="18" customHeight="1">
      <c r="I5786" s="1" ph="1"/>
    </row>
    <row r="5787" spans="9:9" ht="18" customHeight="1">
      <c r="I5787" s="1" ph="1"/>
    </row>
    <row r="5788" spans="9:9" ht="18" customHeight="1">
      <c r="I5788" s="1" ph="1"/>
    </row>
    <row r="5789" spans="9:9" ht="18" customHeight="1">
      <c r="I5789" s="1" ph="1"/>
    </row>
    <row r="5790" spans="9:9" ht="18" customHeight="1">
      <c r="I5790" s="1" ph="1"/>
    </row>
    <row r="5791" spans="9:9" ht="18" customHeight="1">
      <c r="I5791" s="1" ph="1"/>
    </row>
    <row r="5792" spans="9:9" ht="18" customHeight="1">
      <c r="I5792" s="1" ph="1"/>
    </row>
    <row r="5793" spans="9:9" ht="18" customHeight="1">
      <c r="I5793" s="1" ph="1"/>
    </row>
    <row r="5794" spans="9:9" ht="18" customHeight="1">
      <c r="I5794" s="1" ph="1"/>
    </row>
    <row r="5795" spans="9:9" ht="18" customHeight="1">
      <c r="I5795" s="1" ph="1"/>
    </row>
    <row r="5796" spans="9:9" ht="18" customHeight="1">
      <c r="I5796" s="1" ph="1"/>
    </row>
    <row r="5797" spans="9:9" ht="18" customHeight="1">
      <c r="I5797" s="1" ph="1"/>
    </row>
    <row r="5798" spans="9:9" ht="18" customHeight="1">
      <c r="I5798" s="1" ph="1"/>
    </row>
    <row r="5799" spans="9:9" ht="18" customHeight="1">
      <c r="I5799" s="1" ph="1"/>
    </row>
    <row r="5800" spans="9:9" ht="18" customHeight="1">
      <c r="I5800" s="1" ph="1"/>
    </row>
    <row r="5801" spans="9:9" ht="18" customHeight="1">
      <c r="I5801" s="1" ph="1"/>
    </row>
    <row r="5802" spans="9:9" ht="18" customHeight="1">
      <c r="I5802" s="1" ph="1"/>
    </row>
    <row r="5803" spans="9:9" ht="18" customHeight="1">
      <c r="I5803" s="1" ph="1"/>
    </row>
    <row r="5804" spans="9:9" ht="18" customHeight="1">
      <c r="I5804" s="1" ph="1"/>
    </row>
    <row r="5805" spans="9:9" ht="18" customHeight="1">
      <c r="I5805" s="1" ph="1"/>
    </row>
    <row r="5806" spans="9:9" ht="18" customHeight="1">
      <c r="I5806" s="1" ph="1"/>
    </row>
    <row r="5807" spans="9:9" ht="18" customHeight="1">
      <c r="I5807" s="1" ph="1"/>
    </row>
    <row r="5808" spans="9:9" ht="18" customHeight="1">
      <c r="I5808" s="1" ph="1"/>
    </row>
    <row r="5809" spans="9:9" ht="18" customHeight="1">
      <c r="I5809" s="1" ph="1"/>
    </row>
    <row r="5810" spans="9:9" ht="18" customHeight="1">
      <c r="I5810" s="1" ph="1"/>
    </row>
    <row r="5811" spans="9:9" ht="18" customHeight="1">
      <c r="I5811" s="1" ph="1"/>
    </row>
    <row r="5812" spans="9:9" ht="18" customHeight="1">
      <c r="I5812" s="1" ph="1"/>
    </row>
    <row r="5813" spans="9:9" ht="18" customHeight="1">
      <c r="I5813" s="1" ph="1"/>
    </row>
    <row r="5814" spans="9:9" ht="18" customHeight="1">
      <c r="I5814" s="1" ph="1"/>
    </row>
    <row r="5815" spans="9:9" ht="18" customHeight="1">
      <c r="I5815" s="1" ph="1"/>
    </row>
    <row r="5816" spans="9:9" ht="18" customHeight="1">
      <c r="I5816" s="1" ph="1"/>
    </row>
    <row r="5817" spans="9:9" ht="18" customHeight="1">
      <c r="I5817" s="1" ph="1"/>
    </row>
    <row r="5818" spans="9:9" ht="18" customHeight="1">
      <c r="I5818" s="1" ph="1"/>
    </row>
    <row r="5819" spans="9:9" ht="18" customHeight="1">
      <c r="I5819" s="1" ph="1"/>
    </row>
    <row r="5820" spans="9:9" ht="18" customHeight="1">
      <c r="I5820" s="1" ph="1"/>
    </row>
    <row r="5821" spans="9:9" ht="18" customHeight="1">
      <c r="I5821" s="1" ph="1"/>
    </row>
    <row r="5822" spans="9:9" ht="18" customHeight="1">
      <c r="I5822" s="1" ph="1"/>
    </row>
    <row r="5823" spans="9:9" ht="18" customHeight="1">
      <c r="I5823" s="1" ph="1"/>
    </row>
    <row r="5824" spans="9:9" ht="18" customHeight="1">
      <c r="I5824" s="1" ph="1"/>
    </row>
    <row r="5825" spans="9:9" ht="18" customHeight="1">
      <c r="I5825" s="1" ph="1"/>
    </row>
    <row r="5826" spans="9:9" ht="18" customHeight="1">
      <c r="I5826" s="1" ph="1"/>
    </row>
    <row r="5827" spans="9:9" ht="18" customHeight="1">
      <c r="I5827" s="1" ph="1"/>
    </row>
    <row r="5828" spans="9:9" ht="18" customHeight="1">
      <c r="I5828" s="1" ph="1"/>
    </row>
    <row r="5829" spans="9:9" ht="18" customHeight="1">
      <c r="I5829" s="1" ph="1"/>
    </row>
    <row r="5830" spans="9:9" ht="18" customHeight="1">
      <c r="I5830" s="1" ph="1"/>
    </row>
    <row r="5831" spans="9:9" ht="18" customHeight="1">
      <c r="I5831" s="1" ph="1"/>
    </row>
    <row r="5832" spans="9:9" ht="18" customHeight="1">
      <c r="I5832" s="1" ph="1"/>
    </row>
    <row r="5833" spans="9:9" ht="18" customHeight="1">
      <c r="I5833" s="1" ph="1"/>
    </row>
    <row r="5834" spans="9:9" ht="18" customHeight="1">
      <c r="I5834" s="1" ph="1"/>
    </row>
    <row r="5835" spans="9:9" ht="18" customHeight="1">
      <c r="I5835" s="1" ph="1"/>
    </row>
    <row r="5836" spans="9:9" ht="18" customHeight="1">
      <c r="I5836" s="1" ph="1"/>
    </row>
    <row r="5837" spans="9:9" ht="18" customHeight="1">
      <c r="I5837" s="1" ph="1"/>
    </row>
    <row r="5838" spans="9:9" ht="18" customHeight="1">
      <c r="I5838" s="1" ph="1"/>
    </row>
    <row r="5839" spans="9:9" ht="18" customHeight="1">
      <c r="I5839" s="1" ph="1"/>
    </row>
    <row r="5840" spans="9:9" ht="18" customHeight="1">
      <c r="I5840" s="1" ph="1"/>
    </row>
    <row r="5841" spans="9:9" ht="18" customHeight="1">
      <c r="I5841" s="1" ph="1"/>
    </row>
    <row r="5842" spans="9:9" ht="18" customHeight="1">
      <c r="I5842" s="1" ph="1"/>
    </row>
    <row r="5843" spans="9:9" ht="18" customHeight="1">
      <c r="I5843" s="1" ph="1"/>
    </row>
    <row r="5844" spans="9:9" ht="18" customHeight="1">
      <c r="I5844" s="1" ph="1"/>
    </row>
    <row r="5845" spans="9:9" ht="18" customHeight="1">
      <c r="I5845" s="1" ph="1"/>
    </row>
    <row r="5846" spans="9:9" ht="18" customHeight="1">
      <c r="I5846" s="1" ph="1"/>
    </row>
    <row r="5847" spans="9:9" ht="18" customHeight="1">
      <c r="I5847" s="1" ph="1"/>
    </row>
    <row r="5848" spans="9:9" ht="18" customHeight="1">
      <c r="I5848" s="1" ph="1"/>
    </row>
    <row r="5849" spans="9:9" ht="18" customHeight="1">
      <c r="I5849" s="1" ph="1"/>
    </row>
    <row r="5850" spans="9:9" ht="18" customHeight="1">
      <c r="I5850" s="1" ph="1"/>
    </row>
    <row r="5851" spans="9:9" ht="18" customHeight="1">
      <c r="I5851" s="1" ph="1"/>
    </row>
    <row r="5852" spans="9:9" ht="18" customHeight="1">
      <c r="I5852" s="1" ph="1"/>
    </row>
    <row r="5853" spans="9:9" ht="18" customHeight="1">
      <c r="I5853" s="1" ph="1"/>
    </row>
    <row r="5854" spans="9:9" ht="18" customHeight="1">
      <c r="I5854" s="1" ph="1"/>
    </row>
    <row r="5855" spans="9:9" ht="18" customHeight="1">
      <c r="I5855" s="1" ph="1"/>
    </row>
    <row r="5856" spans="9:9" ht="18" customHeight="1">
      <c r="I5856" s="1" ph="1"/>
    </row>
    <row r="5857" spans="9:9" ht="18" customHeight="1">
      <c r="I5857" s="1" ph="1"/>
    </row>
    <row r="5858" spans="9:9" ht="18" customHeight="1">
      <c r="I5858" s="1" ph="1"/>
    </row>
    <row r="5859" spans="9:9" ht="18" customHeight="1">
      <c r="I5859" s="1" ph="1"/>
    </row>
    <row r="5860" spans="9:9" ht="18" customHeight="1">
      <c r="I5860" s="1" ph="1"/>
    </row>
    <row r="5861" spans="9:9" ht="18" customHeight="1">
      <c r="I5861" s="1" ph="1"/>
    </row>
    <row r="5862" spans="9:9" ht="18" customHeight="1">
      <c r="I5862" s="1" ph="1"/>
    </row>
    <row r="5863" spans="9:9" ht="18" customHeight="1">
      <c r="I5863" s="1" ph="1"/>
    </row>
    <row r="5864" spans="9:9" ht="18" customHeight="1">
      <c r="I5864" s="1" ph="1"/>
    </row>
    <row r="5865" spans="9:9" ht="18" customHeight="1">
      <c r="I5865" s="1" ph="1"/>
    </row>
    <row r="5866" spans="9:9" ht="18" customHeight="1">
      <c r="I5866" s="1" ph="1"/>
    </row>
    <row r="5867" spans="9:9" ht="18" customHeight="1">
      <c r="I5867" s="1" ph="1"/>
    </row>
    <row r="5868" spans="9:9" ht="18" customHeight="1">
      <c r="I5868" s="1" ph="1"/>
    </row>
    <row r="5869" spans="9:9" ht="18" customHeight="1">
      <c r="I5869" s="1" ph="1"/>
    </row>
    <row r="5870" spans="9:9" ht="18" customHeight="1">
      <c r="I5870" s="1" ph="1"/>
    </row>
    <row r="5871" spans="9:9" ht="18" customHeight="1">
      <c r="I5871" s="1" ph="1"/>
    </row>
    <row r="5872" spans="9:9" ht="18" customHeight="1">
      <c r="I5872" s="1" ph="1"/>
    </row>
    <row r="5873" spans="9:9" ht="18" customHeight="1">
      <c r="I5873" s="1" ph="1"/>
    </row>
    <row r="5874" spans="9:9" ht="18" customHeight="1">
      <c r="I5874" s="1" ph="1"/>
    </row>
    <row r="5875" spans="9:9" ht="18" customHeight="1">
      <c r="I5875" s="1" ph="1"/>
    </row>
    <row r="5876" spans="9:9" ht="18" customHeight="1">
      <c r="I5876" s="1" ph="1"/>
    </row>
    <row r="5877" spans="9:9" ht="18" customHeight="1">
      <c r="I5877" s="1" ph="1"/>
    </row>
    <row r="5878" spans="9:9" ht="18" customHeight="1">
      <c r="I5878" s="1" ph="1"/>
    </row>
    <row r="5879" spans="9:9" ht="18" customHeight="1">
      <c r="I5879" s="1" ph="1"/>
    </row>
    <row r="5880" spans="9:9" ht="18" customHeight="1">
      <c r="I5880" s="1" ph="1"/>
    </row>
    <row r="5881" spans="9:9" ht="18" customHeight="1">
      <c r="I5881" s="1" ph="1"/>
    </row>
    <row r="5882" spans="9:9" ht="18" customHeight="1">
      <c r="I5882" s="1" ph="1"/>
    </row>
    <row r="5883" spans="9:9" ht="18" customHeight="1">
      <c r="I5883" s="1" ph="1"/>
    </row>
    <row r="5884" spans="9:9" ht="18" customHeight="1">
      <c r="I5884" s="1" ph="1"/>
    </row>
    <row r="5885" spans="9:9" ht="18" customHeight="1">
      <c r="I5885" s="1" ph="1"/>
    </row>
    <row r="5886" spans="9:9" ht="18" customHeight="1">
      <c r="I5886" s="1" ph="1"/>
    </row>
    <row r="5887" spans="9:9" ht="18" customHeight="1">
      <c r="I5887" s="1" ph="1"/>
    </row>
    <row r="5888" spans="9:9" ht="18" customHeight="1">
      <c r="I5888" s="1" ph="1"/>
    </row>
    <row r="5889" spans="9:9" ht="18" customHeight="1">
      <c r="I5889" s="1" ph="1"/>
    </row>
    <row r="5890" spans="9:9" ht="18" customHeight="1">
      <c r="I5890" s="1" ph="1"/>
    </row>
    <row r="5891" spans="9:9" ht="18" customHeight="1">
      <c r="I5891" s="1" ph="1"/>
    </row>
    <row r="5892" spans="9:9" ht="18" customHeight="1">
      <c r="I5892" s="1" ph="1"/>
    </row>
    <row r="5893" spans="9:9" ht="18" customHeight="1">
      <c r="I5893" s="1" ph="1"/>
    </row>
    <row r="5894" spans="9:9" ht="18" customHeight="1">
      <c r="I5894" s="1" ph="1"/>
    </row>
    <row r="5895" spans="9:9" ht="18" customHeight="1">
      <c r="I5895" s="1" ph="1"/>
    </row>
    <row r="5896" spans="9:9" ht="18" customHeight="1">
      <c r="I5896" s="1" ph="1"/>
    </row>
    <row r="5897" spans="9:9" ht="18" customHeight="1">
      <c r="I5897" s="1" ph="1"/>
    </row>
    <row r="5898" spans="9:9" ht="18" customHeight="1">
      <c r="I5898" s="1" ph="1"/>
    </row>
    <row r="5899" spans="9:9" ht="18" customHeight="1">
      <c r="I5899" s="1" ph="1"/>
    </row>
    <row r="5900" spans="9:9" ht="18" customHeight="1">
      <c r="I5900" s="1" ph="1"/>
    </row>
    <row r="5901" spans="9:9" ht="18" customHeight="1">
      <c r="I5901" s="1" ph="1"/>
    </row>
    <row r="5902" spans="9:9" ht="18" customHeight="1">
      <c r="I5902" s="1" ph="1"/>
    </row>
    <row r="5903" spans="9:9" ht="18" customHeight="1">
      <c r="I5903" s="1" ph="1"/>
    </row>
    <row r="5904" spans="9:9" ht="18" customHeight="1">
      <c r="I5904" s="1" ph="1"/>
    </row>
    <row r="5905" spans="9:9" ht="18" customHeight="1">
      <c r="I5905" s="1" ph="1"/>
    </row>
    <row r="5906" spans="9:9" ht="18" customHeight="1">
      <c r="I5906" s="1" ph="1"/>
    </row>
    <row r="5907" spans="9:9" ht="18" customHeight="1">
      <c r="I5907" s="1" ph="1"/>
    </row>
    <row r="5908" spans="9:9" ht="18" customHeight="1">
      <c r="I5908" s="1" ph="1"/>
    </row>
    <row r="5909" spans="9:9" ht="18" customHeight="1">
      <c r="I5909" s="1" ph="1"/>
    </row>
    <row r="5910" spans="9:9" ht="18" customHeight="1">
      <c r="I5910" s="1" ph="1"/>
    </row>
    <row r="5911" spans="9:9" ht="18" customHeight="1">
      <c r="I5911" s="1" ph="1"/>
    </row>
    <row r="5912" spans="9:9" ht="18" customHeight="1">
      <c r="I5912" s="1" ph="1"/>
    </row>
    <row r="5913" spans="9:9" ht="18" customHeight="1">
      <c r="I5913" s="1" ph="1"/>
    </row>
    <row r="5914" spans="9:9" ht="18" customHeight="1">
      <c r="I5914" s="1" ph="1"/>
    </row>
    <row r="5915" spans="9:9" ht="18" customHeight="1">
      <c r="I5915" s="1" ph="1"/>
    </row>
    <row r="5916" spans="9:9" ht="18" customHeight="1">
      <c r="I5916" s="1" ph="1"/>
    </row>
    <row r="5917" spans="9:9" ht="18" customHeight="1">
      <c r="I5917" s="1" ph="1"/>
    </row>
    <row r="5918" spans="9:9" ht="18" customHeight="1">
      <c r="I5918" s="1" ph="1"/>
    </row>
    <row r="5919" spans="9:9" ht="18" customHeight="1">
      <c r="I5919" s="1" ph="1"/>
    </row>
    <row r="5920" spans="9:9" ht="18" customHeight="1">
      <c r="I5920" s="1" ph="1"/>
    </row>
    <row r="5921" spans="9:9" ht="18" customHeight="1">
      <c r="I5921" s="1" ph="1"/>
    </row>
    <row r="5922" spans="9:9" ht="18" customHeight="1">
      <c r="I5922" s="1" ph="1"/>
    </row>
    <row r="5923" spans="9:9" ht="18" customHeight="1">
      <c r="I5923" s="1" ph="1"/>
    </row>
    <row r="5924" spans="9:9" ht="18" customHeight="1">
      <c r="I5924" s="1" ph="1"/>
    </row>
    <row r="5925" spans="9:9" ht="18" customHeight="1">
      <c r="I5925" s="1" ph="1"/>
    </row>
    <row r="5926" spans="9:9" ht="18" customHeight="1">
      <c r="I5926" s="1" ph="1"/>
    </row>
    <row r="5927" spans="9:9" ht="18" customHeight="1">
      <c r="I5927" s="1" ph="1"/>
    </row>
    <row r="5928" spans="9:9" ht="18" customHeight="1">
      <c r="I5928" s="1" ph="1"/>
    </row>
    <row r="5929" spans="9:9" ht="18" customHeight="1">
      <c r="I5929" s="1" ph="1"/>
    </row>
    <row r="5930" spans="9:9" ht="18" customHeight="1">
      <c r="I5930" s="1" ph="1"/>
    </row>
    <row r="5931" spans="9:9" ht="18" customHeight="1">
      <c r="I5931" s="1" ph="1"/>
    </row>
    <row r="5932" spans="9:9" ht="18" customHeight="1">
      <c r="I5932" s="1" ph="1"/>
    </row>
    <row r="5933" spans="9:9" ht="18" customHeight="1">
      <c r="I5933" s="1" ph="1"/>
    </row>
    <row r="5934" spans="9:9" ht="18" customHeight="1">
      <c r="I5934" s="1" ph="1"/>
    </row>
    <row r="5935" spans="9:9" ht="18" customHeight="1">
      <c r="I5935" s="1" ph="1"/>
    </row>
    <row r="5936" spans="9:9" ht="18" customHeight="1">
      <c r="I5936" s="1" ph="1"/>
    </row>
    <row r="5937" spans="9:9" ht="18" customHeight="1">
      <c r="I5937" s="1" ph="1"/>
    </row>
    <row r="5938" spans="9:9" ht="18" customHeight="1">
      <c r="I5938" s="1" ph="1"/>
    </row>
    <row r="5939" spans="9:9" ht="18" customHeight="1">
      <c r="I5939" s="1" ph="1"/>
    </row>
    <row r="5940" spans="9:9" ht="18" customHeight="1">
      <c r="I5940" s="1" ph="1"/>
    </row>
    <row r="5941" spans="9:9" ht="18" customHeight="1">
      <c r="I5941" s="1" ph="1"/>
    </row>
    <row r="5942" spans="9:9" ht="18" customHeight="1">
      <c r="I5942" s="1" ph="1"/>
    </row>
    <row r="5943" spans="9:9" ht="18" customHeight="1">
      <c r="I5943" s="1" ph="1"/>
    </row>
    <row r="5944" spans="9:9" ht="18" customHeight="1">
      <c r="I5944" s="1" ph="1"/>
    </row>
    <row r="5945" spans="9:9" ht="18" customHeight="1">
      <c r="I5945" s="1" ph="1"/>
    </row>
    <row r="5946" spans="9:9" ht="18" customHeight="1">
      <c r="I5946" s="1" ph="1"/>
    </row>
    <row r="5947" spans="9:9" ht="18" customHeight="1">
      <c r="I5947" s="1" ph="1"/>
    </row>
    <row r="5948" spans="9:9" ht="18" customHeight="1">
      <c r="I5948" s="1" ph="1"/>
    </row>
    <row r="5949" spans="9:9" ht="18" customHeight="1">
      <c r="I5949" s="1" ph="1"/>
    </row>
    <row r="5950" spans="9:9" ht="18" customHeight="1">
      <c r="I5950" s="1" ph="1"/>
    </row>
    <row r="5951" spans="9:9" ht="18" customHeight="1">
      <c r="I5951" s="1" ph="1"/>
    </row>
    <row r="5952" spans="9:9" ht="18" customHeight="1">
      <c r="I5952" s="1" ph="1"/>
    </row>
    <row r="5953" spans="9:9" ht="18" customHeight="1">
      <c r="I5953" s="1" ph="1"/>
    </row>
    <row r="5954" spans="9:9" ht="18" customHeight="1">
      <c r="I5954" s="1" ph="1"/>
    </row>
    <row r="5955" spans="9:9" ht="18" customHeight="1">
      <c r="I5955" s="1" ph="1"/>
    </row>
    <row r="5956" spans="9:9" ht="18" customHeight="1">
      <c r="I5956" s="1" ph="1"/>
    </row>
    <row r="5957" spans="9:9" ht="18" customHeight="1">
      <c r="I5957" s="1" ph="1"/>
    </row>
    <row r="5958" spans="9:9" ht="18" customHeight="1">
      <c r="I5958" s="1" ph="1"/>
    </row>
    <row r="5959" spans="9:9" ht="18" customHeight="1">
      <c r="I5959" s="1" ph="1"/>
    </row>
    <row r="5960" spans="9:9" ht="18" customHeight="1">
      <c r="I5960" s="1" ph="1"/>
    </row>
    <row r="5961" spans="9:9" ht="18" customHeight="1">
      <c r="I5961" s="1" ph="1"/>
    </row>
    <row r="5962" spans="9:9" ht="18" customHeight="1">
      <c r="I5962" s="1" ph="1"/>
    </row>
    <row r="5963" spans="9:9" ht="18" customHeight="1">
      <c r="I5963" s="1" ph="1"/>
    </row>
    <row r="5964" spans="9:9" ht="18" customHeight="1">
      <c r="I5964" s="1" ph="1"/>
    </row>
    <row r="5965" spans="9:9" ht="18" customHeight="1">
      <c r="I5965" s="1" ph="1"/>
    </row>
    <row r="5966" spans="9:9" ht="18" customHeight="1">
      <c r="I5966" s="1" ph="1"/>
    </row>
    <row r="5967" spans="9:9" ht="18" customHeight="1">
      <c r="I5967" s="1" ph="1"/>
    </row>
    <row r="5968" spans="9:9" ht="18" customHeight="1">
      <c r="I5968" s="1" ph="1"/>
    </row>
    <row r="5969" spans="9:9" ht="18" customHeight="1">
      <c r="I5969" s="1" ph="1"/>
    </row>
    <row r="5970" spans="9:9" ht="18" customHeight="1">
      <c r="I5970" s="1" ph="1"/>
    </row>
    <row r="5971" spans="9:9" ht="18" customHeight="1">
      <c r="I5971" s="1" ph="1"/>
    </row>
    <row r="5972" spans="9:9" ht="18" customHeight="1">
      <c r="I5972" s="1" ph="1"/>
    </row>
    <row r="5973" spans="9:9" ht="18" customHeight="1">
      <c r="I5973" s="1" ph="1"/>
    </row>
    <row r="5974" spans="9:9" ht="18" customHeight="1">
      <c r="I5974" s="1" ph="1"/>
    </row>
    <row r="5975" spans="9:9" ht="18" customHeight="1">
      <c r="I5975" s="1" ph="1"/>
    </row>
    <row r="5976" spans="9:9" ht="18" customHeight="1">
      <c r="I5976" s="1" ph="1"/>
    </row>
    <row r="5977" spans="9:9" ht="18" customHeight="1">
      <c r="I5977" s="1" ph="1"/>
    </row>
    <row r="5978" spans="9:9" ht="18" customHeight="1">
      <c r="I5978" s="1" ph="1"/>
    </row>
    <row r="5979" spans="9:9" ht="18" customHeight="1">
      <c r="I5979" s="1" ph="1"/>
    </row>
    <row r="5980" spans="9:9" ht="18" customHeight="1">
      <c r="I5980" s="1" ph="1"/>
    </row>
    <row r="5981" spans="9:9" ht="18" customHeight="1">
      <c r="I5981" s="1" ph="1"/>
    </row>
    <row r="5982" spans="9:9" ht="18" customHeight="1">
      <c r="I5982" s="1" ph="1"/>
    </row>
    <row r="5983" spans="9:9" ht="18" customHeight="1">
      <c r="I5983" s="1" ph="1"/>
    </row>
    <row r="5984" spans="9:9" ht="18" customHeight="1">
      <c r="I5984" s="1" ph="1"/>
    </row>
    <row r="5985" spans="9:9" ht="18" customHeight="1">
      <c r="I5985" s="1" ph="1"/>
    </row>
    <row r="5986" spans="9:9" ht="18" customHeight="1">
      <c r="I5986" s="1" ph="1"/>
    </row>
    <row r="5987" spans="9:9" ht="18" customHeight="1">
      <c r="I5987" s="1" ph="1"/>
    </row>
    <row r="5988" spans="9:9" ht="18" customHeight="1">
      <c r="I5988" s="1" ph="1"/>
    </row>
    <row r="5989" spans="9:9" ht="18" customHeight="1">
      <c r="I5989" s="1" ph="1"/>
    </row>
    <row r="5990" spans="9:9" ht="18" customHeight="1">
      <c r="I5990" s="1" ph="1"/>
    </row>
    <row r="5991" spans="9:9" ht="18" customHeight="1">
      <c r="I5991" s="1" ph="1"/>
    </row>
    <row r="5992" spans="9:9" ht="18" customHeight="1">
      <c r="I5992" s="1" ph="1"/>
    </row>
    <row r="5993" spans="9:9" ht="18" customHeight="1">
      <c r="I5993" s="1" ph="1"/>
    </row>
    <row r="5994" spans="9:9" ht="18" customHeight="1">
      <c r="I5994" s="1" ph="1"/>
    </row>
    <row r="5995" spans="9:9" ht="18" customHeight="1">
      <c r="I5995" s="1" ph="1"/>
    </row>
    <row r="5996" spans="9:9" ht="18" customHeight="1">
      <c r="I5996" s="1" ph="1"/>
    </row>
    <row r="5997" spans="9:9" ht="18" customHeight="1">
      <c r="I5997" s="1" ph="1"/>
    </row>
    <row r="5998" spans="9:9" ht="18" customHeight="1">
      <c r="I5998" s="1" ph="1"/>
    </row>
    <row r="5999" spans="9:9" ht="18" customHeight="1">
      <c r="I5999" s="1" ph="1"/>
    </row>
    <row r="6000" spans="9:9" ht="18" customHeight="1">
      <c r="I6000" s="1" ph="1"/>
    </row>
    <row r="6001" spans="9:9" ht="18" customHeight="1">
      <c r="I6001" s="1" ph="1"/>
    </row>
    <row r="6002" spans="9:9" ht="18" customHeight="1">
      <c r="I6002" s="1" ph="1"/>
    </row>
    <row r="6003" spans="9:9" ht="18" customHeight="1">
      <c r="I6003" s="1" ph="1"/>
    </row>
    <row r="6004" spans="9:9" ht="18" customHeight="1">
      <c r="I6004" s="1" ph="1"/>
    </row>
    <row r="6005" spans="9:9" ht="18" customHeight="1">
      <c r="I6005" s="1" ph="1"/>
    </row>
    <row r="6006" spans="9:9" ht="18" customHeight="1">
      <c r="I6006" s="1" ph="1"/>
    </row>
    <row r="6007" spans="9:9" ht="18" customHeight="1">
      <c r="I6007" s="1" ph="1"/>
    </row>
    <row r="6008" spans="9:9" ht="18" customHeight="1">
      <c r="I6008" s="1" ph="1"/>
    </row>
    <row r="6009" spans="9:9" ht="18" customHeight="1">
      <c r="I6009" s="1" ph="1"/>
    </row>
    <row r="6010" spans="9:9" ht="18" customHeight="1">
      <c r="I6010" s="1" ph="1"/>
    </row>
    <row r="6011" spans="9:9" ht="18" customHeight="1">
      <c r="I6011" s="1" ph="1"/>
    </row>
    <row r="6012" spans="9:9" ht="18" customHeight="1">
      <c r="I6012" s="1" ph="1"/>
    </row>
    <row r="6013" spans="9:9" ht="18" customHeight="1">
      <c r="I6013" s="1" ph="1"/>
    </row>
    <row r="6014" spans="9:9" ht="18" customHeight="1">
      <c r="I6014" s="1" ph="1"/>
    </row>
    <row r="6015" spans="9:9" ht="18" customHeight="1">
      <c r="I6015" s="1" ph="1"/>
    </row>
    <row r="6016" spans="9:9" ht="18" customHeight="1">
      <c r="I6016" s="1" ph="1"/>
    </row>
    <row r="6017" spans="9:9" ht="18" customHeight="1">
      <c r="I6017" s="1" ph="1"/>
    </row>
    <row r="6018" spans="9:9" ht="18" customHeight="1">
      <c r="I6018" s="1" ph="1"/>
    </row>
    <row r="6019" spans="9:9" ht="18" customHeight="1">
      <c r="I6019" s="1" ph="1"/>
    </row>
    <row r="6020" spans="9:9" ht="18" customHeight="1">
      <c r="I6020" s="1" ph="1"/>
    </row>
    <row r="6021" spans="9:9" ht="18" customHeight="1">
      <c r="I6021" s="1" ph="1"/>
    </row>
    <row r="6022" spans="9:9" ht="18" customHeight="1">
      <c r="I6022" s="1" ph="1"/>
    </row>
    <row r="6023" spans="9:9" ht="18" customHeight="1">
      <c r="I6023" s="1" ph="1"/>
    </row>
    <row r="6024" spans="9:9" ht="18" customHeight="1">
      <c r="I6024" s="1" ph="1"/>
    </row>
    <row r="6025" spans="9:9" ht="18" customHeight="1">
      <c r="I6025" s="1" ph="1"/>
    </row>
    <row r="6026" spans="9:9" ht="18" customHeight="1">
      <c r="I6026" s="1" ph="1"/>
    </row>
    <row r="6027" spans="9:9" ht="18" customHeight="1">
      <c r="I6027" s="1" ph="1"/>
    </row>
    <row r="6028" spans="9:9" ht="18" customHeight="1">
      <c r="I6028" s="1" ph="1"/>
    </row>
    <row r="6029" spans="9:9" ht="18" customHeight="1">
      <c r="I6029" s="1" ph="1"/>
    </row>
    <row r="6030" spans="9:9" ht="18" customHeight="1">
      <c r="I6030" s="1" ph="1"/>
    </row>
    <row r="6031" spans="9:9" ht="18" customHeight="1">
      <c r="I6031" s="1" ph="1"/>
    </row>
    <row r="6032" spans="9:9" ht="18" customHeight="1">
      <c r="I6032" s="1" ph="1"/>
    </row>
    <row r="6033" spans="9:9" ht="18" customHeight="1">
      <c r="I6033" s="1" ph="1"/>
    </row>
    <row r="6034" spans="9:9" ht="18" customHeight="1">
      <c r="I6034" s="1" ph="1"/>
    </row>
    <row r="6035" spans="9:9" ht="18" customHeight="1">
      <c r="I6035" s="1" ph="1"/>
    </row>
    <row r="6036" spans="9:9" ht="18" customHeight="1">
      <c r="I6036" s="1" ph="1"/>
    </row>
    <row r="6037" spans="9:9" ht="18" customHeight="1">
      <c r="I6037" s="1" ph="1"/>
    </row>
    <row r="6038" spans="9:9" ht="18" customHeight="1">
      <c r="I6038" s="1" ph="1"/>
    </row>
    <row r="6039" spans="9:9" ht="18" customHeight="1">
      <c r="I6039" s="1" ph="1"/>
    </row>
    <row r="6040" spans="9:9" ht="18" customHeight="1">
      <c r="I6040" s="1" ph="1"/>
    </row>
    <row r="6041" spans="9:9" ht="18" customHeight="1">
      <c r="I6041" s="1" ph="1"/>
    </row>
    <row r="6042" spans="9:9" ht="18" customHeight="1">
      <c r="I6042" s="1" ph="1"/>
    </row>
    <row r="6043" spans="9:9" ht="18" customHeight="1">
      <c r="I6043" s="1" ph="1"/>
    </row>
    <row r="6044" spans="9:9" ht="18" customHeight="1">
      <c r="I6044" s="1" ph="1"/>
    </row>
    <row r="6045" spans="9:9" ht="18" customHeight="1">
      <c r="I6045" s="1" ph="1"/>
    </row>
    <row r="6046" spans="9:9" ht="18" customHeight="1">
      <c r="I6046" s="1" ph="1"/>
    </row>
    <row r="6047" spans="9:9" ht="18" customHeight="1">
      <c r="I6047" s="1" ph="1"/>
    </row>
    <row r="6048" spans="9:9" ht="18" customHeight="1">
      <c r="I6048" s="1" ph="1"/>
    </row>
    <row r="6049" spans="9:9" ht="18" customHeight="1">
      <c r="I6049" s="1" ph="1"/>
    </row>
    <row r="6050" spans="9:9" ht="18" customHeight="1">
      <c r="I6050" s="1" ph="1"/>
    </row>
    <row r="6051" spans="9:9" ht="18" customHeight="1">
      <c r="I6051" s="1" ph="1"/>
    </row>
    <row r="6052" spans="9:9" ht="18" customHeight="1">
      <c r="I6052" s="1" ph="1"/>
    </row>
    <row r="6053" spans="9:9" ht="18" customHeight="1">
      <c r="I6053" s="1" ph="1"/>
    </row>
    <row r="6054" spans="9:9" ht="18" customHeight="1">
      <c r="I6054" s="1" ph="1"/>
    </row>
    <row r="6055" spans="9:9" ht="18" customHeight="1">
      <c r="I6055" s="1" ph="1"/>
    </row>
    <row r="6056" spans="9:9" ht="18" customHeight="1">
      <c r="I6056" s="1" ph="1"/>
    </row>
    <row r="6057" spans="9:9" ht="18" customHeight="1">
      <c r="I6057" s="1" ph="1"/>
    </row>
    <row r="6058" spans="9:9" ht="18" customHeight="1">
      <c r="I6058" s="1" ph="1"/>
    </row>
    <row r="6059" spans="9:9" ht="18" customHeight="1">
      <c r="I6059" s="1" ph="1"/>
    </row>
    <row r="6060" spans="9:9" ht="18" customHeight="1">
      <c r="I6060" s="1" ph="1"/>
    </row>
    <row r="6061" spans="9:9" ht="18" customHeight="1">
      <c r="I6061" s="1" ph="1"/>
    </row>
    <row r="6062" spans="9:9" ht="18" customHeight="1">
      <c r="I6062" s="1" ph="1"/>
    </row>
    <row r="6063" spans="9:9" ht="18" customHeight="1">
      <c r="I6063" s="1" ph="1"/>
    </row>
    <row r="6064" spans="9:9" ht="18" customHeight="1">
      <c r="I6064" s="1" ph="1"/>
    </row>
    <row r="6065" spans="9:9" ht="18" customHeight="1">
      <c r="I6065" s="1" ph="1"/>
    </row>
    <row r="6066" spans="9:9" ht="18" customHeight="1">
      <c r="I6066" s="1" ph="1"/>
    </row>
    <row r="6067" spans="9:9" ht="18" customHeight="1">
      <c r="I6067" s="1" ph="1"/>
    </row>
    <row r="6068" spans="9:9" ht="18" customHeight="1">
      <c r="I6068" s="1" ph="1"/>
    </row>
    <row r="6069" spans="9:9" ht="18" customHeight="1">
      <c r="I6069" s="1" ph="1"/>
    </row>
    <row r="6070" spans="9:9" ht="18" customHeight="1">
      <c r="I6070" s="1" ph="1"/>
    </row>
    <row r="6071" spans="9:9" ht="18" customHeight="1">
      <c r="I6071" s="1" ph="1"/>
    </row>
    <row r="6072" spans="9:9" ht="18" customHeight="1">
      <c r="I6072" s="1" ph="1"/>
    </row>
    <row r="6073" spans="9:9" ht="18" customHeight="1">
      <c r="I6073" s="1" ph="1"/>
    </row>
    <row r="6074" spans="9:9" ht="18" customHeight="1">
      <c r="I6074" s="1" ph="1"/>
    </row>
    <row r="6075" spans="9:9" ht="18" customHeight="1">
      <c r="I6075" s="1" ph="1"/>
    </row>
    <row r="6076" spans="9:9" ht="18" customHeight="1">
      <c r="I6076" s="1" ph="1"/>
    </row>
    <row r="6077" spans="9:9" ht="18" customHeight="1">
      <c r="I6077" s="1" ph="1"/>
    </row>
    <row r="6078" spans="9:9" ht="18" customHeight="1">
      <c r="I6078" s="1" ph="1"/>
    </row>
    <row r="6079" spans="9:9" ht="18" customHeight="1">
      <c r="I6079" s="1" ph="1"/>
    </row>
    <row r="6080" spans="9:9" ht="18" customHeight="1">
      <c r="I6080" s="1" ph="1"/>
    </row>
    <row r="6081" spans="9:9" ht="18" customHeight="1">
      <c r="I6081" s="1" ph="1"/>
    </row>
    <row r="6082" spans="9:9" ht="18" customHeight="1">
      <c r="I6082" s="1" ph="1"/>
    </row>
    <row r="6083" spans="9:9" ht="18" customHeight="1">
      <c r="I6083" s="1" ph="1"/>
    </row>
    <row r="6084" spans="9:9" ht="18" customHeight="1">
      <c r="I6084" s="1" ph="1"/>
    </row>
    <row r="6085" spans="9:9" ht="18" customHeight="1">
      <c r="I6085" s="1" ph="1"/>
    </row>
    <row r="6086" spans="9:9" ht="18" customHeight="1">
      <c r="I6086" s="1" ph="1"/>
    </row>
    <row r="6087" spans="9:9" ht="18" customHeight="1">
      <c r="I6087" s="1" ph="1"/>
    </row>
    <row r="6088" spans="9:9" ht="18" customHeight="1">
      <c r="I6088" s="1" ph="1"/>
    </row>
    <row r="6089" spans="9:9" ht="18" customHeight="1">
      <c r="I6089" s="1" ph="1"/>
    </row>
    <row r="6090" spans="9:9" ht="18" customHeight="1">
      <c r="I6090" s="1" ph="1"/>
    </row>
    <row r="6091" spans="9:9" ht="18" customHeight="1">
      <c r="I6091" s="1" ph="1"/>
    </row>
    <row r="6092" spans="9:9" ht="18" customHeight="1">
      <c r="I6092" s="1" ph="1"/>
    </row>
    <row r="6093" spans="9:9" ht="18" customHeight="1">
      <c r="I6093" s="1" ph="1"/>
    </row>
    <row r="6094" spans="9:9" ht="18" customHeight="1">
      <c r="I6094" s="1" ph="1"/>
    </row>
    <row r="6095" spans="9:9" ht="18" customHeight="1">
      <c r="I6095" s="1" ph="1"/>
    </row>
    <row r="6096" spans="9:9" ht="18" customHeight="1">
      <c r="I6096" s="1" ph="1"/>
    </row>
    <row r="6097" spans="9:9" ht="18" customHeight="1">
      <c r="I6097" s="1" ph="1"/>
    </row>
    <row r="6098" spans="9:9" ht="18" customHeight="1">
      <c r="I6098" s="1" ph="1"/>
    </row>
    <row r="6099" spans="9:9" ht="18" customHeight="1">
      <c r="I6099" s="1" ph="1"/>
    </row>
    <row r="6100" spans="9:9" ht="18" customHeight="1">
      <c r="I6100" s="1" ph="1"/>
    </row>
    <row r="6101" spans="9:9" ht="18" customHeight="1">
      <c r="I6101" s="1" ph="1"/>
    </row>
    <row r="6102" spans="9:9" ht="18" customHeight="1">
      <c r="I6102" s="1" ph="1"/>
    </row>
    <row r="6103" spans="9:9" ht="18" customHeight="1">
      <c r="I6103" s="1" ph="1"/>
    </row>
    <row r="6104" spans="9:9" ht="18" customHeight="1">
      <c r="I6104" s="1" ph="1"/>
    </row>
    <row r="6105" spans="9:9" ht="18" customHeight="1">
      <c r="I6105" s="1" ph="1"/>
    </row>
    <row r="6106" spans="9:9" ht="18" customHeight="1">
      <c r="I6106" s="1" ph="1"/>
    </row>
    <row r="6107" spans="9:9" ht="18" customHeight="1">
      <c r="I6107" s="1" ph="1"/>
    </row>
    <row r="6108" spans="9:9" ht="18" customHeight="1">
      <c r="I6108" s="1" ph="1"/>
    </row>
    <row r="6109" spans="9:9" ht="18" customHeight="1">
      <c r="I6109" s="1" ph="1"/>
    </row>
    <row r="6110" spans="9:9" ht="18" customHeight="1">
      <c r="I6110" s="1" ph="1"/>
    </row>
    <row r="6111" spans="9:9" ht="18" customHeight="1">
      <c r="I6111" s="1" ph="1"/>
    </row>
    <row r="6112" spans="9:9" ht="18" customHeight="1">
      <c r="I6112" s="1" ph="1"/>
    </row>
    <row r="6113" spans="9:9" ht="18" customHeight="1">
      <c r="I6113" s="1" ph="1"/>
    </row>
    <row r="6114" spans="9:9" ht="18" customHeight="1">
      <c r="I6114" s="1" ph="1"/>
    </row>
    <row r="6115" spans="9:9" ht="18" customHeight="1">
      <c r="I6115" s="1" ph="1"/>
    </row>
    <row r="6116" spans="9:9" ht="18" customHeight="1">
      <c r="I6116" s="1" ph="1"/>
    </row>
    <row r="6117" spans="9:9" ht="18" customHeight="1">
      <c r="I6117" s="1" ph="1"/>
    </row>
    <row r="6118" spans="9:9" ht="18" customHeight="1">
      <c r="I6118" s="1" ph="1"/>
    </row>
    <row r="6119" spans="9:9" ht="18" customHeight="1">
      <c r="I6119" s="1" ph="1"/>
    </row>
    <row r="6120" spans="9:9" ht="18" customHeight="1">
      <c r="I6120" s="1" ph="1"/>
    </row>
    <row r="6121" spans="9:9" ht="18" customHeight="1">
      <c r="I6121" s="1" ph="1"/>
    </row>
    <row r="6122" spans="9:9" ht="18" customHeight="1">
      <c r="I6122" s="1" ph="1"/>
    </row>
    <row r="6123" spans="9:9" ht="18" customHeight="1">
      <c r="I6123" s="1" ph="1"/>
    </row>
    <row r="6124" spans="9:9" ht="18" customHeight="1">
      <c r="I6124" s="1" ph="1"/>
    </row>
    <row r="6125" spans="9:9" ht="18" customHeight="1">
      <c r="I6125" s="1" ph="1"/>
    </row>
    <row r="6126" spans="9:9" ht="18" customHeight="1">
      <c r="I6126" s="1" ph="1"/>
    </row>
    <row r="6127" spans="9:9" ht="18" customHeight="1">
      <c r="I6127" s="1" ph="1"/>
    </row>
    <row r="6128" spans="9:9" ht="18" customHeight="1">
      <c r="I6128" s="1" ph="1"/>
    </row>
    <row r="6129" spans="9:9" ht="18" customHeight="1">
      <c r="I6129" s="1" ph="1"/>
    </row>
    <row r="6130" spans="9:9" ht="18" customHeight="1">
      <c r="I6130" s="1" ph="1"/>
    </row>
    <row r="6131" spans="9:9" ht="18" customHeight="1">
      <c r="I6131" s="1" ph="1"/>
    </row>
    <row r="6132" spans="9:9" ht="18" customHeight="1">
      <c r="I6132" s="1" ph="1"/>
    </row>
    <row r="6133" spans="9:9" ht="18" customHeight="1">
      <c r="I6133" s="1" ph="1"/>
    </row>
    <row r="6134" spans="9:9" ht="18" customHeight="1">
      <c r="I6134" s="1" ph="1"/>
    </row>
    <row r="6135" spans="9:9" ht="18" customHeight="1">
      <c r="I6135" s="1" ph="1"/>
    </row>
    <row r="6136" spans="9:9" ht="18" customHeight="1">
      <c r="I6136" s="1" ph="1"/>
    </row>
    <row r="6137" spans="9:9" ht="18" customHeight="1">
      <c r="I6137" s="1" ph="1"/>
    </row>
    <row r="6138" spans="9:9" ht="18" customHeight="1">
      <c r="I6138" s="1" ph="1"/>
    </row>
    <row r="6139" spans="9:9" ht="18" customHeight="1">
      <c r="I6139" s="1" ph="1"/>
    </row>
    <row r="6140" spans="9:9" ht="18" customHeight="1">
      <c r="I6140" s="1" ph="1"/>
    </row>
    <row r="6141" spans="9:9" ht="18" customHeight="1">
      <c r="I6141" s="1" ph="1"/>
    </row>
    <row r="6142" spans="9:9" ht="18" customHeight="1">
      <c r="I6142" s="1" ph="1"/>
    </row>
    <row r="6143" spans="9:9" ht="18" customHeight="1">
      <c r="I6143" s="1" ph="1"/>
    </row>
    <row r="6144" spans="9:9" ht="18" customHeight="1">
      <c r="I6144" s="1" ph="1"/>
    </row>
    <row r="6145" spans="9:9" ht="18" customHeight="1">
      <c r="I6145" s="1" ph="1"/>
    </row>
    <row r="6146" spans="9:9" ht="18" customHeight="1">
      <c r="I6146" s="1" ph="1"/>
    </row>
    <row r="6147" spans="9:9" ht="18" customHeight="1">
      <c r="I6147" s="1" ph="1"/>
    </row>
    <row r="6148" spans="9:9" ht="18" customHeight="1">
      <c r="I6148" s="1" ph="1"/>
    </row>
    <row r="6149" spans="9:9" ht="18" customHeight="1">
      <c r="I6149" s="1" ph="1"/>
    </row>
    <row r="6150" spans="9:9" ht="18" customHeight="1">
      <c r="I6150" s="1" ph="1"/>
    </row>
    <row r="6151" spans="9:9" ht="18" customHeight="1">
      <c r="I6151" s="1" ph="1"/>
    </row>
    <row r="6152" spans="9:9" ht="18" customHeight="1">
      <c r="I6152" s="1" ph="1"/>
    </row>
    <row r="6153" spans="9:9" ht="18" customHeight="1">
      <c r="I6153" s="1" ph="1"/>
    </row>
    <row r="6154" spans="9:9" ht="18" customHeight="1">
      <c r="I6154" s="1" ph="1"/>
    </row>
    <row r="6155" spans="9:9" ht="18" customHeight="1">
      <c r="I6155" s="1" ph="1"/>
    </row>
    <row r="6156" spans="9:9" ht="18" customHeight="1">
      <c r="I6156" s="1" ph="1"/>
    </row>
    <row r="6157" spans="9:9" ht="18" customHeight="1">
      <c r="I6157" s="1" ph="1"/>
    </row>
    <row r="6158" spans="9:9" ht="18" customHeight="1">
      <c r="I6158" s="1" ph="1"/>
    </row>
    <row r="6159" spans="9:9" ht="18" customHeight="1">
      <c r="I6159" s="1" ph="1"/>
    </row>
    <row r="6160" spans="9:9" ht="18" customHeight="1">
      <c r="I6160" s="1" ph="1"/>
    </row>
    <row r="6161" spans="9:9" ht="18" customHeight="1">
      <c r="I6161" s="1" ph="1"/>
    </row>
    <row r="6162" spans="9:9" ht="18" customHeight="1">
      <c r="I6162" s="1" ph="1"/>
    </row>
    <row r="6163" spans="9:9" ht="18" customHeight="1">
      <c r="I6163" s="1" ph="1"/>
    </row>
    <row r="6164" spans="9:9" ht="18" customHeight="1">
      <c r="I6164" s="1" ph="1"/>
    </row>
    <row r="6165" spans="9:9" ht="18" customHeight="1">
      <c r="I6165" s="1" ph="1"/>
    </row>
    <row r="6166" spans="9:9" ht="18" customHeight="1">
      <c r="I6166" s="1" ph="1"/>
    </row>
    <row r="6167" spans="9:9" ht="18" customHeight="1">
      <c r="I6167" s="1" ph="1"/>
    </row>
    <row r="6168" spans="9:9" ht="18" customHeight="1">
      <c r="I6168" s="1" ph="1"/>
    </row>
    <row r="6169" spans="9:9" ht="18" customHeight="1">
      <c r="I6169" s="1" ph="1"/>
    </row>
    <row r="6170" spans="9:9" ht="18" customHeight="1">
      <c r="I6170" s="1" ph="1"/>
    </row>
    <row r="6171" spans="9:9" ht="18" customHeight="1">
      <c r="I6171" s="1" ph="1"/>
    </row>
    <row r="6172" spans="9:9" ht="18" customHeight="1">
      <c r="I6172" s="1" ph="1"/>
    </row>
    <row r="6173" spans="9:9" ht="18" customHeight="1">
      <c r="I6173" s="1" ph="1"/>
    </row>
    <row r="6174" spans="9:9" ht="18" customHeight="1">
      <c r="I6174" s="1" ph="1"/>
    </row>
    <row r="6175" spans="9:9" ht="18" customHeight="1">
      <c r="I6175" s="1" ph="1"/>
    </row>
    <row r="6176" spans="9:9" ht="18" customHeight="1">
      <c r="I6176" s="1" ph="1"/>
    </row>
    <row r="6177" spans="9:9" ht="18" customHeight="1">
      <c r="I6177" s="1" ph="1"/>
    </row>
    <row r="6178" spans="9:9" ht="18" customHeight="1">
      <c r="I6178" s="1" ph="1"/>
    </row>
    <row r="6179" spans="9:9" ht="18" customHeight="1">
      <c r="I6179" s="1" ph="1"/>
    </row>
    <row r="6180" spans="9:9" ht="18" customHeight="1">
      <c r="I6180" s="1" ph="1"/>
    </row>
    <row r="6181" spans="9:9" ht="18" customHeight="1">
      <c r="I6181" s="1" ph="1"/>
    </row>
    <row r="6182" spans="9:9" ht="18" customHeight="1">
      <c r="I6182" s="1" ph="1"/>
    </row>
    <row r="6183" spans="9:9" ht="18" customHeight="1">
      <c r="I6183" s="1" ph="1"/>
    </row>
    <row r="6184" spans="9:9" ht="18" customHeight="1">
      <c r="I6184" s="1" ph="1"/>
    </row>
    <row r="6185" spans="9:9" ht="18" customHeight="1">
      <c r="I6185" s="1" ph="1"/>
    </row>
    <row r="6186" spans="9:9" ht="18" customHeight="1">
      <c r="I6186" s="1" ph="1"/>
    </row>
    <row r="6187" spans="9:9" ht="18" customHeight="1">
      <c r="I6187" s="1" ph="1"/>
    </row>
    <row r="6188" spans="9:9" ht="18" customHeight="1">
      <c r="I6188" s="1" ph="1"/>
    </row>
    <row r="6189" spans="9:9" ht="18" customHeight="1">
      <c r="I6189" s="1" ph="1"/>
    </row>
    <row r="6190" spans="9:9" ht="18" customHeight="1">
      <c r="I6190" s="1" ph="1"/>
    </row>
    <row r="6191" spans="9:9" ht="18" customHeight="1">
      <c r="I6191" s="1" ph="1"/>
    </row>
    <row r="6192" spans="9:9" ht="18" customHeight="1">
      <c r="I6192" s="1" ph="1"/>
    </row>
    <row r="6193" spans="9:9" ht="18" customHeight="1">
      <c r="I6193" s="1" ph="1"/>
    </row>
    <row r="6194" spans="9:9" ht="18" customHeight="1">
      <c r="I6194" s="1" ph="1"/>
    </row>
    <row r="6213" spans="9:10" ht="18" customHeight="1">
      <c r="I6213" s="1" ph="1"/>
      <c r="J6213" s="1" ph="1"/>
    </row>
    <row r="6227" spans="9:10" ht="18" customHeight="1">
      <c r="I6227" s="1" ph="1"/>
      <c r="J6227" s="1" ph="1"/>
    </row>
    <row r="6233" spans="9:10" ht="18" customHeight="1">
      <c r="I6233" s="1" ph="1"/>
      <c r="J6233" s="1" ph="1"/>
    </row>
    <row r="6273" spans="9:10" ht="18" customHeight="1">
      <c r="I6273" s="1" ph="1"/>
      <c r="J6273" s="1" ph="1"/>
    </row>
    <row r="6280" spans="9:10" ht="18" customHeight="1">
      <c r="I6280" s="1" ph="1"/>
      <c r="J6280" s="1" ph="1"/>
    </row>
    <row r="6337" spans="9:10" ht="18" customHeight="1">
      <c r="I6337" s="1" ph="1"/>
      <c r="J6337" s="1" ph="1"/>
    </row>
    <row r="6348" spans="9:10" ht="18" customHeight="1">
      <c r="I6348" s="1" ph="1"/>
      <c r="J6348" s="1" ph="1"/>
    </row>
    <row r="6349" spans="9:10" ht="18" customHeight="1">
      <c r="I6349" s="1" ph="1"/>
      <c r="J6349" s="1" ph="1"/>
    </row>
    <row r="6352" spans="9:10" ht="18" customHeight="1">
      <c r="I6352" s="1" ph="1"/>
      <c r="J6352" s="1" ph="1"/>
    </row>
    <row r="6355" spans="9:10" ht="18" customHeight="1">
      <c r="I6355" s="1" ph="1"/>
      <c r="J6355" s="1" ph="1"/>
    </row>
    <row r="6358" spans="9:10" ht="18" customHeight="1">
      <c r="I6358" s="1" ph="1"/>
      <c r="J6358" s="1" ph="1"/>
    </row>
    <row r="6430" spans="9:10" ht="18" customHeight="1">
      <c r="I6430" s="1" ph="1"/>
      <c r="J6430" s="1" ph="1"/>
    </row>
    <row r="6431" spans="9:10" ht="18" customHeight="1">
      <c r="I6431" s="1" ph="1"/>
      <c r="J6431" s="1" ph="1"/>
    </row>
    <row r="6435" spans="9:10" ht="18" customHeight="1">
      <c r="I6435" s="1" ph="1"/>
      <c r="J6435" s="1" ph="1"/>
    </row>
    <row r="6442" spans="9:10" ht="18" customHeight="1">
      <c r="I6442" s="1" ph="1"/>
      <c r="J6442" s="1" ph="1"/>
    </row>
    <row r="6447" spans="9:10" ht="18" customHeight="1">
      <c r="I6447" s="1" ph="1"/>
      <c r="J6447" s="1" ph="1"/>
    </row>
    <row r="6454" spans="9:10" ht="18" customHeight="1">
      <c r="I6454" s="1" ph="1"/>
      <c r="J6454" s="1" ph="1"/>
    </row>
    <row r="6497" spans="9:10" ht="18" customHeight="1">
      <c r="I6497" s="1" ph="1"/>
      <c r="J6497" s="1" ph="1"/>
    </row>
    <row r="6498" spans="9:10" ht="18" customHeight="1">
      <c r="I6498" s="1" ph="1"/>
      <c r="J6498" s="1" ph="1"/>
    </row>
    <row r="6530" spans="9:10" ht="18" customHeight="1">
      <c r="I6530" s="1" ph="1"/>
      <c r="J6530" s="1" ph="1"/>
    </row>
    <row r="6540" spans="9:10" ht="18" customHeight="1">
      <c r="I6540" s="1" ph="1"/>
      <c r="J6540" s="1" ph="1"/>
    </row>
    <row r="6547" spans="9:10" ht="18" customHeight="1">
      <c r="I6547" s="1" ph="1"/>
      <c r="J6547" s="1" ph="1"/>
    </row>
    <row r="6551" spans="9:10" ht="18" customHeight="1">
      <c r="I6551" s="1" ph="1"/>
      <c r="J6551" s="1" ph="1"/>
    </row>
    <row r="6555" spans="9:10" ht="18" customHeight="1">
      <c r="I6555" s="1" ph="1"/>
      <c r="J6555" s="1" ph="1"/>
    </row>
    <row r="6565" spans="9:10" ht="18" customHeight="1">
      <c r="I6565" s="1" ph="1"/>
      <c r="J6565" s="1" ph="1"/>
    </row>
    <row r="6566" spans="9:10" ht="18" customHeight="1">
      <c r="I6566" s="1" ph="1"/>
      <c r="J6566" s="1" ph="1"/>
    </row>
    <row r="6575" spans="9:10" ht="18" customHeight="1">
      <c r="I6575" s="1" ph="1"/>
      <c r="J6575" s="1" ph="1"/>
    </row>
    <row r="6584" spans="9:10" ht="18" customHeight="1">
      <c r="I6584" s="1" ph="1"/>
      <c r="J6584" s="1" ph="1"/>
    </row>
    <row r="6585" spans="9:10" ht="18" customHeight="1">
      <c r="I6585" s="1" ph="1"/>
      <c r="J6585" s="1" ph="1"/>
    </row>
    <row r="6640" spans="9:10" ht="18" customHeight="1">
      <c r="I6640" s="1" ph="1"/>
      <c r="J6640" s="1" ph="1"/>
    </row>
    <row r="6641" spans="9:10" ht="18" customHeight="1">
      <c r="I6641" s="1" ph="1"/>
      <c r="J6641" s="1" ph="1"/>
    </row>
    <row r="6644" spans="9:10" ht="18" customHeight="1">
      <c r="I6644" s="1" ph="1"/>
      <c r="J6644" s="1" ph="1"/>
    </row>
    <row r="6647" spans="9:10" ht="18" customHeight="1">
      <c r="I6647" s="1" ph="1"/>
      <c r="J6647" s="1" ph="1"/>
    </row>
    <row r="6649" spans="9:10" ht="18" customHeight="1">
      <c r="I6649" s="1" ph="1"/>
      <c r="J6649" s="1" ph="1"/>
    </row>
    <row r="6695" spans="9:10" ht="18" customHeight="1">
      <c r="I6695" s="1" ph="1"/>
      <c r="J6695" s="1" ph="1"/>
    </row>
    <row r="6698" spans="9:10" ht="18" customHeight="1">
      <c r="I6698" s="1" ph="1"/>
      <c r="J6698" s="1" ph="1"/>
    </row>
    <row r="6711" spans="9:10" ht="18" customHeight="1">
      <c r="I6711" s="1" ph="1"/>
      <c r="J6711" s="1" ph="1"/>
    </row>
    <row r="6727" spans="9:10" ht="18" customHeight="1">
      <c r="I6727" s="1" ph="1"/>
      <c r="J6727" s="1" ph="1"/>
    </row>
    <row r="6730" spans="9:10" ht="18" customHeight="1">
      <c r="I6730" s="1" ph="1"/>
      <c r="J6730" s="1" ph="1"/>
    </row>
    <row r="6742" spans="9:10" ht="18" customHeight="1">
      <c r="I6742" s="1" ph="1"/>
      <c r="J6742" s="1" ph="1"/>
    </row>
    <row r="6743" spans="9:10" ht="18" customHeight="1">
      <c r="I6743" s="1" ph="1"/>
      <c r="J6743" s="1" ph="1"/>
    </row>
    <row r="6746" spans="9:10" ht="18" customHeight="1">
      <c r="I6746" s="1" ph="1"/>
      <c r="J6746" s="1" ph="1"/>
    </row>
    <row r="6766" spans="9:10" ht="18" customHeight="1">
      <c r="I6766" s="1" ph="1"/>
      <c r="J6766" s="1" ph="1"/>
    </row>
    <row r="6795" spans="9:10" ht="18" customHeight="1">
      <c r="I6795" s="1" ph="1"/>
      <c r="J6795" s="1" ph="1"/>
    </row>
    <row r="6800" spans="9:10" ht="18" customHeight="1">
      <c r="I6800" s="1" ph="1"/>
      <c r="J6800" s="1" ph="1"/>
    </row>
    <row r="6809" spans="9:10" ht="18" customHeight="1">
      <c r="I6809" s="1" ph="1"/>
      <c r="J6809" s="1" ph="1"/>
    </row>
    <row r="6826" spans="9:10" ht="18" customHeight="1">
      <c r="I6826" s="1" ph="1"/>
      <c r="J6826" s="1" ph="1"/>
    </row>
    <row r="6858" spans="9:10" ht="18" customHeight="1">
      <c r="I6858" s="1" ph="1"/>
      <c r="J6858" s="1" ph="1"/>
    </row>
    <row r="6862" spans="9:10" ht="18" customHeight="1">
      <c r="I6862" s="1" ph="1"/>
      <c r="J6862" s="1" ph="1"/>
    </row>
    <row r="6887" spans="9:10" ht="18" customHeight="1">
      <c r="I6887" s="1" ph="1"/>
      <c r="J6887" s="1" ph="1"/>
    </row>
    <row r="6920" spans="9:10" ht="18" customHeight="1">
      <c r="I6920" s="1" ph="1"/>
      <c r="J6920" s="1" ph="1"/>
    </row>
    <row r="6987" spans="9:10" ht="18" customHeight="1">
      <c r="I6987" s="1" ph="1"/>
      <c r="J6987" s="1" ph="1"/>
    </row>
    <row r="6988" spans="9:10" ht="18" customHeight="1">
      <c r="I6988" s="1" ph="1"/>
      <c r="J6988" s="1" ph="1"/>
    </row>
    <row r="6992" spans="9:10" ht="18" customHeight="1">
      <c r="I6992" s="1" ph="1"/>
      <c r="J6992" s="1" ph="1"/>
    </row>
    <row r="7059" spans="9:10" ht="18" customHeight="1">
      <c r="I7059" s="1" ph="1"/>
      <c r="J7059" s="1" ph="1"/>
    </row>
    <row r="7072" spans="9:10" ht="18" customHeight="1">
      <c r="I7072" s="1" ph="1"/>
      <c r="J7072" s="1" ph="1"/>
    </row>
    <row r="7079" spans="9:10" ht="18" customHeight="1">
      <c r="I7079" s="1" ph="1"/>
      <c r="J7079" s="1" ph="1"/>
    </row>
    <row r="7080" spans="9:10" ht="18" customHeight="1">
      <c r="I7080" s="1" ph="1"/>
      <c r="J7080" s="1" ph="1"/>
    </row>
    <row r="7081" spans="9:10" ht="18" customHeight="1">
      <c r="I7081" s="1" ph="1"/>
      <c r="J7081" s="1" ph="1"/>
    </row>
    <row r="7089" spans="9:10" ht="18" customHeight="1">
      <c r="I7089" s="1" ph="1"/>
      <c r="J7089" s="1" ph="1"/>
    </row>
    <row r="7099" spans="9:10" ht="18" customHeight="1">
      <c r="I7099" s="1" ph="1"/>
      <c r="J7099" s="1" ph="1"/>
    </row>
    <row r="7106" spans="9:10" ht="18" customHeight="1">
      <c r="I7106" s="1" ph="1"/>
      <c r="J7106" s="1" ph="1"/>
    </row>
    <row r="7109" spans="9:10" ht="18" customHeight="1">
      <c r="I7109" s="1" ph="1"/>
      <c r="J7109" s="1" ph="1"/>
    </row>
    <row r="7110" spans="9:10" ht="18" customHeight="1">
      <c r="I7110" s="1" ph="1"/>
      <c r="J7110" s="1" ph="1"/>
    </row>
    <row r="7114" spans="9:10" ht="18" customHeight="1">
      <c r="I7114" s="1" ph="1"/>
      <c r="J7114" s="1" ph="1"/>
    </row>
    <row r="7117" spans="9:10" ht="18" customHeight="1">
      <c r="I7117" s="1" ph="1"/>
      <c r="J7117" s="1" ph="1"/>
    </row>
    <row r="7120" spans="9:10" ht="18" customHeight="1">
      <c r="I7120" s="1" ph="1"/>
      <c r="J7120" s="1" ph="1"/>
    </row>
    <row r="7140" spans="9:10" ht="18" customHeight="1">
      <c r="I7140" s="1" ph="1"/>
      <c r="J7140" s="1" ph="1"/>
    </row>
    <row r="7143" spans="9:10" ht="18" customHeight="1">
      <c r="I7143" s="1" ph="1"/>
      <c r="J7143" s="1" ph="1"/>
    </row>
    <row r="7153" spans="9:10" ht="18" customHeight="1">
      <c r="I7153" s="1" ph="1"/>
      <c r="J7153" s="1" ph="1"/>
    </row>
    <row r="7177" spans="9:10" ht="18" customHeight="1">
      <c r="I7177" s="1" ph="1"/>
      <c r="J7177" s="1" ph="1"/>
    </row>
    <row r="7180" spans="9:10" ht="18" customHeight="1">
      <c r="I7180" s="1" ph="1"/>
      <c r="J7180" s="1" ph="1"/>
    </row>
    <row r="7200" spans="9:10" ht="18" customHeight="1">
      <c r="I7200" s="1" ph="1"/>
      <c r="J7200" s="1" ph="1"/>
    </row>
    <row r="7215" spans="9:10" ht="18" customHeight="1">
      <c r="I7215" s="1" ph="1"/>
      <c r="J7215" s="1" ph="1"/>
    </row>
    <row r="7268" spans="9:10" ht="18" customHeight="1">
      <c r="I7268" s="1" ph="1"/>
      <c r="J7268" s="1" ph="1"/>
    </row>
    <row r="7284" spans="9:10" ht="18" customHeight="1">
      <c r="I7284" s="1" ph="1"/>
      <c r="J7284" s="1" ph="1"/>
    </row>
    <row r="7287" spans="9:10" ht="18" customHeight="1">
      <c r="I7287" s="1" ph="1"/>
      <c r="J7287" s="1" ph="1"/>
    </row>
    <row r="7290" spans="9:10" ht="18" customHeight="1">
      <c r="I7290" s="1" ph="1"/>
      <c r="J7290" s="1" ph="1"/>
    </row>
    <row r="7302" spans="9:10" ht="18" customHeight="1">
      <c r="I7302" s="1" ph="1"/>
      <c r="J7302" s="1" ph="1"/>
    </row>
    <row r="7306" spans="9:10" ht="18" customHeight="1">
      <c r="I7306" s="1" ph="1"/>
      <c r="J7306" s="1" ph="1"/>
    </row>
    <row r="7546" spans="9:10" ht="18" customHeight="1">
      <c r="I7546" s="1" ph="1"/>
      <c r="J7546" s="1" ph="1"/>
    </row>
    <row r="7550" spans="9:10" ht="18" customHeight="1">
      <c r="I7550" s="1" ph="1"/>
      <c r="J7550" s="1" ph="1"/>
    </row>
    <row r="7553" spans="9:10" ht="18" customHeight="1">
      <c r="I7553" s="1" ph="1"/>
      <c r="J7553" s="1" ph="1"/>
    </row>
    <row r="7554" spans="9:10" ht="18" customHeight="1">
      <c r="I7554" s="1" ph="1"/>
      <c r="J7554" s="1" ph="1"/>
    </row>
    <row r="7566" spans="9:10" ht="18" customHeight="1">
      <c r="I7566" s="1" ph="1"/>
      <c r="J7566" s="1" ph="1"/>
    </row>
    <row r="7574" spans="9:10" ht="18" customHeight="1">
      <c r="I7574" s="1" ph="1"/>
      <c r="J7574" s="1" ph="1"/>
    </row>
    <row r="7581" spans="9:10" ht="18" customHeight="1">
      <c r="I7581" s="1" ph="1"/>
      <c r="J7581" s="1" ph="1"/>
    </row>
    <row r="7587" spans="9:10" ht="18" customHeight="1">
      <c r="I7587" s="1" ph="1"/>
      <c r="J7587" s="1" ph="1"/>
    </row>
    <row r="7588" spans="9:10" ht="18" customHeight="1">
      <c r="I7588" s="1" ph="1"/>
      <c r="J7588" s="1" ph="1"/>
    </row>
    <row r="7610" spans="9:10" ht="18" customHeight="1">
      <c r="I7610" s="1" ph="1"/>
      <c r="J7610" s="1" ph="1"/>
    </row>
    <row r="7614" spans="9:10" ht="18" customHeight="1">
      <c r="I7614" s="1" ph="1"/>
      <c r="J7614" s="1" ph="1"/>
    </row>
    <row r="7618" spans="9:10" ht="18" customHeight="1">
      <c r="I7618" s="1" ph="1"/>
      <c r="J7618" s="1" ph="1"/>
    </row>
    <row r="7747" spans="9:10" ht="18" customHeight="1">
      <c r="I7747" s="1" ph="1"/>
      <c r="J7747" s="1" ph="1"/>
    </row>
    <row r="7750" spans="9:10" ht="18" customHeight="1">
      <c r="I7750" s="1" ph="1"/>
      <c r="J7750" s="1" ph="1"/>
    </row>
    <row r="7753" spans="9:10" ht="18" customHeight="1">
      <c r="I7753" s="1" ph="1"/>
      <c r="J7753" s="1" ph="1"/>
    </row>
    <row r="7761" spans="9:10" ht="18" customHeight="1">
      <c r="I7761" s="1" ph="1"/>
      <c r="J7761" s="1" ph="1"/>
    </row>
    <row r="7762" spans="9:10" ht="18" customHeight="1">
      <c r="I7762" s="1" ph="1"/>
      <c r="J7762" s="1" ph="1"/>
    </row>
    <row r="7767" spans="9:10" ht="18" customHeight="1">
      <c r="I7767" s="1" ph="1"/>
      <c r="J7767" s="1" ph="1"/>
    </row>
    <row r="7770" spans="9:10" ht="18" customHeight="1">
      <c r="I7770" s="1" ph="1"/>
      <c r="J7770" s="1" ph="1"/>
    </row>
    <row r="7789" spans="9:10" ht="18" customHeight="1">
      <c r="I7789" s="1" ph="1"/>
      <c r="J7789" s="1" ph="1"/>
    </row>
    <row r="7792" spans="9:10" ht="18" customHeight="1">
      <c r="I7792" s="1" ph="1"/>
      <c r="J7792" s="1" ph="1"/>
    </row>
    <row r="7795" spans="9:10" ht="18" customHeight="1">
      <c r="I7795" s="1" ph="1"/>
      <c r="J7795" s="1" ph="1"/>
    </row>
    <row r="7796" spans="9:10" ht="18" customHeight="1">
      <c r="I7796" s="1" ph="1"/>
      <c r="J7796" s="1" ph="1"/>
    </row>
    <row r="7898" spans="9:10" ht="18" customHeight="1">
      <c r="I7898" s="1" ph="1"/>
      <c r="J7898" s="1" ph="1"/>
    </row>
    <row r="7901" spans="9:10" ht="18" customHeight="1">
      <c r="I7901" s="1" ph="1"/>
      <c r="J7901" s="1" ph="1"/>
    </row>
    <row r="7905" spans="9:10" ht="18" customHeight="1">
      <c r="I7905" s="1" ph="1"/>
      <c r="J7905" s="1" ph="1"/>
    </row>
    <row r="7922" spans="9:10" ht="18" customHeight="1">
      <c r="I7922" s="1" ph="1"/>
      <c r="J7922" s="1" ph="1"/>
    </row>
    <row r="7926" spans="9:10" ht="18" customHeight="1">
      <c r="I7926" s="1" ph="1"/>
      <c r="J7926" s="1" ph="1"/>
    </row>
    <row r="7930" spans="9:10" ht="18" customHeight="1">
      <c r="I7930" s="1" ph="1"/>
      <c r="J7930" s="1" ph="1"/>
    </row>
    <row r="7935" spans="9:10" ht="18" customHeight="1">
      <c r="I7935" s="1" ph="1"/>
      <c r="J7935" s="1" ph="1"/>
    </row>
    <row r="8121" spans="9:10" ht="18" customHeight="1">
      <c r="I8121" s="1" ph="1"/>
      <c r="J8121" s="1" ph="1"/>
    </row>
    <row r="8128" spans="9:10" ht="18" customHeight="1">
      <c r="I8128" s="1" ph="1"/>
      <c r="J8128" s="1" ph="1"/>
    </row>
    <row r="8132" spans="9:10" ht="18" customHeight="1">
      <c r="I8132" s="1" ph="1"/>
      <c r="J8132" s="1" ph="1"/>
    </row>
    <row r="8187" spans="9:10" ht="18" customHeight="1">
      <c r="I8187" s="1" ph="1"/>
      <c r="J8187" s="1" ph="1"/>
    </row>
    <row r="8188" spans="9:10" ht="18" customHeight="1">
      <c r="I8188" s="1" ph="1"/>
      <c r="J8188" s="1" ph="1"/>
    </row>
    <row r="8227" spans="9:10" ht="18" customHeight="1">
      <c r="I8227" s="1" ph="1"/>
      <c r="J8227" s="1" ph="1"/>
    </row>
    <row r="8232" spans="9:10" ht="18" customHeight="1">
      <c r="I8232" s="1" ph="1"/>
      <c r="J8232" s="1" ph="1"/>
    </row>
    <row r="8244" spans="9:10" ht="18" customHeight="1">
      <c r="I8244" s="1" ph="1"/>
      <c r="J8244" s="1" ph="1"/>
    </row>
    <row r="8245" spans="9:10" ht="18" customHeight="1">
      <c r="I8245" s="1" ph="1"/>
      <c r="J8245" s="1" ph="1"/>
    </row>
    <row r="8248" spans="9:10" ht="18" customHeight="1">
      <c r="I8248" s="1" ph="1"/>
      <c r="J8248" s="1" ph="1"/>
    </row>
    <row r="8251" spans="9:10" ht="18" customHeight="1">
      <c r="I8251" s="1" ph="1"/>
      <c r="J8251" s="1" ph="1"/>
    </row>
    <row r="8265" spans="9:10" ht="18" customHeight="1">
      <c r="I8265" s="1" ph="1"/>
      <c r="J8265" s="1" ph="1"/>
    </row>
    <row r="8266" spans="9:10" ht="18" customHeight="1">
      <c r="I8266" s="1" ph="1"/>
      <c r="J8266" s="1" ph="1"/>
    </row>
    <row r="8269" spans="9:10" ht="18" customHeight="1">
      <c r="I8269" s="1" ph="1"/>
      <c r="J8269" s="1" ph="1"/>
    </row>
    <row r="8274" spans="9:10" ht="18" customHeight="1">
      <c r="I8274" s="1" ph="1"/>
      <c r="J8274" s="1" ph="1"/>
    </row>
    <row r="8295" spans="9:10" ht="18" customHeight="1">
      <c r="I8295" s="1" ph="1"/>
      <c r="J8295" s="1" ph="1"/>
    </row>
    <row r="8298" spans="9:10" ht="18" customHeight="1">
      <c r="I8298" s="1" ph="1"/>
      <c r="J8298" s="1" ph="1"/>
    </row>
    <row r="8328" spans="9:10" ht="18" customHeight="1">
      <c r="I8328" s="1" ph="1"/>
      <c r="J8328" s="1" ph="1"/>
    </row>
    <row r="8433" spans="9:10" ht="18" customHeight="1">
      <c r="I8433" s="1" ph="1"/>
      <c r="J8433" s="1" ph="1"/>
    </row>
    <row r="8436" spans="9:10" ht="18" customHeight="1">
      <c r="I8436" s="1" ph="1"/>
      <c r="J8436" s="1" ph="1"/>
    </row>
    <row r="8510" spans="9:10" ht="18" customHeight="1">
      <c r="I8510" s="1" ph="1"/>
      <c r="J8510" s="1" ph="1"/>
    </row>
    <row r="8553" spans="9:10" ht="18" customHeight="1">
      <c r="I8553" s="1" ph="1"/>
      <c r="J8553" s="1" ph="1"/>
    </row>
    <row r="8617" spans="9:10" ht="18" customHeight="1">
      <c r="I8617" s="1" ph="1"/>
      <c r="J8617" s="1" ph="1"/>
    </row>
    <row r="8624" spans="9:10" ht="18" customHeight="1">
      <c r="I8624" s="1" ph="1"/>
      <c r="J8624" s="1" ph="1"/>
    </row>
    <row r="8639" spans="9:10" ht="18" customHeight="1">
      <c r="I8639" s="1" ph="1"/>
      <c r="J8639" s="1" ph="1"/>
    </row>
    <row r="8642" spans="9:10" ht="18" customHeight="1">
      <c r="I8642" s="1" ph="1"/>
      <c r="J8642" s="1" ph="1"/>
    </row>
    <row r="8650" spans="9:10" ht="18" customHeight="1">
      <c r="I8650" s="1" ph="1"/>
      <c r="J8650" s="1" ph="1"/>
    </row>
    <row r="8700" spans="9:10" ht="18" customHeight="1">
      <c r="I8700" s="1" ph="1"/>
      <c r="J8700" s="1" ph="1"/>
    </row>
    <row r="8767" spans="9:10" ht="18" customHeight="1">
      <c r="I8767" s="1" ph="1"/>
      <c r="J8767" s="1" ph="1"/>
    </row>
    <row r="8782" spans="9:10" ht="18" customHeight="1">
      <c r="I8782" s="1" ph="1"/>
      <c r="J8782" s="1" ph="1"/>
    </row>
    <row r="8793" spans="9:10" ht="18" customHeight="1">
      <c r="I8793" s="1" ph="1"/>
      <c r="J8793" s="1" ph="1"/>
    </row>
    <row r="8794" spans="9:10" ht="18" customHeight="1">
      <c r="I8794" s="1" ph="1"/>
      <c r="J8794" s="1" ph="1"/>
    </row>
    <row r="8797" spans="9:10" ht="18" customHeight="1">
      <c r="I8797" s="1" ph="1"/>
      <c r="J8797" s="1" ph="1"/>
    </row>
    <row r="8801" spans="9:10" ht="18" customHeight="1">
      <c r="I8801" s="1" ph="1"/>
      <c r="J8801" s="1" ph="1"/>
    </row>
    <row r="8839" spans="9:10" ht="18" customHeight="1">
      <c r="I8839" s="1" ph="1"/>
      <c r="J8839" s="1" ph="1"/>
    </row>
    <row r="8870" spans="9:10" ht="18" customHeight="1">
      <c r="I8870" s="1" ph="1"/>
      <c r="J8870" s="1" ph="1"/>
    </row>
    <row r="8936" spans="9:10" ht="18" customHeight="1">
      <c r="I8936" s="1" ph="1"/>
      <c r="J8936" s="1" ph="1"/>
    </row>
    <row r="8937" spans="9:10" ht="18" customHeight="1">
      <c r="I8937" s="1" ph="1"/>
      <c r="J8937" s="1" ph="1"/>
    </row>
    <row r="8956" spans="9:10" ht="18" customHeight="1">
      <c r="I8956" s="1" ph="1"/>
      <c r="J8956" s="1" ph="1"/>
    </row>
    <row r="8975" spans="9:10" ht="18" customHeight="1">
      <c r="I8975" s="1" ph="1"/>
      <c r="J8975" s="1" ph="1"/>
    </row>
    <row r="8982" spans="9:10" ht="18" customHeight="1">
      <c r="I8982" s="1" ph="1"/>
      <c r="J8982" s="1" ph="1"/>
    </row>
    <row r="9078" spans="9:9" ht="18" customHeight="1">
      <c r="I9078" s="1" ph="1"/>
    </row>
    <row r="9082" spans="9:9" ht="18" customHeight="1">
      <c r="I9082" s="1" ph="1"/>
    </row>
    <row r="9085" spans="9:9" ht="18" customHeight="1">
      <c r="I9085" s="1" ph="1"/>
    </row>
    <row r="9098" spans="9:9" ht="18" customHeight="1">
      <c r="I9098" s="1" ph="1"/>
    </row>
    <row r="9109" spans="9:9" ht="18" customHeight="1">
      <c r="I9109" s="1" ph="1"/>
    </row>
    <row r="9113" spans="9:9" ht="18" customHeight="1">
      <c r="I9113" s="1" ph="1"/>
    </row>
    <row r="9122" spans="9:9" ht="18" customHeight="1">
      <c r="I9122" s="1" ph="1"/>
    </row>
    <row r="9125" spans="9:9" ht="18" customHeight="1">
      <c r="I9125" s="1" ph="1"/>
    </row>
    <row r="9151" spans="9:9" ht="18" customHeight="1">
      <c r="I9151" s="1" ph="1"/>
    </row>
    <row r="9152" spans="9:9" ht="18" customHeight="1">
      <c r="I9152" s="1" ph="1"/>
    </row>
    <row r="9170" spans="9:9" ht="18" customHeight="1">
      <c r="I9170" s="1" ph="1"/>
    </row>
    <row r="9175" spans="9:9" ht="18" customHeight="1">
      <c r="I9175" s="1" ph="1"/>
    </row>
    <row r="9189" spans="9:9" ht="18" customHeight="1">
      <c r="I9189" s="1" ph="1"/>
    </row>
    <row r="9218" spans="9:9" ht="18" customHeight="1">
      <c r="I9218" s="1" ph="1"/>
    </row>
    <row r="9314" spans="9:9" ht="18" customHeight="1">
      <c r="I9314" s="1" ph="1"/>
    </row>
    <row r="9320" spans="9:9" ht="18" customHeight="1">
      <c r="I9320" s="1" ph="1"/>
    </row>
    <row r="9321" spans="9:9" ht="18" customHeight="1">
      <c r="I9321" s="1" ph="1"/>
    </row>
    <row r="9337" spans="9:9" ht="18" customHeight="1">
      <c r="I9337" s="1" ph="1"/>
    </row>
    <row r="9341" spans="9:9" ht="18" customHeight="1">
      <c r="I9341" s="1" ph="1"/>
    </row>
    <row r="9345" spans="9:9" ht="18" customHeight="1">
      <c r="I9345" s="1" ph="1"/>
    </row>
    <row r="9354" spans="9:9" ht="18" customHeight="1">
      <c r="I9354" s="1" ph="1"/>
    </row>
    <row r="9369" spans="9:9" ht="18" customHeight="1">
      <c r="I9369" s="1" ph="1"/>
    </row>
    <row r="9370" spans="9:9" ht="18" customHeight="1">
      <c r="I9370" s="1" ph="1"/>
    </row>
    <row r="9371" spans="9:9" ht="18" customHeight="1">
      <c r="I9371" s="1" ph="1"/>
    </row>
    <row r="9372" spans="9:9" ht="18" customHeight="1">
      <c r="I9372" s="1" ph="1"/>
    </row>
    <row r="9380" spans="9:9" ht="18" customHeight="1">
      <c r="I9380" s="1" ph="1"/>
    </row>
    <row r="9411" spans="9:9" ht="18" customHeight="1">
      <c r="I9411" s="1" ph="1"/>
    </row>
    <row r="9415" spans="9:9" ht="18" customHeight="1">
      <c r="I9415" s="1" ph="1"/>
    </row>
    <row r="9431" spans="9:9" ht="18" customHeight="1">
      <c r="I9431" s="1" ph="1"/>
    </row>
    <row r="9530" spans="9:9" ht="18" customHeight="1">
      <c r="I9530" s="1" ph="1"/>
    </row>
    <row r="9575" spans="9:9" ht="18" customHeight="1">
      <c r="I9575" s="1" ph="1"/>
    </row>
    <row r="9576" spans="9:9" ht="18" customHeight="1">
      <c r="I9576" s="1" ph="1"/>
    </row>
    <row r="9580" spans="9:9" ht="18" customHeight="1">
      <c r="I9580" s="1" ph="1"/>
    </row>
    <row r="9620" spans="9:9" ht="18" customHeight="1">
      <c r="I9620" s="1" ph="1"/>
    </row>
    <row r="9621" spans="9:9" ht="18" customHeight="1">
      <c r="I9621" s="1" ph="1"/>
    </row>
    <row r="9698" spans="9:9" ht="18" customHeight="1">
      <c r="I9698" s="1" ph="1"/>
    </row>
    <row r="9703" spans="9:9" ht="18" customHeight="1">
      <c r="I9703" s="1" ph="1"/>
    </row>
    <row r="9732" spans="9:9" ht="18" customHeight="1">
      <c r="I9732" s="1" ph="1"/>
    </row>
    <row r="9735" spans="9:9" ht="18" customHeight="1">
      <c r="I9735" s="1" ph="1"/>
    </row>
    <row r="9739" spans="9:9" ht="18" customHeight="1">
      <c r="I9739" s="1" ph="1"/>
    </row>
    <row r="9754" spans="9:9" ht="18" customHeight="1">
      <c r="I9754" s="1" ph="1"/>
    </row>
    <row r="9807" spans="9:9" ht="18" customHeight="1">
      <c r="I9807" s="1" ph="1"/>
    </row>
    <row r="9819" spans="9:9" ht="18" customHeight="1">
      <c r="I9819" s="1" ph="1"/>
    </row>
    <row r="9920" spans="9:9" ht="18" customHeight="1">
      <c r="I9920" s="1" ph="1"/>
    </row>
    <row r="9926" spans="9:9" ht="18" customHeight="1">
      <c r="I9926" s="1" ph="1"/>
    </row>
    <row r="9962" spans="9:9" ht="18" customHeight="1">
      <c r="I9962" s="1" ph="1"/>
    </row>
    <row r="10017" spans="9:9" ht="18" customHeight="1">
      <c r="I10017" s="1" ph="1"/>
    </row>
    <row r="10018" spans="9:9" ht="18" customHeight="1">
      <c r="I10018" s="1" ph="1"/>
    </row>
    <row r="10110" spans="9:9" ht="18" customHeight="1">
      <c r="I10110" s="1" ph="1"/>
    </row>
    <row r="10123" spans="9:9" ht="18" customHeight="1">
      <c r="I10123" s="1" ph="1"/>
    </row>
    <row r="10162" spans="9:9" ht="18" customHeight="1">
      <c r="I10162" s="1" ph="1"/>
    </row>
    <row r="10204" spans="9:9" ht="18" customHeight="1">
      <c r="I10204" s="1" ph="1"/>
    </row>
    <row r="10212" spans="9:9" ht="18" customHeight="1">
      <c r="I10212" s="1" ph="1"/>
    </row>
    <row r="10251" spans="9:9" ht="18" customHeight="1">
      <c r="I10251" s="1" ph="1"/>
    </row>
    <row r="10322" spans="9:9" ht="18" customHeight="1">
      <c r="I10322" s="1" ph="1"/>
    </row>
    <row r="10328" spans="9:9" ht="18" customHeight="1">
      <c r="I10328" s="1" ph="1"/>
    </row>
    <row r="10476" spans="9:9" ht="18" customHeight="1">
      <c r="I10476" s="1" ph="1"/>
    </row>
    <row r="10480" spans="9:9" ht="18" customHeight="1">
      <c r="I10480" s="1" ph="1"/>
    </row>
    <row r="10481" spans="9:9" ht="18" customHeight="1">
      <c r="I10481" s="1" ph="1"/>
    </row>
    <row r="10508" spans="9:9" ht="18" customHeight="1">
      <c r="I10508" s="1" ph="1"/>
    </row>
    <row r="10553" spans="9:9" ht="18" customHeight="1">
      <c r="I10553" s="1" ph="1"/>
    </row>
    <row r="10565" spans="9:9" ht="18" customHeight="1">
      <c r="I10565" s="1" ph="1"/>
    </row>
    <row r="10569" spans="9:9" ht="18" customHeight="1">
      <c r="I10569" s="1" ph="1"/>
    </row>
    <row r="10570" spans="9:9" ht="18" customHeight="1">
      <c r="I10570" s="1" ph="1"/>
    </row>
    <row r="10571" spans="9:9" ht="18" customHeight="1">
      <c r="I10571" s="1" ph="1"/>
    </row>
    <row r="10572" spans="9:9" ht="18" customHeight="1">
      <c r="I10572" s="1" ph="1"/>
    </row>
    <row r="10573" spans="9:9" ht="18" customHeight="1">
      <c r="I10573" s="1" ph="1"/>
    </row>
    <row r="10575" spans="9:9" ht="18" customHeight="1">
      <c r="I10575" s="1" ph="1"/>
    </row>
    <row r="10576" spans="9:9" ht="18" customHeight="1">
      <c r="I10576" s="1" ph="1"/>
    </row>
    <row r="10577" spans="9:9" ht="18" customHeight="1">
      <c r="I10577" s="1" ph="1"/>
    </row>
    <row r="10578" spans="9:9" ht="18" customHeight="1">
      <c r="I10578" s="1" ph="1"/>
    </row>
    <row r="10579" spans="9:9" ht="18" customHeight="1">
      <c r="I10579" s="1" ph="1"/>
    </row>
    <row r="10581" spans="9:9" ht="18" customHeight="1">
      <c r="I10581" s="1" ph="1"/>
    </row>
    <row r="10585" spans="9:9" ht="18" customHeight="1">
      <c r="I10585" s="1" ph="1"/>
    </row>
    <row r="10586" spans="9:9" ht="18" customHeight="1">
      <c r="I10586" s="1" ph="1"/>
    </row>
    <row r="10587" spans="9:9" ht="18" customHeight="1">
      <c r="I10587" s="1" ph="1"/>
    </row>
    <row r="10589" spans="9:9" ht="18" customHeight="1">
      <c r="I10589" s="1" ph="1"/>
    </row>
    <row r="10591" spans="9:9" ht="18" customHeight="1">
      <c r="I10591" s="1" ph="1"/>
    </row>
    <row r="10592" spans="9:9" ht="18" customHeight="1">
      <c r="I10592" s="1" ph="1"/>
    </row>
    <row r="10593" spans="9:9" ht="18" customHeight="1">
      <c r="I10593" s="1" ph="1"/>
    </row>
    <row r="10595" spans="9:9" ht="18" customHeight="1">
      <c r="I10595" s="1" ph="1"/>
    </row>
    <row r="10596" spans="9:9" ht="18" customHeight="1">
      <c r="I10596" s="1" ph="1"/>
    </row>
    <row r="10597" spans="9:9" ht="18" customHeight="1">
      <c r="I10597" s="1" ph="1"/>
    </row>
    <row r="10598" spans="9:9" ht="18" customHeight="1">
      <c r="I10598" s="1" ph="1"/>
    </row>
    <row r="10599" spans="9:9" ht="18" customHeight="1">
      <c r="I10599" s="1" ph="1"/>
    </row>
    <row r="10601" spans="9:9" ht="18" customHeight="1">
      <c r="I10601" s="1" ph="1"/>
    </row>
    <row r="10603" spans="9:9" ht="18" customHeight="1">
      <c r="I10603" s="1" ph="1"/>
    </row>
    <row r="10605" spans="9:9" ht="18" customHeight="1">
      <c r="I10605" s="1" ph="1"/>
    </row>
    <row r="10606" spans="9:9" ht="18" customHeight="1">
      <c r="I10606" s="1" ph="1"/>
    </row>
    <row r="10607" spans="9:9" ht="18" customHeight="1">
      <c r="I10607" s="1" ph="1"/>
    </row>
    <row r="10609" spans="9:9" ht="18" customHeight="1">
      <c r="I10609" s="1" ph="1"/>
    </row>
    <row r="10610" spans="9:9" ht="18" customHeight="1">
      <c r="I10610" s="1" ph="1"/>
    </row>
    <row r="10611" spans="9:9" ht="18" customHeight="1">
      <c r="I10611" s="1" ph="1"/>
    </row>
    <row r="10612" spans="9:9" ht="18" customHeight="1">
      <c r="I10612" s="1" ph="1"/>
    </row>
    <row r="10613" spans="9:9" ht="18" customHeight="1">
      <c r="I10613" s="1" ph="1"/>
    </row>
    <row r="10614" spans="9:9" ht="18" customHeight="1">
      <c r="I10614" s="1" ph="1"/>
    </row>
    <row r="10615" spans="9:9" ht="18" customHeight="1">
      <c r="I10615" s="1" ph="1"/>
    </row>
    <row r="10616" spans="9:9" ht="18" customHeight="1">
      <c r="I10616" s="1" ph="1"/>
    </row>
    <row r="10617" spans="9:9" ht="18" customHeight="1">
      <c r="I10617" s="1" ph="1"/>
    </row>
    <row r="10619" spans="9:9" ht="18" customHeight="1">
      <c r="I10619" s="1" ph="1"/>
    </row>
    <row r="10621" spans="9:9" ht="18" customHeight="1">
      <c r="I10621" s="1" ph="1"/>
    </row>
    <row r="10622" spans="9:9" ht="18" customHeight="1">
      <c r="I10622" s="1" ph="1"/>
    </row>
    <row r="10623" spans="9:9" ht="18" customHeight="1">
      <c r="I10623" s="1" ph="1"/>
    </row>
    <row r="10624" spans="9:9" ht="18" customHeight="1">
      <c r="I10624" s="1" ph="1"/>
    </row>
    <row r="10625" spans="9:9" ht="18" customHeight="1">
      <c r="I10625" s="1" ph="1"/>
    </row>
    <row r="10626" spans="9:9" ht="18" customHeight="1">
      <c r="I10626" s="1" ph="1"/>
    </row>
    <row r="10627" spans="9:9" ht="18" customHeight="1">
      <c r="I10627" s="1" ph="1"/>
    </row>
    <row r="10628" spans="9:9" ht="18" customHeight="1">
      <c r="I10628" s="1" ph="1"/>
    </row>
    <row r="10629" spans="9:9" ht="18" customHeight="1">
      <c r="I10629" s="1" ph="1"/>
    </row>
    <row r="10630" spans="9:9" ht="18" customHeight="1">
      <c r="I10630" s="1" ph="1"/>
    </row>
    <row r="10631" spans="9:9" ht="18" customHeight="1">
      <c r="I10631" s="1" ph="1"/>
    </row>
    <row r="10632" spans="9:9" ht="18" customHeight="1">
      <c r="I10632" s="1" ph="1"/>
    </row>
    <row r="10633" spans="9:9" ht="18" customHeight="1">
      <c r="I10633" s="1" ph="1"/>
    </row>
    <row r="10634" spans="9:9" ht="18" customHeight="1">
      <c r="I10634" s="1" ph="1"/>
    </row>
    <row r="10635" spans="9:9" ht="18" customHeight="1">
      <c r="I10635" s="1" ph="1"/>
    </row>
    <row r="10636" spans="9:9" ht="18" customHeight="1">
      <c r="I10636" s="1" ph="1"/>
    </row>
    <row r="10637" spans="9:9" ht="18" customHeight="1">
      <c r="I10637" s="1" ph="1"/>
    </row>
    <row r="10638" spans="9:9" ht="18" customHeight="1">
      <c r="I10638" s="1" ph="1"/>
    </row>
    <row r="10639" spans="9:9" ht="18" customHeight="1">
      <c r="I10639" s="1" ph="1"/>
    </row>
    <row r="10640" spans="9:9" ht="18" customHeight="1">
      <c r="I10640" s="1" ph="1"/>
    </row>
    <row r="10641" spans="9:9" ht="18" customHeight="1">
      <c r="I10641" s="1" ph="1"/>
    </row>
    <row r="10642" spans="9:9" ht="18" customHeight="1">
      <c r="I10642" s="1" ph="1"/>
    </row>
    <row r="10643" spans="9:9" ht="18" customHeight="1">
      <c r="I10643" s="1" ph="1"/>
    </row>
    <row r="10644" spans="9:9" ht="18" customHeight="1">
      <c r="I10644" s="1" ph="1"/>
    </row>
    <row r="10645" spans="9:9" ht="18" customHeight="1">
      <c r="I10645" s="1" ph="1"/>
    </row>
    <row r="10646" spans="9:9" ht="18" customHeight="1">
      <c r="I10646" s="1" ph="1"/>
    </row>
    <row r="10647" spans="9:9" ht="18" customHeight="1">
      <c r="I10647" s="1" ph="1"/>
    </row>
    <row r="10648" spans="9:9" ht="18" customHeight="1">
      <c r="I10648" s="1" ph="1"/>
    </row>
    <row r="10649" spans="9:9" ht="18" customHeight="1">
      <c r="I10649" s="1" ph="1"/>
    </row>
    <row r="10650" spans="9:9" ht="18" customHeight="1">
      <c r="I10650" s="1" ph="1"/>
    </row>
    <row r="10651" spans="9:9" ht="18" customHeight="1">
      <c r="I10651" s="1" ph="1"/>
    </row>
    <row r="10652" spans="9:9" ht="18" customHeight="1">
      <c r="I10652" s="1" ph="1"/>
    </row>
    <row r="10653" spans="9:9" ht="18" customHeight="1">
      <c r="I10653" s="1" ph="1"/>
    </row>
    <row r="10654" spans="9:9" ht="18" customHeight="1">
      <c r="I10654" s="1" ph="1"/>
    </row>
    <row r="10655" spans="9:9" ht="18" customHeight="1">
      <c r="I10655" s="1" ph="1"/>
    </row>
    <row r="10656" spans="9:9" ht="18" customHeight="1">
      <c r="I10656" s="1" ph="1"/>
    </row>
    <row r="10657" spans="9:9" ht="18" customHeight="1">
      <c r="I10657" s="1" ph="1"/>
    </row>
    <row r="10658" spans="9:9" ht="18" customHeight="1">
      <c r="I10658" s="1" ph="1"/>
    </row>
    <row r="10659" spans="9:9" ht="18" customHeight="1">
      <c r="I10659" s="1" ph="1"/>
    </row>
    <row r="10660" spans="9:9" ht="18" customHeight="1">
      <c r="I10660" s="1" ph="1"/>
    </row>
    <row r="10661" spans="9:9" ht="18" customHeight="1">
      <c r="I10661" s="1" ph="1"/>
    </row>
    <row r="10662" spans="9:9" ht="18" customHeight="1">
      <c r="I10662" s="1" ph="1"/>
    </row>
    <row r="10663" spans="9:9" ht="18" customHeight="1">
      <c r="I10663" s="1" ph="1"/>
    </row>
    <row r="10664" spans="9:9" ht="18" customHeight="1">
      <c r="I10664" s="1" ph="1"/>
    </row>
    <row r="10665" spans="9:9" ht="18" customHeight="1">
      <c r="I10665" s="1" ph="1"/>
    </row>
    <row r="10666" spans="9:9" ht="18" customHeight="1">
      <c r="I10666" s="1" ph="1"/>
    </row>
    <row r="10667" spans="9:9" ht="18" customHeight="1">
      <c r="I10667" s="1" ph="1"/>
    </row>
    <row r="10668" spans="9:9" ht="18" customHeight="1">
      <c r="I10668" s="1" ph="1"/>
    </row>
    <row r="10669" spans="9:9" ht="18" customHeight="1">
      <c r="I10669" s="1" ph="1"/>
    </row>
    <row r="10670" spans="9:9" ht="18" customHeight="1">
      <c r="I10670" s="1" ph="1"/>
    </row>
    <row r="10671" spans="9:9" ht="18" customHeight="1">
      <c r="I10671" s="1" ph="1"/>
    </row>
    <row r="10672" spans="9:9" ht="18" customHeight="1">
      <c r="I10672" s="1" ph="1"/>
    </row>
    <row r="10673" spans="9:9" ht="18" customHeight="1">
      <c r="I10673" s="1" ph="1"/>
    </row>
    <row r="10674" spans="9:9" ht="18" customHeight="1">
      <c r="I10674" s="1" ph="1"/>
    </row>
    <row r="10675" spans="9:9" ht="18" customHeight="1">
      <c r="I10675" s="1" ph="1"/>
    </row>
    <row r="10676" spans="9:9" ht="18" customHeight="1">
      <c r="I10676" s="1" ph="1"/>
    </row>
    <row r="10677" spans="9:9" ht="18" customHeight="1">
      <c r="I10677" s="1" ph="1"/>
    </row>
    <row r="10678" spans="9:9" ht="18" customHeight="1">
      <c r="I10678" s="1" ph="1"/>
    </row>
    <row r="10679" spans="9:9" ht="18" customHeight="1">
      <c r="I10679" s="1" ph="1"/>
    </row>
    <row r="10680" spans="9:9" ht="18" customHeight="1">
      <c r="I10680" s="1" ph="1"/>
    </row>
    <row r="10681" spans="9:9" ht="18" customHeight="1">
      <c r="I10681" s="1" ph="1"/>
    </row>
    <row r="10682" spans="9:9" ht="18" customHeight="1">
      <c r="I10682" s="1" ph="1"/>
    </row>
    <row r="10683" spans="9:9" ht="18" customHeight="1">
      <c r="I10683" s="1" ph="1"/>
    </row>
    <row r="10684" spans="9:9" ht="18" customHeight="1">
      <c r="I10684" s="1" ph="1"/>
    </row>
    <row r="10685" spans="9:9" ht="18" customHeight="1">
      <c r="I10685" s="1" ph="1"/>
    </row>
    <row r="10686" spans="9:9" ht="18" customHeight="1">
      <c r="I10686" s="1" ph="1"/>
    </row>
    <row r="10687" spans="9:9" ht="18" customHeight="1">
      <c r="I10687" s="1" ph="1"/>
    </row>
    <row r="10688" spans="9:9" ht="18" customHeight="1">
      <c r="I10688" s="1" ph="1"/>
    </row>
    <row r="10689" spans="9:9" ht="18" customHeight="1">
      <c r="I10689" s="1" ph="1"/>
    </row>
    <row r="10690" spans="9:9" ht="18" customHeight="1">
      <c r="I10690" s="1" ph="1"/>
    </row>
    <row r="10691" spans="9:9" ht="18" customHeight="1">
      <c r="I10691" s="1" ph="1"/>
    </row>
    <row r="10692" spans="9:9" ht="18" customHeight="1">
      <c r="I10692" s="1" ph="1"/>
    </row>
    <row r="10693" spans="9:9" ht="18" customHeight="1">
      <c r="I10693" s="1" ph="1"/>
    </row>
    <row r="10694" spans="9:9" ht="18" customHeight="1">
      <c r="I10694" s="1" ph="1"/>
    </row>
    <row r="10695" spans="9:9" ht="18" customHeight="1">
      <c r="I10695" s="1" ph="1"/>
    </row>
    <row r="10696" spans="9:9" ht="18" customHeight="1">
      <c r="I10696" s="1" ph="1"/>
    </row>
    <row r="10697" spans="9:9" ht="18" customHeight="1">
      <c r="I10697" s="1" ph="1"/>
    </row>
    <row r="10698" spans="9:9" ht="18" customHeight="1">
      <c r="I10698" s="1" ph="1"/>
    </row>
    <row r="10699" spans="9:9" ht="18" customHeight="1">
      <c r="I10699" s="1" ph="1"/>
    </row>
    <row r="10700" spans="9:9" ht="18" customHeight="1">
      <c r="I10700" s="1" ph="1"/>
    </row>
    <row r="10701" spans="9:9" ht="18" customHeight="1">
      <c r="I10701" s="1" ph="1"/>
    </row>
    <row r="10702" spans="9:9" ht="18" customHeight="1">
      <c r="I10702" s="1" ph="1"/>
    </row>
    <row r="10703" spans="9:9" ht="18" customHeight="1">
      <c r="I10703" s="1" ph="1"/>
    </row>
    <row r="10704" spans="9:9" ht="18" customHeight="1">
      <c r="I10704" s="1" ph="1"/>
    </row>
    <row r="10705" spans="9:9" ht="18" customHeight="1">
      <c r="I10705" s="1" ph="1"/>
    </row>
    <row r="10706" spans="9:9" ht="18" customHeight="1">
      <c r="I10706" s="1" ph="1"/>
    </row>
    <row r="10707" spans="9:9" ht="18" customHeight="1">
      <c r="I10707" s="1" ph="1"/>
    </row>
    <row r="10708" spans="9:9" ht="18" customHeight="1">
      <c r="I10708" s="1" ph="1"/>
    </row>
    <row r="10709" spans="9:9" ht="18" customHeight="1">
      <c r="I10709" s="1" ph="1"/>
    </row>
    <row r="10710" spans="9:9" ht="18" customHeight="1">
      <c r="I10710" s="1" ph="1"/>
    </row>
    <row r="10711" spans="9:9" ht="18" customHeight="1">
      <c r="I10711" s="1" ph="1"/>
    </row>
    <row r="10712" spans="9:9" ht="18" customHeight="1">
      <c r="I10712" s="1" ph="1"/>
    </row>
    <row r="10713" spans="9:9" ht="18" customHeight="1">
      <c r="I10713" s="1" ph="1"/>
    </row>
    <row r="10714" spans="9:9" ht="18" customHeight="1">
      <c r="I10714" s="1" ph="1"/>
    </row>
    <row r="10715" spans="9:9" ht="18" customHeight="1">
      <c r="I10715" s="1" ph="1"/>
    </row>
    <row r="10716" spans="9:9" ht="18" customHeight="1">
      <c r="I10716" s="1" ph="1"/>
    </row>
    <row r="10717" spans="9:9" ht="18" customHeight="1">
      <c r="I10717" s="1" ph="1"/>
    </row>
    <row r="10718" spans="9:9" ht="18" customHeight="1">
      <c r="I10718" s="1" ph="1"/>
    </row>
    <row r="10719" spans="9:9" ht="18" customHeight="1">
      <c r="I10719" s="1" ph="1"/>
    </row>
    <row r="10720" spans="9:9" ht="18" customHeight="1">
      <c r="I10720" s="1" ph="1"/>
    </row>
    <row r="10721" spans="9:9" ht="18" customHeight="1">
      <c r="I10721" s="1" ph="1"/>
    </row>
    <row r="10722" spans="9:9" ht="18" customHeight="1">
      <c r="I10722" s="1" ph="1"/>
    </row>
    <row r="10723" spans="9:9" ht="18" customHeight="1">
      <c r="I10723" s="1" ph="1"/>
    </row>
    <row r="10724" spans="9:9" ht="18" customHeight="1">
      <c r="I10724" s="1" ph="1"/>
    </row>
    <row r="10725" spans="9:9" ht="18" customHeight="1">
      <c r="I10725" s="1" ph="1"/>
    </row>
    <row r="10726" spans="9:9" ht="18" customHeight="1">
      <c r="I10726" s="1" ph="1"/>
    </row>
    <row r="10727" spans="9:9" ht="18" customHeight="1">
      <c r="I10727" s="1" ph="1"/>
    </row>
    <row r="10728" spans="9:9" ht="18" customHeight="1">
      <c r="I10728" s="1" ph="1"/>
    </row>
    <row r="10729" spans="9:9" ht="18" customHeight="1">
      <c r="I10729" s="1" ph="1"/>
    </row>
    <row r="10730" spans="9:9" ht="18" customHeight="1">
      <c r="I10730" s="1" ph="1"/>
    </row>
    <row r="10731" spans="9:9" ht="18" customHeight="1">
      <c r="I10731" s="1" ph="1"/>
    </row>
    <row r="10732" spans="9:9" ht="18" customHeight="1">
      <c r="I10732" s="1" ph="1"/>
    </row>
    <row r="10733" spans="9:9" ht="18" customHeight="1">
      <c r="I10733" s="1" ph="1"/>
    </row>
    <row r="10734" spans="9:9" ht="18" customHeight="1">
      <c r="I10734" s="1" ph="1"/>
    </row>
    <row r="10735" spans="9:9" ht="18" customHeight="1">
      <c r="I10735" s="1" ph="1"/>
    </row>
    <row r="10736" spans="9:9" ht="18" customHeight="1">
      <c r="I10736" s="1" ph="1"/>
    </row>
    <row r="10737" spans="9:9" ht="18" customHeight="1">
      <c r="I10737" s="1" ph="1"/>
    </row>
    <row r="10738" spans="9:9" ht="18" customHeight="1">
      <c r="I10738" s="1" ph="1"/>
    </row>
    <row r="10739" spans="9:9" ht="18" customHeight="1">
      <c r="I10739" s="1" ph="1"/>
    </row>
    <row r="10740" spans="9:9" ht="18" customHeight="1">
      <c r="I10740" s="1" ph="1"/>
    </row>
    <row r="10741" spans="9:9" ht="18" customHeight="1">
      <c r="I10741" s="1" ph="1"/>
    </row>
    <row r="10742" spans="9:9" ht="18" customHeight="1">
      <c r="I10742" s="1" ph="1"/>
    </row>
    <row r="10743" spans="9:9" ht="18" customHeight="1">
      <c r="I10743" s="1" ph="1"/>
    </row>
    <row r="10744" spans="9:9" ht="18" customHeight="1">
      <c r="I10744" s="1" ph="1"/>
    </row>
    <row r="10745" spans="9:9" ht="18" customHeight="1">
      <c r="I10745" s="1" ph="1"/>
    </row>
    <row r="10746" spans="9:9" ht="18" customHeight="1">
      <c r="I10746" s="1" ph="1"/>
    </row>
    <row r="10747" spans="9:9" ht="18" customHeight="1">
      <c r="I10747" s="1" ph="1"/>
    </row>
    <row r="10748" spans="9:9" ht="18" customHeight="1">
      <c r="I10748" s="1" ph="1"/>
    </row>
    <row r="10749" spans="9:9" ht="18" customHeight="1">
      <c r="I10749" s="1" ph="1"/>
    </row>
    <row r="10750" spans="9:9" ht="18" customHeight="1">
      <c r="I10750" s="1" ph="1"/>
    </row>
    <row r="10751" spans="9:9" ht="18" customHeight="1">
      <c r="I10751" s="1" ph="1"/>
    </row>
    <row r="10752" spans="9:9" ht="18" customHeight="1">
      <c r="I10752" s="1" ph="1"/>
    </row>
    <row r="10753" spans="9:9" ht="18" customHeight="1">
      <c r="I10753" s="1" ph="1"/>
    </row>
    <row r="10754" spans="9:9" ht="18" customHeight="1">
      <c r="I10754" s="1" ph="1"/>
    </row>
    <row r="10755" spans="9:9" ht="18" customHeight="1">
      <c r="I10755" s="1" ph="1"/>
    </row>
    <row r="10756" spans="9:9" ht="18" customHeight="1">
      <c r="I10756" s="1" ph="1"/>
    </row>
    <row r="10757" spans="9:9" ht="18" customHeight="1">
      <c r="I10757" s="1" ph="1"/>
    </row>
    <row r="10758" spans="9:9" ht="18" customHeight="1">
      <c r="I10758" s="1" ph="1"/>
    </row>
    <row r="10759" spans="9:9" ht="18" customHeight="1">
      <c r="I10759" s="1" ph="1"/>
    </row>
    <row r="10760" spans="9:9" ht="18" customHeight="1">
      <c r="I10760" s="1" ph="1"/>
    </row>
    <row r="10761" spans="9:9" ht="18" customHeight="1">
      <c r="I10761" s="1" ph="1"/>
    </row>
    <row r="10762" spans="9:9" ht="18" customHeight="1">
      <c r="I10762" s="1" ph="1"/>
    </row>
    <row r="10763" spans="9:9" ht="18" customHeight="1">
      <c r="I10763" s="1" ph="1"/>
    </row>
    <row r="10764" spans="9:9" ht="18" customHeight="1">
      <c r="I10764" s="1" ph="1"/>
    </row>
    <row r="10765" spans="9:9" ht="18" customHeight="1">
      <c r="I10765" s="1" ph="1"/>
    </row>
    <row r="10766" spans="9:9" ht="18" customHeight="1">
      <c r="I10766" s="1" ph="1"/>
    </row>
    <row r="10767" spans="9:9" ht="18" customHeight="1">
      <c r="I10767" s="1" ph="1"/>
    </row>
    <row r="10768" spans="9:9" ht="18" customHeight="1">
      <c r="I10768" s="1" ph="1"/>
    </row>
    <row r="10769" spans="9:9" ht="18" customHeight="1">
      <c r="I10769" s="1" ph="1"/>
    </row>
    <row r="10770" spans="9:9" ht="18" customHeight="1">
      <c r="I10770" s="1" ph="1"/>
    </row>
    <row r="10771" spans="9:9" ht="18" customHeight="1">
      <c r="I10771" s="1" ph="1"/>
    </row>
    <row r="10772" spans="9:9" ht="18" customHeight="1">
      <c r="I10772" s="1" ph="1"/>
    </row>
    <row r="10773" spans="9:9" ht="18" customHeight="1">
      <c r="I10773" s="1" ph="1"/>
    </row>
    <row r="10774" spans="9:9" ht="18" customHeight="1">
      <c r="I10774" s="1" ph="1"/>
    </row>
    <row r="10775" spans="9:9" ht="18" customHeight="1">
      <c r="I10775" s="1" ph="1"/>
    </row>
    <row r="10776" spans="9:9" ht="18" customHeight="1">
      <c r="I10776" s="1" ph="1"/>
    </row>
    <row r="10777" spans="9:9" ht="18" customHeight="1">
      <c r="I10777" s="1" ph="1"/>
    </row>
    <row r="10778" spans="9:9" ht="18" customHeight="1">
      <c r="I10778" s="1" ph="1"/>
    </row>
    <row r="10779" spans="9:9" ht="18" customHeight="1">
      <c r="I10779" s="1" ph="1"/>
    </row>
    <row r="10780" spans="9:9" ht="18" customHeight="1">
      <c r="I10780" s="1" ph="1"/>
    </row>
    <row r="10781" spans="9:9" ht="18" customHeight="1">
      <c r="I10781" s="1" ph="1"/>
    </row>
    <row r="10782" spans="9:9" ht="18" customHeight="1">
      <c r="I10782" s="1" ph="1"/>
    </row>
    <row r="10783" spans="9:9" ht="18" customHeight="1">
      <c r="I10783" s="1" ph="1"/>
    </row>
    <row r="10784" spans="9:9" ht="18" customHeight="1">
      <c r="I10784" s="1" ph="1"/>
    </row>
    <row r="10785" spans="9:9" ht="18" customHeight="1">
      <c r="I10785" s="1" ph="1"/>
    </row>
    <row r="10786" spans="9:9" ht="18" customHeight="1">
      <c r="I10786" s="1" ph="1"/>
    </row>
    <row r="10787" spans="9:9" ht="18" customHeight="1">
      <c r="I10787" s="1" ph="1"/>
    </row>
    <row r="10788" spans="9:9" ht="18" customHeight="1">
      <c r="I10788" s="1" ph="1"/>
    </row>
    <row r="10789" spans="9:9" ht="18" customHeight="1">
      <c r="I10789" s="1" ph="1"/>
    </row>
    <row r="10790" spans="9:9" ht="18" customHeight="1">
      <c r="I10790" s="1" ph="1"/>
    </row>
    <row r="10791" spans="9:9" ht="18" customHeight="1">
      <c r="I10791" s="1" ph="1"/>
    </row>
    <row r="10792" spans="9:9" ht="18" customHeight="1">
      <c r="I10792" s="1" ph="1"/>
    </row>
    <row r="10793" spans="9:9" ht="18" customHeight="1">
      <c r="I10793" s="1" ph="1"/>
    </row>
    <row r="10794" spans="9:9" ht="18" customHeight="1">
      <c r="I10794" s="1" ph="1"/>
    </row>
    <row r="10795" spans="9:9" ht="18" customHeight="1">
      <c r="I10795" s="1" ph="1"/>
    </row>
    <row r="10796" spans="9:9" ht="18" customHeight="1">
      <c r="I10796" s="1" ph="1"/>
    </row>
    <row r="10797" spans="9:9" ht="18" customHeight="1">
      <c r="I10797" s="1" ph="1"/>
    </row>
    <row r="10798" spans="9:9" ht="18" customHeight="1">
      <c r="I10798" s="1" ph="1"/>
    </row>
    <row r="10799" spans="9:9" ht="18" customHeight="1">
      <c r="I10799" s="1" ph="1"/>
    </row>
    <row r="10800" spans="9:9" ht="18" customHeight="1">
      <c r="I10800" s="1" ph="1"/>
    </row>
    <row r="10801" spans="9:9" ht="18" customHeight="1">
      <c r="I10801" s="1" ph="1"/>
    </row>
    <row r="10802" spans="9:9" ht="18" customHeight="1">
      <c r="I10802" s="1" ph="1"/>
    </row>
    <row r="10803" spans="9:9" ht="18" customHeight="1">
      <c r="I10803" s="1" ph="1"/>
    </row>
    <row r="10804" spans="9:9" ht="18" customHeight="1">
      <c r="I10804" s="1" ph="1"/>
    </row>
    <row r="10805" spans="9:9" ht="18" customHeight="1">
      <c r="I10805" s="1" ph="1"/>
    </row>
    <row r="10806" spans="9:9" ht="18" customHeight="1">
      <c r="I10806" s="1" ph="1"/>
    </row>
    <row r="10807" spans="9:9" ht="18" customHeight="1">
      <c r="I10807" s="1" ph="1"/>
    </row>
    <row r="10808" spans="9:9" ht="18" customHeight="1">
      <c r="I10808" s="1" ph="1"/>
    </row>
    <row r="10809" spans="9:9" ht="18" customHeight="1">
      <c r="I10809" s="1" ph="1"/>
    </row>
    <row r="10810" spans="9:9" ht="18" customHeight="1">
      <c r="I10810" s="1" ph="1"/>
    </row>
    <row r="10811" spans="9:9" ht="18" customHeight="1">
      <c r="I10811" s="1" ph="1"/>
    </row>
    <row r="10812" spans="9:9" ht="18" customHeight="1">
      <c r="I10812" s="1" ph="1"/>
    </row>
    <row r="10813" spans="9:9" ht="18" customHeight="1">
      <c r="I10813" s="1" ph="1"/>
    </row>
    <row r="10814" spans="9:9" ht="18" customHeight="1">
      <c r="I10814" s="1" ph="1"/>
    </row>
    <row r="10815" spans="9:9" ht="18" customHeight="1">
      <c r="I10815" s="1" ph="1"/>
    </row>
    <row r="10816" spans="9:9" ht="18" customHeight="1">
      <c r="I10816" s="1" ph="1"/>
    </row>
    <row r="10817" spans="9:9" ht="18" customHeight="1">
      <c r="I10817" s="1" ph="1"/>
    </row>
    <row r="10818" spans="9:9" ht="18" customHeight="1">
      <c r="I10818" s="1" ph="1"/>
    </row>
    <row r="10819" spans="9:9" ht="18" customHeight="1">
      <c r="I10819" s="1" ph="1"/>
    </row>
    <row r="10820" spans="9:9" ht="18" customHeight="1">
      <c r="I10820" s="1" ph="1"/>
    </row>
    <row r="10821" spans="9:9" ht="18" customHeight="1">
      <c r="I10821" s="1" ph="1"/>
    </row>
    <row r="10822" spans="9:9" ht="18" customHeight="1">
      <c r="I10822" s="1" ph="1"/>
    </row>
    <row r="10823" spans="9:9" ht="18" customHeight="1">
      <c r="I10823" s="1" ph="1"/>
    </row>
    <row r="10824" spans="9:9" ht="18" customHeight="1">
      <c r="I10824" s="1" ph="1"/>
    </row>
    <row r="10825" spans="9:9" ht="18" customHeight="1">
      <c r="I10825" s="1" ph="1"/>
    </row>
    <row r="10826" spans="9:9" ht="18" customHeight="1">
      <c r="I10826" s="1" ph="1"/>
    </row>
    <row r="10827" spans="9:9" ht="18" customHeight="1">
      <c r="I10827" s="1" ph="1"/>
    </row>
    <row r="10828" spans="9:9" ht="18" customHeight="1">
      <c r="I10828" s="1" ph="1"/>
    </row>
    <row r="10829" spans="9:9" ht="18" customHeight="1">
      <c r="I10829" s="1" ph="1"/>
    </row>
    <row r="10830" spans="9:9" ht="18" customHeight="1">
      <c r="I10830" s="1" ph="1"/>
    </row>
    <row r="10831" spans="9:9" ht="18" customHeight="1">
      <c r="I10831" s="1" ph="1"/>
    </row>
    <row r="10832" spans="9:9" ht="18" customHeight="1">
      <c r="I10832" s="1" ph="1"/>
    </row>
    <row r="10833" spans="9:9" ht="18" customHeight="1">
      <c r="I10833" s="1" ph="1"/>
    </row>
    <row r="10834" spans="9:9" ht="18" customHeight="1">
      <c r="I10834" s="1" ph="1"/>
    </row>
    <row r="10835" spans="9:9" ht="18" customHeight="1">
      <c r="I10835" s="1" ph="1"/>
    </row>
    <row r="10836" spans="9:9" ht="18" customHeight="1">
      <c r="I10836" s="1" ph="1"/>
    </row>
    <row r="10837" spans="9:9" ht="18" customHeight="1">
      <c r="I10837" s="1" ph="1"/>
    </row>
    <row r="10838" spans="9:9" ht="18" customHeight="1">
      <c r="I10838" s="1" ph="1"/>
    </row>
    <row r="10839" spans="9:9" ht="18" customHeight="1">
      <c r="I10839" s="1" ph="1"/>
    </row>
    <row r="10840" spans="9:9" ht="18" customHeight="1">
      <c r="I10840" s="1" ph="1"/>
    </row>
    <row r="10841" spans="9:9" ht="18" customHeight="1">
      <c r="I10841" s="1" ph="1"/>
    </row>
    <row r="10842" spans="9:9" ht="18" customHeight="1">
      <c r="I10842" s="1" ph="1"/>
    </row>
    <row r="10843" spans="9:9" ht="18" customHeight="1">
      <c r="I10843" s="1" ph="1"/>
    </row>
    <row r="10844" spans="9:9" ht="18" customHeight="1">
      <c r="I10844" s="1" ph="1"/>
    </row>
    <row r="10845" spans="9:9" ht="18" customHeight="1">
      <c r="I10845" s="1" ph="1"/>
    </row>
    <row r="10846" spans="9:9" ht="18" customHeight="1">
      <c r="I10846" s="1" ph="1"/>
    </row>
    <row r="10847" spans="9:9" ht="18" customHeight="1">
      <c r="I10847" s="1" ph="1"/>
    </row>
    <row r="10848" spans="9:9" ht="18" customHeight="1">
      <c r="I10848" s="1" ph="1"/>
    </row>
    <row r="10849" spans="9:9" ht="18" customHeight="1">
      <c r="I10849" s="1" ph="1"/>
    </row>
    <row r="10850" spans="9:9" ht="18" customHeight="1">
      <c r="I10850" s="1" ph="1"/>
    </row>
    <row r="10851" spans="9:9" ht="18" customHeight="1">
      <c r="I10851" s="1" ph="1"/>
    </row>
    <row r="10852" spans="9:9" ht="18" customHeight="1">
      <c r="I10852" s="1" ph="1"/>
    </row>
    <row r="10853" spans="9:9" ht="18" customHeight="1">
      <c r="I10853" s="1" ph="1"/>
    </row>
    <row r="10854" spans="9:9" ht="18" customHeight="1">
      <c r="I10854" s="1" ph="1"/>
    </row>
    <row r="10855" spans="9:9" ht="18" customHeight="1">
      <c r="I10855" s="1" ph="1"/>
    </row>
    <row r="10856" spans="9:9" ht="18" customHeight="1">
      <c r="I10856" s="1" ph="1"/>
    </row>
    <row r="10857" spans="9:9" ht="18" customHeight="1">
      <c r="I10857" s="1" ph="1"/>
    </row>
    <row r="10858" spans="9:9" ht="18" customHeight="1">
      <c r="I10858" s="1" ph="1"/>
    </row>
    <row r="10859" spans="9:9" ht="18" customHeight="1">
      <c r="I10859" s="1" ph="1"/>
    </row>
    <row r="10860" spans="9:9" ht="18" customHeight="1">
      <c r="I10860" s="1" ph="1"/>
    </row>
    <row r="10861" spans="9:9" ht="18" customHeight="1">
      <c r="I10861" s="1" ph="1"/>
    </row>
    <row r="10862" spans="9:9" ht="18" customHeight="1">
      <c r="I10862" s="1" ph="1"/>
    </row>
    <row r="10863" spans="9:9" ht="18" customHeight="1">
      <c r="I10863" s="1" ph="1"/>
    </row>
    <row r="10864" spans="9:9" ht="18" customHeight="1">
      <c r="I10864" s="1" ph="1"/>
    </row>
    <row r="10865" spans="9:9" ht="18" customHeight="1">
      <c r="I10865" s="1" ph="1"/>
    </row>
    <row r="10866" spans="9:9" ht="18" customHeight="1">
      <c r="I10866" s="1" ph="1"/>
    </row>
    <row r="10867" spans="9:9" ht="18" customHeight="1">
      <c r="I10867" s="1" ph="1"/>
    </row>
    <row r="10868" spans="9:9" ht="18" customHeight="1">
      <c r="I10868" s="1" ph="1"/>
    </row>
    <row r="10869" spans="9:9" ht="18" customHeight="1">
      <c r="I10869" s="1" ph="1"/>
    </row>
    <row r="10870" spans="9:9" ht="18" customHeight="1">
      <c r="I10870" s="1" ph="1"/>
    </row>
    <row r="10871" spans="9:9" ht="18" customHeight="1">
      <c r="I10871" s="1" ph="1"/>
    </row>
    <row r="10872" spans="9:9" ht="18" customHeight="1">
      <c r="I10872" s="1" ph="1"/>
    </row>
    <row r="10873" spans="9:9" ht="18" customHeight="1">
      <c r="I10873" s="1" ph="1"/>
    </row>
    <row r="10874" spans="9:9" ht="18" customHeight="1">
      <c r="I10874" s="1" ph="1"/>
    </row>
    <row r="10875" spans="9:9" ht="18" customHeight="1">
      <c r="I10875" s="1" ph="1"/>
    </row>
    <row r="10876" spans="9:9" ht="18" customHeight="1">
      <c r="I10876" s="1" ph="1"/>
    </row>
    <row r="10877" spans="9:9" ht="18" customHeight="1">
      <c r="I10877" s="1" ph="1"/>
    </row>
    <row r="10878" spans="9:9" ht="18" customHeight="1">
      <c r="I10878" s="1" ph="1"/>
    </row>
    <row r="10879" spans="9:9" ht="18" customHeight="1">
      <c r="I10879" s="1" ph="1"/>
    </row>
    <row r="10880" spans="9:9" ht="18" customHeight="1">
      <c r="I10880" s="1" ph="1"/>
    </row>
    <row r="10881" spans="9:9" ht="18" customHeight="1">
      <c r="I10881" s="1" ph="1"/>
    </row>
    <row r="10882" spans="9:9" ht="18" customHeight="1">
      <c r="I10882" s="1" ph="1"/>
    </row>
    <row r="10883" spans="9:9" ht="18" customHeight="1">
      <c r="I10883" s="1" ph="1"/>
    </row>
    <row r="10884" spans="9:9" ht="18" customHeight="1">
      <c r="I10884" s="1" ph="1"/>
    </row>
    <row r="10885" spans="9:9" ht="18" customHeight="1">
      <c r="I10885" s="1" ph="1"/>
    </row>
    <row r="10886" spans="9:9" ht="18" customHeight="1">
      <c r="I10886" s="1" ph="1"/>
    </row>
    <row r="10887" spans="9:9" ht="18" customHeight="1">
      <c r="I10887" s="1" ph="1"/>
    </row>
    <row r="10888" spans="9:9" ht="18" customHeight="1">
      <c r="I10888" s="1" ph="1"/>
    </row>
    <row r="10889" spans="9:9" ht="18" customHeight="1">
      <c r="I10889" s="1" ph="1"/>
    </row>
    <row r="10890" spans="9:9" ht="18" customHeight="1">
      <c r="I10890" s="1" ph="1"/>
    </row>
    <row r="10891" spans="9:9" ht="18" customHeight="1">
      <c r="I10891" s="1" ph="1"/>
    </row>
    <row r="10892" spans="9:9" ht="18" customHeight="1">
      <c r="I10892" s="1" ph="1"/>
    </row>
    <row r="10893" spans="9:9" ht="18" customHeight="1">
      <c r="I10893" s="1" ph="1"/>
    </row>
    <row r="10894" spans="9:9" ht="18" customHeight="1">
      <c r="I10894" s="1" ph="1"/>
    </row>
    <row r="10895" spans="9:9" ht="18" customHeight="1">
      <c r="I10895" s="1" ph="1"/>
    </row>
    <row r="10896" spans="9:9" ht="18" customHeight="1">
      <c r="I10896" s="1" ph="1"/>
    </row>
    <row r="10897" spans="9:9" ht="18" customHeight="1">
      <c r="I10897" s="1" ph="1"/>
    </row>
    <row r="10898" spans="9:9" ht="18" customHeight="1">
      <c r="I10898" s="1" ph="1"/>
    </row>
    <row r="10899" spans="9:9" ht="18" customHeight="1">
      <c r="I10899" s="1" ph="1"/>
    </row>
    <row r="10900" spans="9:9" ht="18" customHeight="1">
      <c r="I10900" s="1" ph="1"/>
    </row>
    <row r="10901" spans="9:9" ht="18" customHeight="1">
      <c r="I10901" s="1" ph="1"/>
    </row>
    <row r="10902" spans="9:9" ht="18" customHeight="1">
      <c r="I10902" s="1" ph="1"/>
    </row>
    <row r="10903" spans="9:9" ht="18" customHeight="1">
      <c r="I10903" s="1" ph="1"/>
    </row>
    <row r="10904" spans="9:9" ht="18" customHeight="1">
      <c r="I10904" s="1" ph="1"/>
    </row>
    <row r="10905" spans="9:9" ht="18" customHeight="1">
      <c r="I10905" s="1" ph="1"/>
    </row>
    <row r="10906" spans="9:9" ht="18" customHeight="1">
      <c r="I10906" s="1" ph="1"/>
    </row>
    <row r="10907" spans="9:9" ht="18" customHeight="1">
      <c r="I10907" s="1" ph="1"/>
    </row>
    <row r="10908" spans="9:9" ht="18" customHeight="1">
      <c r="I10908" s="1" ph="1"/>
    </row>
    <row r="10909" spans="9:9" ht="18" customHeight="1">
      <c r="I10909" s="1" ph="1"/>
    </row>
    <row r="10910" spans="9:9" ht="18" customHeight="1">
      <c r="I10910" s="1" ph="1"/>
    </row>
    <row r="10911" spans="9:9" ht="18" customHeight="1">
      <c r="I10911" s="1" ph="1"/>
    </row>
    <row r="10912" spans="9:9" ht="18" customHeight="1">
      <c r="I10912" s="1" ph="1"/>
    </row>
    <row r="10913" spans="9:9" ht="18" customHeight="1">
      <c r="I10913" s="1" ph="1"/>
    </row>
    <row r="10914" spans="9:9" ht="18" customHeight="1">
      <c r="I10914" s="1" ph="1"/>
    </row>
    <row r="10915" spans="9:9" ht="18" customHeight="1">
      <c r="I10915" s="1" ph="1"/>
    </row>
    <row r="10916" spans="9:9" ht="18" customHeight="1">
      <c r="I10916" s="1" ph="1"/>
    </row>
    <row r="10917" spans="9:9" ht="18" customHeight="1">
      <c r="I10917" s="1" ph="1"/>
    </row>
    <row r="10918" spans="9:9" ht="18" customHeight="1">
      <c r="I10918" s="1" ph="1"/>
    </row>
    <row r="10919" spans="9:9" ht="18" customHeight="1">
      <c r="I10919" s="1" ph="1"/>
    </row>
    <row r="10920" spans="9:9" ht="18" customHeight="1">
      <c r="I10920" s="1" ph="1"/>
    </row>
    <row r="10921" spans="9:9" ht="18" customHeight="1">
      <c r="I10921" s="1" ph="1"/>
    </row>
    <row r="10922" spans="9:9" ht="18" customHeight="1">
      <c r="I10922" s="1" ph="1"/>
    </row>
    <row r="10923" spans="9:9" ht="18" customHeight="1">
      <c r="I10923" s="1" ph="1"/>
    </row>
    <row r="10924" spans="9:9" ht="18" customHeight="1">
      <c r="I10924" s="1" ph="1"/>
    </row>
    <row r="10925" spans="9:9" ht="18" customHeight="1">
      <c r="I10925" s="1" ph="1"/>
    </row>
    <row r="10926" spans="9:9" ht="18" customHeight="1">
      <c r="I10926" s="1" ph="1"/>
    </row>
    <row r="10927" spans="9:9" ht="18" customHeight="1">
      <c r="I10927" s="1" ph="1"/>
    </row>
    <row r="10928" spans="9:9" ht="18" customHeight="1">
      <c r="I10928" s="1" ph="1"/>
    </row>
    <row r="10929" spans="9:9" ht="18" customHeight="1">
      <c r="I10929" s="1" ph="1"/>
    </row>
    <row r="10930" spans="9:9" ht="18" customHeight="1">
      <c r="I10930" s="1" ph="1"/>
    </row>
    <row r="10931" spans="9:9" ht="18" customHeight="1">
      <c r="I10931" s="1" ph="1"/>
    </row>
    <row r="10932" spans="9:9" ht="18" customHeight="1">
      <c r="I10932" s="1" ph="1"/>
    </row>
    <row r="10933" spans="9:9" ht="18" customHeight="1">
      <c r="I10933" s="1" ph="1"/>
    </row>
    <row r="10934" spans="9:9" ht="18" customHeight="1">
      <c r="I10934" s="1" ph="1"/>
    </row>
    <row r="10935" spans="9:9" ht="18" customHeight="1">
      <c r="I10935" s="1" ph="1"/>
    </row>
    <row r="10936" spans="9:9" ht="18" customHeight="1">
      <c r="I10936" s="1" ph="1"/>
    </row>
    <row r="10937" spans="9:9" ht="18" customHeight="1">
      <c r="I10937" s="1" ph="1"/>
    </row>
    <row r="10938" spans="9:9" ht="18" customHeight="1">
      <c r="I10938" s="1" ph="1"/>
    </row>
    <row r="10939" spans="9:9" ht="18" customHeight="1">
      <c r="I10939" s="1" ph="1"/>
    </row>
    <row r="10940" spans="9:9" ht="18" customHeight="1">
      <c r="I10940" s="1" ph="1"/>
    </row>
    <row r="10941" spans="9:9" ht="18" customHeight="1">
      <c r="I10941" s="1" ph="1"/>
    </row>
    <row r="10942" spans="9:9" ht="18" customHeight="1">
      <c r="I10942" s="1" ph="1"/>
    </row>
    <row r="10943" spans="9:9" ht="18" customHeight="1">
      <c r="I10943" s="1" ph="1"/>
    </row>
    <row r="10944" spans="9:9" ht="18" customHeight="1">
      <c r="I10944" s="1" ph="1"/>
    </row>
    <row r="10945" spans="9:9" ht="18" customHeight="1">
      <c r="I10945" s="1" ph="1"/>
    </row>
    <row r="10946" spans="9:9" ht="18" customHeight="1">
      <c r="I10946" s="1" ph="1"/>
    </row>
    <row r="10947" spans="9:9" ht="18" customHeight="1">
      <c r="I10947" s="1" ph="1"/>
    </row>
    <row r="10948" spans="9:9" ht="18" customHeight="1">
      <c r="I10948" s="1" ph="1"/>
    </row>
    <row r="10949" spans="9:9" ht="18" customHeight="1">
      <c r="I10949" s="1" ph="1"/>
    </row>
    <row r="10950" spans="9:9" ht="18" customHeight="1">
      <c r="I10950" s="1" ph="1"/>
    </row>
    <row r="10951" spans="9:9" ht="18" customHeight="1">
      <c r="I10951" s="1" ph="1"/>
    </row>
    <row r="10952" spans="9:9" ht="18" customHeight="1">
      <c r="I10952" s="1" ph="1"/>
    </row>
    <row r="10953" spans="9:9" ht="18" customHeight="1">
      <c r="I10953" s="1" ph="1"/>
    </row>
    <row r="10954" spans="9:9" ht="18" customHeight="1">
      <c r="I10954" s="1" ph="1"/>
    </row>
    <row r="10955" spans="9:9" ht="18" customHeight="1">
      <c r="I10955" s="1" ph="1"/>
    </row>
    <row r="10956" spans="9:9" ht="18" customHeight="1">
      <c r="I10956" s="1" ph="1"/>
    </row>
    <row r="10957" spans="9:9" ht="18" customHeight="1">
      <c r="I10957" s="1" ph="1"/>
    </row>
    <row r="10958" spans="9:9" ht="18" customHeight="1">
      <c r="I10958" s="1" ph="1"/>
    </row>
    <row r="10959" spans="9:9" ht="18" customHeight="1">
      <c r="I10959" s="1" ph="1"/>
    </row>
    <row r="10960" spans="9:9" ht="18" customHeight="1">
      <c r="I10960" s="1" ph="1"/>
    </row>
    <row r="10961" spans="9:9" ht="18" customHeight="1">
      <c r="I10961" s="1" ph="1"/>
    </row>
    <row r="10962" spans="9:9" ht="18" customHeight="1">
      <c r="I10962" s="1" ph="1"/>
    </row>
    <row r="10963" spans="9:9" ht="18" customHeight="1">
      <c r="I10963" s="1" ph="1"/>
    </row>
    <row r="10964" spans="9:9" ht="18" customHeight="1">
      <c r="I10964" s="1" ph="1"/>
    </row>
    <row r="10965" spans="9:9" ht="18" customHeight="1">
      <c r="I10965" s="1" ph="1"/>
    </row>
    <row r="10966" spans="9:9" ht="18" customHeight="1">
      <c r="I10966" s="1" ph="1"/>
    </row>
    <row r="10967" spans="9:9" ht="18" customHeight="1">
      <c r="I10967" s="1" ph="1"/>
    </row>
    <row r="10968" spans="9:9" ht="18" customHeight="1">
      <c r="I10968" s="1" ph="1"/>
    </row>
    <row r="10969" spans="9:9" ht="18" customHeight="1">
      <c r="I10969" s="1" ph="1"/>
    </row>
    <row r="10970" spans="9:9" ht="18" customHeight="1">
      <c r="I10970" s="1" ph="1"/>
    </row>
    <row r="10971" spans="9:9" ht="18" customHeight="1">
      <c r="I10971" s="1" ph="1"/>
    </row>
    <row r="10972" spans="9:9" ht="18" customHeight="1">
      <c r="I10972" s="1" ph="1"/>
    </row>
    <row r="10973" spans="9:9" ht="18" customHeight="1">
      <c r="I10973" s="1" ph="1"/>
    </row>
    <row r="10974" spans="9:9" ht="18" customHeight="1">
      <c r="I10974" s="1" ph="1"/>
    </row>
    <row r="10975" spans="9:9" ht="18" customHeight="1">
      <c r="I10975" s="1" ph="1"/>
    </row>
    <row r="10976" spans="9:9" ht="18" customHeight="1">
      <c r="I10976" s="1" ph="1"/>
    </row>
    <row r="10977" spans="9:9" ht="18" customHeight="1">
      <c r="I10977" s="1" ph="1"/>
    </row>
    <row r="10978" spans="9:9" ht="18" customHeight="1">
      <c r="I10978" s="1" ph="1"/>
    </row>
    <row r="10979" spans="9:9" ht="18" customHeight="1">
      <c r="I10979" s="1" ph="1"/>
    </row>
    <row r="10980" spans="9:9" ht="18" customHeight="1">
      <c r="I10980" s="1" ph="1"/>
    </row>
    <row r="10981" spans="9:9" ht="18" customHeight="1">
      <c r="I10981" s="1" ph="1"/>
    </row>
    <row r="10982" spans="9:9" ht="18" customHeight="1">
      <c r="I10982" s="1" ph="1"/>
    </row>
    <row r="10983" spans="9:9" ht="18" customHeight="1">
      <c r="I10983" s="1" ph="1"/>
    </row>
    <row r="10984" spans="9:9" ht="18" customHeight="1">
      <c r="I10984" s="1" ph="1"/>
    </row>
    <row r="10985" spans="9:9" ht="18" customHeight="1">
      <c r="I10985" s="1" ph="1"/>
    </row>
    <row r="10986" spans="9:9" ht="18" customHeight="1">
      <c r="I10986" s="1" ph="1"/>
    </row>
    <row r="10987" spans="9:9" ht="18" customHeight="1">
      <c r="I10987" s="1" ph="1"/>
    </row>
    <row r="10988" spans="9:9" ht="18" customHeight="1">
      <c r="I10988" s="1" ph="1"/>
    </row>
    <row r="10989" spans="9:9" ht="18" customHeight="1">
      <c r="I10989" s="1" ph="1"/>
    </row>
    <row r="10990" spans="9:9" ht="18" customHeight="1">
      <c r="I10990" s="1" ph="1"/>
    </row>
    <row r="10991" spans="9:9" ht="18" customHeight="1">
      <c r="I10991" s="1" ph="1"/>
    </row>
    <row r="10992" spans="9:9" ht="18" customHeight="1">
      <c r="I10992" s="1" ph="1"/>
    </row>
    <row r="10993" spans="9:9" ht="18" customHeight="1">
      <c r="I10993" s="1" ph="1"/>
    </row>
    <row r="10994" spans="9:9" ht="18" customHeight="1">
      <c r="I10994" s="1" ph="1"/>
    </row>
    <row r="10995" spans="9:9" ht="18" customHeight="1">
      <c r="I10995" s="1" ph="1"/>
    </row>
    <row r="10996" spans="9:9" ht="18" customHeight="1">
      <c r="I10996" s="1" ph="1"/>
    </row>
    <row r="10997" spans="9:9" ht="18" customHeight="1">
      <c r="I10997" s="1" ph="1"/>
    </row>
    <row r="10998" spans="9:9" ht="18" customHeight="1">
      <c r="I10998" s="1" ph="1"/>
    </row>
    <row r="10999" spans="9:9" ht="18" customHeight="1">
      <c r="I10999" s="1" ph="1"/>
    </row>
    <row r="11000" spans="9:9" ht="18" customHeight="1">
      <c r="I11000" s="1" ph="1"/>
    </row>
    <row r="11001" spans="9:9" ht="18" customHeight="1">
      <c r="I11001" s="1" ph="1"/>
    </row>
    <row r="11002" spans="9:9" ht="18" customHeight="1">
      <c r="I11002" s="1" ph="1"/>
    </row>
    <row r="11003" spans="9:9" ht="18" customHeight="1">
      <c r="I11003" s="1" ph="1"/>
    </row>
    <row r="11004" spans="9:9" ht="18" customHeight="1">
      <c r="I11004" s="1" ph="1"/>
    </row>
    <row r="11005" spans="9:9" ht="18" customHeight="1">
      <c r="I11005" s="1" ph="1"/>
    </row>
    <row r="11006" spans="9:9" ht="18" customHeight="1">
      <c r="I11006" s="1" ph="1"/>
    </row>
    <row r="11007" spans="9:9" ht="18" customHeight="1">
      <c r="I11007" s="1" ph="1"/>
    </row>
    <row r="11008" spans="9:9" ht="18" customHeight="1">
      <c r="I11008" s="1" ph="1"/>
    </row>
    <row r="11009" spans="9:9" ht="18" customHeight="1">
      <c r="I11009" s="1" ph="1"/>
    </row>
    <row r="11010" spans="9:9" ht="18" customHeight="1">
      <c r="I11010" s="1" ph="1"/>
    </row>
    <row r="11011" spans="9:9" ht="18" customHeight="1">
      <c r="I11011" s="1" ph="1"/>
    </row>
    <row r="11012" spans="9:9" ht="18" customHeight="1">
      <c r="I11012" s="1" ph="1"/>
    </row>
    <row r="11013" spans="9:9" ht="18" customHeight="1">
      <c r="I11013" s="1" ph="1"/>
    </row>
    <row r="11014" spans="9:9" ht="18" customHeight="1">
      <c r="I11014" s="1" ph="1"/>
    </row>
    <row r="11015" spans="9:9" ht="18" customHeight="1">
      <c r="I11015" s="1" ph="1"/>
    </row>
    <row r="11016" spans="9:9" ht="18" customHeight="1">
      <c r="I11016" s="1" ph="1"/>
    </row>
    <row r="11017" spans="9:9" ht="18" customHeight="1">
      <c r="I11017" s="1" ph="1"/>
    </row>
    <row r="11018" spans="9:9" ht="18" customHeight="1">
      <c r="I11018" s="1" ph="1"/>
    </row>
    <row r="11019" spans="9:9" ht="18" customHeight="1">
      <c r="I11019" s="1" ph="1"/>
    </row>
    <row r="11020" spans="9:9" ht="18" customHeight="1">
      <c r="I11020" s="1" ph="1"/>
    </row>
    <row r="11021" spans="9:9" ht="18" customHeight="1">
      <c r="I11021" s="1" ph="1"/>
    </row>
    <row r="11022" spans="9:9" ht="18" customHeight="1">
      <c r="I11022" s="1" ph="1"/>
    </row>
    <row r="11023" spans="9:9" ht="18" customHeight="1">
      <c r="I11023" s="1" ph="1"/>
    </row>
    <row r="11024" spans="9:9" ht="18" customHeight="1">
      <c r="I11024" s="1" ph="1"/>
    </row>
    <row r="11025" spans="9:9" ht="18" customHeight="1">
      <c r="I11025" s="1" ph="1"/>
    </row>
    <row r="11026" spans="9:9" ht="18" customHeight="1">
      <c r="I11026" s="1" ph="1"/>
    </row>
    <row r="11027" spans="9:9" ht="18" customHeight="1">
      <c r="I11027" s="1" ph="1"/>
    </row>
    <row r="11028" spans="9:9" ht="18" customHeight="1">
      <c r="I11028" s="1" ph="1"/>
    </row>
    <row r="11029" spans="9:9" ht="18" customHeight="1">
      <c r="I11029" s="1" ph="1"/>
    </row>
    <row r="11030" spans="9:9" ht="18" customHeight="1">
      <c r="I11030" s="1" ph="1"/>
    </row>
    <row r="11031" spans="9:9" ht="18" customHeight="1">
      <c r="I11031" s="1" ph="1"/>
    </row>
    <row r="11032" spans="9:9" ht="18" customHeight="1">
      <c r="I11032" s="1" ph="1"/>
    </row>
    <row r="11033" spans="9:9" ht="18" customHeight="1">
      <c r="I11033" s="1" ph="1"/>
    </row>
    <row r="11034" spans="9:9" ht="18" customHeight="1">
      <c r="I11034" s="1" ph="1"/>
    </row>
    <row r="11035" spans="9:9" ht="18" customHeight="1">
      <c r="I11035" s="1" ph="1"/>
    </row>
    <row r="11036" spans="9:9" ht="18" customHeight="1">
      <c r="I11036" s="1" ph="1"/>
    </row>
    <row r="11037" spans="9:9" ht="18" customHeight="1">
      <c r="I11037" s="1" ph="1"/>
    </row>
    <row r="11038" spans="9:9" ht="18" customHeight="1">
      <c r="I11038" s="1" ph="1"/>
    </row>
    <row r="11039" spans="9:9" ht="18" customHeight="1">
      <c r="I11039" s="1" ph="1"/>
    </row>
    <row r="11040" spans="9:9" ht="18" customHeight="1">
      <c r="I11040" s="1" ph="1"/>
    </row>
    <row r="11041" spans="9:9" ht="18" customHeight="1">
      <c r="I11041" s="1" ph="1"/>
    </row>
    <row r="11042" spans="9:9" ht="18" customHeight="1">
      <c r="I11042" s="1" ph="1"/>
    </row>
    <row r="11043" spans="9:9" ht="18" customHeight="1">
      <c r="I11043" s="1" ph="1"/>
    </row>
    <row r="11044" spans="9:9" ht="18" customHeight="1">
      <c r="I11044" s="1" ph="1"/>
    </row>
    <row r="11045" spans="9:9" ht="18" customHeight="1">
      <c r="I11045" s="1" ph="1"/>
    </row>
    <row r="11046" spans="9:9" ht="18" customHeight="1">
      <c r="I11046" s="1" ph="1"/>
    </row>
    <row r="11047" spans="9:9" ht="18" customHeight="1">
      <c r="I11047" s="1" ph="1"/>
    </row>
    <row r="11048" spans="9:9" ht="18" customHeight="1">
      <c r="I11048" s="1" ph="1"/>
    </row>
    <row r="11049" spans="9:9" ht="18" customHeight="1">
      <c r="I11049" s="1" ph="1"/>
    </row>
    <row r="11050" spans="9:9" ht="18" customHeight="1">
      <c r="I11050" s="1" ph="1"/>
    </row>
    <row r="11051" spans="9:9" ht="18" customHeight="1">
      <c r="I11051" s="1" ph="1"/>
    </row>
    <row r="11052" spans="9:9" ht="18" customHeight="1">
      <c r="I11052" s="1" ph="1"/>
    </row>
    <row r="11053" spans="9:9" ht="18" customHeight="1">
      <c r="I11053" s="1" ph="1"/>
    </row>
    <row r="11054" spans="9:9" ht="18" customHeight="1">
      <c r="I11054" s="1" ph="1"/>
    </row>
    <row r="11055" spans="9:9" ht="18" customHeight="1">
      <c r="I11055" s="1" ph="1"/>
    </row>
    <row r="11056" spans="9:9" ht="18" customHeight="1">
      <c r="I11056" s="1" ph="1"/>
    </row>
    <row r="11057" spans="9:9" ht="18" customHeight="1">
      <c r="I11057" s="1" ph="1"/>
    </row>
    <row r="11058" spans="9:9" ht="18" customHeight="1">
      <c r="I11058" s="1" ph="1"/>
    </row>
    <row r="11059" spans="9:9" ht="18" customHeight="1">
      <c r="I11059" s="1" ph="1"/>
    </row>
    <row r="11060" spans="9:9" ht="18" customHeight="1">
      <c r="I11060" s="1" ph="1"/>
    </row>
    <row r="11061" spans="9:9" ht="18" customHeight="1">
      <c r="I11061" s="1" ph="1"/>
    </row>
    <row r="11062" spans="9:9" ht="18" customHeight="1">
      <c r="I11062" s="1" ph="1"/>
    </row>
    <row r="11063" spans="9:9" ht="18" customHeight="1">
      <c r="I11063" s="1" ph="1"/>
    </row>
    <row r="11064" spans="9:9" ht="18" customHeight="1">
      <c r="I11064" s="1" ph="1"/>
    </row>
    <row r="11065" spans="9:9" ht="18" customHeight="1">
      <c r="I11065" s="1" ph="1"/>
    </row>
    <row r="11066" spans="9:9" ht="18" customHeight="1">
      <c r="I11066" s="1" ph="1"/>
    </row>
    <row r="11067" spans="9:9" ht="18" customHeight="1">
      <c r="I11067" s="1" ph="1"/>
    </row>
    <row r="11068" spans="9:9" ht="18" customHeight="1">
      <c r="I11068" s="1" ph="1"/>
    </row>
    <row r="11069" spans="9:9" ht="18" customHeight="1">
      <c r="I11069" s="1" ph="1"/>
    </row>
    <row r="11070" spans="9:9" ht="18" customHeight="1">
      <c r="I11070" s="1" ph="1"/>
    </row>
    <row r="11071" spans="9:9" ht="18" customHeight="1">
      <c r="I11071" s="1" ph="1"/>
    </row>
    <row r="11072" spans="9:9" ht="18" customHeight="1">
      <c r="I11072" s="1" ph="1"/>
    </row>
    <row r="11073" spans="9:9" ht="18" customHeight="1">
      <c r="I11073" s="1" ph="1"/>
    </row>
    <row r="11074" spans="9:9" ht="18" customHeight="1">
      <c r="I11074" s="1" ph="1"/>
    </row>
    <row r="11075" spans="9:9" ht="18" customHeight="1">
      <c r="I11075" s="1" ph="1"/>
    </row>
    <row r="11076" spans="9:9" ht="18" customHeight="1">
      <c r="I11076" s="1" ph="1"/>
    </row>
    <row r="11077" spans="9:9" ht="18" customHeight="1">
      <c r="I11077" s="1" ph="1"/>
    </row>
    <row r="11078" spans="9:9" ht="18" customHeight="1">
      <c r="I11078" s="1" ph="1"/>
    </row>
    <row r="11079" spans="9:9" ht="18" customHeight="1">
      <c r="I11079" s="1" ph="1"/>
    </row>
    <row r="11080" spans="9:9" ht="18" customHeight="1">
      <c r="I11080" s="1" ph="1"/>
    </row>
    <row r="11081" spans="9:9" ht="18" customHeight="1">
      <c r="I11081" s="1" ph="1"/>
    </row>
    <row r="11082" spans="9:9" ht="18" customHeight="1">
      <c r="I11082" s="1" ph="1"/>
    </row>
    <row r="11083" spans="9:9" ht="18" customHeight="1">
      <c r="I11083" s="1" ph="1"/>
    </row>
    <row r="11084" spans="9:9" ht="18" customHeight="1">
      <c r="I11084" s="1" ph="1"/>
    </row>
    <row r="11085" spans="9:9" ht="18" customHeight="1">
      <c r="I11085" s="1" ph="1"/>
    </row>
    <row r="11086" spans="9:9" ht="18" customHeight="1">
      <c r="I11086" s="1" ph="1"/>
    </row>
    <row r="11087" spans="9:9" ht="18" customHeight="1">
      <c r="I11087" s="1" ph="1"/>
    </row>
    <row r="11088" spans="9:9" ht="18" customHeight="1">
      <c r="I11088" s="1" ph="1"/>
    </row>
    <row r="11089" spans="9:9" ht="18" customHeight="1">
      <c r="I11089" s="1" ph="1"/>
    </row>
    <row r="11090" spans="9:9" ht="18" customHeight="1">
      <c r="I11090" s="1" ph="1"/>
    </row>
    <row r="11091" spans="9:9" ht="18" customHeight="1">
      <c r="I11091" s="1" ph="1"/>
    </row>
    <row r="11092" spans="9:9" ht="18" customHeight="1">
      <c r="I11092" s="1" ph="1"/>
    </row>
    <row r="11093" spans="9:9" ht="18" customHeight="1">
      <c r="I11093" s="1" ph="1"/>
    </row>
    <row r="11094" spans="9:9" ht="18" customHeight="1">
      <c r="I11094" s="1" ph="1"/>
    </row>
    <row r="11095" spans="9:9" ht="18" customHeight="1">
      <c r="I11095" s="1" ph="1"/>
    </row>
    <row r="11096" spans="9:9" ht="18" customHeight="1">
      <c r="I11096" s="1" ph="1"/>
    </row>
    <row r="11097" spans="9:9" ht="18" customHeight="1">
      <c r="I11097" s="1" ph="1"/>
    </row>
    <row r="11098" spans="9:9" ht="18" customHeight="1">
      <c r="I11098" s="1" ph="1"/>
    </row>
    <row r="11099" spans="9:9" ht="18" customHeight="1">
      <c r="I11099" s="1" ph="1"/>
    </row>
    <row r="11100" spans="9:9" ht="18" customHeight="1">
      <c r="I11100" s="1" ph="1"/>
    </row>
    <row r="11101" spans="9:9" ht="18" customHeight="1">
      <c r="I11101" s="1" ph="1"/>
    </row>
    <row r="11102" spans="9:9" ht="18" customHeight="1">
      <c r="I11102" s="1" ph="1"/>
    </row>
    <row r="11103" spans="9:9" ht="18" customHeight="1">
      <c r="I11103" s="1" ph="1"/>
    </row>
    <row r="11104" spans="9:9" ht="18" customHeight="1">
      <c r="I11104" s="1" ph="1"/>
    </row>
    <row r="11105" spans="9:9" ht="18" customHeight="1">
      <c r="I11105" s="1" ph="1"/>
    </row>
    <row r="11106" spans="9:9" ht="18" customHeight="1">
      <c r="I11106" s="1" ph="1"/>
    </row>
    <row r="11107" spans="9:9" ht="18" customHeight="1">
      <c r="I11107" s="1" ph="1"/>
    </row>
    <row r="11108" spans="9:9" ht="18" customHeight="1">
      <c r="I11108" s="1" ph="1"/>
    </row>
    <row r="11109" spans="9:9" ht="18" customHeight="1">
      <c r="I11109" s="1" ph="1"/>
    </row>
    <row r="11110" spans="9:9" ht="18" customHeight="1">
      <c r="I11110" s="1" ph="1"/>
    </row>
    <row r="11111" spans="9:9" ht="18" customHeight="1">
      <c r="I11111" s="1" ph="1"/>
    </row>
    <row r="11112" spans="9:9" ht="18" customHeight="1">
      <c r="I11112" s="1" ph="1"/>
    </row>
    <row r="11113" spans="9:9" ht="18" customHeight="1">
      <c r="I11113" s="1" ph="1"/>
    </row>
    <row r="11114" spans="9:9" ht="18" customHeight="1">
      <c r="I11114" s="1" ph="1"/>
    </row>
    <row r="11115" spans="9:9" ht="18" customHeight="1">
      <c r="I11115" s="1" ph="1"/>
    </row>
    <row r="11116" spans="9:9" ht="18" customHeight="1">
      <c r="I11116" s="1" ph="1"/>
    </row>
    <row r="11117" spans="9:9" ht="18" customHeight="1">
      <c r="I11117" s="1" ph="1"/>
    </row>
    <row r="11118" spans="9:9" ht="18" customHeight="1">
      <c r="I11118" s="1" ph="1"/>
    </row>
    <row r="11119" spans="9:9" ht="18" customHeight="1">
      <c r="I11119" s="1" ph="1"/>
    </row>
    <row r="11120" spans="9:9" ht="18" customHeight="1">
      <c r="I11120" s="1" ph="1"/>
    </row>
    <row r="11121" spans="9:9" ht="18" customHeight="1">
      <c r="I11121" s="1" ph="1"/>
    </row>
    <row r="11122" spans="9:9" ht="18" customHeight="1">
      <c r="I11122" s="1" ph="1"/>
    </row>
    <row r="11123" spans="9:9" ht="18" customHeight="1">
      <c r="I11123" s="1" ph="1"/>
    </row>
    <row r="11124" spans="9:9" ht="18" customHeight="1">
      <c r="I11124" s="1" ph="1"/>
    </row>
    <row r="11125" spans="9:9" ht="18" customHeight="1">
      <c r="I11125" s="1" ph="1"/>
    </row>
    <row r="11126" spans="9:9" ht="18" customHeight="1">
      <c r="I11126" s="1" ph="1"/>
    </row>
    <row r="11127" spans="9:9" ht="18" customHeight="1">
      <c r="I11127" s="1" ph="1"/>
    </row>
    <row r="11128" spans="9:9" ht="18" customHeight="1">
      <c r="I11128" s="1" ph="1"/>
    </row>
    <row r="11129" spans="9:9" ht="18" customHeight="1">
      <c r="I11129" s="1" ph="1"/>
    </row>
    <row r="11130" spans="9:9" ht="18" customHeight="1">
      <c r="I11130" s="1" ph="1"/>
    </row>
    <row r="11131" spans="9:9" ht="18" customHeight="1">
      <c r="I11131" s="1" ph="1"/>
    </row>
    <row r="11132" spans="9:9" ht="18" customHeight="1">
      <c r="I11132" s="1" ph="1"/>
    </row>
    <row r="11133" spans="9:9" ht="18" customHeight="1">
      <c r="I11133" s="1" ph="1"/>
    </row>
    <row r="11134" spans="9:9" ht="18" customHeight="1">
      <c r="I11134" s="1" ph="1"/>
    </row>
    <row r="11135" spans="9:9" ht="18" customHeight="1">
      <c r="I11135" s="1" ph="1"/>
    </row>
    <row r="11136" spans="9:9" ht="18" customHeight="1">
      <c r="I11136" s="1" ph="1"/>
    </row>
    <row r="11137" spans="9:9" ht="18" customHeight="1">
      <c r="I11137" s="1" ph="1"/>
    </row>
    <row r="11138" spans="9:9" ht="18" customHeight="1">
      <c r="I11138" s="1" ph="1"/>
    </row>
    <row r="11139" spans="9:9" ht="18" customHeight="1">
      <c r="I11139" s="1" ph="1"/>
    </row>
    <row r="11140" spans="9:9" ht="18" customHeight="1">
      <c r="I11140" s="1" ph="1"/>
    </row>
    <row r="11141" spans="9:9" ht="18" customHeight="1">
      <c r="I11141" s="1" ph="1"/>
    </row>
    <row r="11142" spans="9:9" ht="18" customHeight="1">
      <c r="I11142" s="1" ph="1"/>
    </row>
    <row r="11143" spans="9:9" ht="18" customHeight="1">
      <c r="I11143" s="1" ph="1"/>
    </row>
    <row r="11144" spans="9:9" ht="18" customHeight="1">
      <c r="I11144" s="1" ph="1"/>
    </row>
    <row r="11145" spans="9:9" ht="18" customHeight="1">
      <c r="I11145" s="1" ph="1"/>
    </row>
    <row r="11146" spans="9:9" ht="18" customHeight="1">
      <c r="I11146" s="1" ph="1"/>
    </row>
    <row r="11147" spans="9:9" ht="18" customHeight="1">
      <c r="I11147" s="1" ph="1"/>
    </row>
    <row r="11148" spans="9:9" ht="18" customHeight="1">
      <c r="I11148" s="1" ph="1"/>
    </row>
    <row r="11149" spans="9:9" ht="18" customHeight="1">
      <c r="I11149" s="1" ph="1"/>
    </row>
    <row r="11150" spans="9:9" ht="18" customHeight="1">
      <c r="I11150" s="1" ph="1"/>
    </row>
    <row r="11151" spans="9:9" ht="18" customHeight="1">
      <c r="I11151" s="1" ph="1"/>
    </row>
    <row r="11152" spans="9:9" ht="18" customHeight="1">
      <c r="I11152" s="1" ph="1"/>
    </row>
    <row r="11153" spans="9:9" ht="18" customHeight="1">
      <c r="I11153" s="1" ph="1"/>
    </row>
    <row r="11154" spans="9:9" ht="18" customHeight="1">
      <c r="I11154" s="1" ph="1"/>
    </row>
    <row r="11155" spans="9:9" ht="18" customHeight="1">
      <c r="I11155" s="1" ph="1"/>
    </row>
    <row r="11156" spans="9:9" ht="18" customHeight="1">
      <c r="I11156" s="1" ph="1"/>
    </row>
    <row r="11157" spans="9:9" ht="18" customHeight="1">
      <c r="I11157" s="1" ph="1"/>
    </row>
    <row r="11158" spans="9:9" ht="18" customHeight="1">
      <c r="I11158" s="1" ph="1"/>
    </row>
    <row r="11159" spans="9:9" ht="18" customHeight="1">
      <c r="I11159" s="1" ph="1"/>
    </row>
    <row r="11160" spans="9:9" ht="18" customHeight="1">
      <c r="I11160" s="1" ph="1"/>
    </row>
    <row r="11161" spans="9:9" ht="18" customHeight="1">
      <c r="I11161" s="1" ph="1"/>
    </row>
    <row r="11162" spans="9:9" ht="18" customHeight="1">
      <c r="I11162" s="1" ph="1"/>
    </row>
    <row r="11163" spans="9:9" ht="18" customHeight="1">
      <c r="I11163" s="1" ph="1"/>
    </row>
    <row r="11164" spans="9:9" ht="18" customHeight="1">
      <c r="I11164" s="1" ph="1"/>
    </row>
    <row r="11165" spans="9:9" ht="18" customHeight="1">
      <c r="I11165" s="1" ph="1"/>
    </row>
    <row r="11166" spans="9:9" ht="18" customHeight="1">
      <c r="I11166" s="1" ph="1"/>
    </row>
    <row r="11167" spans="9:9" ht="18" customHeight="1">
      <c r="I11167" s="1" ph="1"/>
    </row>
    <row r="11168" spans="9:9" ht="18" customHeight="1">
      <c r="I11168" s="1" ph="1"/>
    </row>
    <row r="11169" spans="9:9" ht="18" customHeight="1">
      <c r="I11169" s="1" ph="1"/>
    </row>
    <row r="11170" spans="9:9" ht="18" customHeight="1">
      <c r="I11170" s="1" ph="1"/>
    </row>
    <row r="11171" spans="9:9" ht="18" customHeight="1">
      <c r="I11171" s="1" ph="1"/>
    </row>
    <row r="11172" spans="9:9" ht="18" customHeight="1">
      <c r="I11172" s="1" ph="1"/>
    </row>
    <row r="11173" spans="9:9" ht="18" customHeight="1">
      <c r="I11173" s="1" ph="1"/>
    </row>
    <row r="11174" spans="9:9" ht="18" customHeight="1">
      <c r="I11174" s="1" ph="1"/>
    </row>
    <row r="11175" spans="9:9" ht="18" customHeight="1">
      <c r="I11175" s="1" ph="1"/>
    </row>
    <row r="11176" spans="9:9" ht="18" customHeight="1">
      <c r="I11176" s="1" ph="1"/>
    </row>
    <row r="11177" spans="9:9" ht="18" customHeight="1">
      <c r="I11177" s="1" ph="1"/>
    </row>
    <row r="11178" spans="9:9" ht="18" customHeight="1">
      <c r="I11178" s="1" ph="1"/>
    </row>
    <row r="11179" spans="9:9" ht="18" customHeight="1">
      <c r="I11179" s="1" ph="1"/>
    </row>
    <row r="11180" spans="9:9" ht="18" customHeight="1">
      <c r="I11180" s="1" ph="1"/>
    </row>
    <row r="11181" spans="9:9" ht="18" customHeight="1">
      <c r="I11181" s="1" ph="1"/>
    </row>
    <row r="11182" spans="9:9" ht="18" customHeight="1">
      <c r="I11182" s="1" ph="1"/>
    </row>
    <row r="11183" spans="9:9" ht="18" customHeight="1">
      <c r="I11183" s="1" ph="1"/>
    </row>
    <row r="11184" spans="9:9" ht="18" customHeight="1">
      <c r="I11184" s="1" ph="1"/>
    </row>
    <row r="11185" spans="9:9" ht="18" customHeight="1">
      <c r="I11185" s="1" ph="1"/>
    </row>
    <row r="11186" spans="9:9" ht="18" customHeight="1">
      <c r="I11186" s="1" ph="1"/>
    </row>
    <row r="11187" spans="9:9" ht="18" customHeight="1">
      <c r="I11187" s="1" ph="1"/>
    </row>
    <row r="11188" spans="9:9" ht="18" customHeight="1">
      <c r="I11188" s="1" ph="1"/>
    </row>
    <row r="11189" spans="9:9" ht="18" customHeight="1">
      <c r="I11189" s="1" ph="1"/>
    </row>
    <row r="11190" spans="9:9" ht="18" customHeight="1">
      <c r="I11190" s="1" ph="1"/>
    </row>
    <row r="11191" spans="9:9" ht="18" customHeight="1">
      <c r="I11191" s="1" ph="1"/>
    </row>
    <row r="11192" spans="9:9" ht="18" customHeight="1">
      <c r="I11192" s="1" ph="1"/>
    </row>
    <row r="11193" spans="9:9" ht="18" customHeight="1">
      <c r="I11193" s="1" ph="1"/>
    </row>
    <row r="11194" spans="9:9" ht="18" customHeight="1">
      <c r="I11194" s="1" ph="1"/>
    </row>
    <row r="11195" spans="9:9" ht="18" customHeight="1">
      <c r="I11195" s="1" ph="1"/>
    </row>
    <row r="11196" spans="9:9" ht="18" customHeight="1">
      <c r="I11196" s="1" ph="1"/>
    </row>
    <row r="11197" spans="9:9" ht="18" customHeight="1">
      <c r="I11197" s="1" ph="1"/>
    </row>
    <row r="11198" spans="9:9" ht="18" customHeight="1">
      <c r="I11198" s="1" ph="1"/>
    </row>
    <row r="11199" spans="9:9" ht="18" customHeight="1">
      <c r="I11199" s="1" ph="1"/>
    </row>
    <row r="11200" spans="9:9" ht="18" customHeight="1">
      <c r="I11200" s="1" ph="1"/>
    </row>
    <row r="11201" spans="9:9" ht="18" customHeight="1">
      <c r="I11201" s="1" ph="1"/>
    </row>
    <row r="11202" spans="9:9" ht="18" customHeight="1">
      <c r="I11202" s="1" ph="1"/>
    </row>
    <row r="11203" spans="9:9" ht="18" customHeight="1">
      <c r="I11203" s="1" ph="1"/>
    </row>
    <row r="11204" spans="9:9" ht="18" customHeight="1">
      <c r="I11204" s="1" ph="1"/>
    </row>
    <row r="11205" spans="9:9" ht="18" customHeight="1">
      <c r="I11205" s="1" ph="1"/>
    </row>
    <row r="11206" spans="9:9" ht="18" customHeight="1">
      <c r="I11206" s="1" ph="1"/>
    </row>
    <row r="11207" spans="9:9" ht="18" customHeight="1">
      <c r="I11207" s="1" ph="1"/>
    </row>
    <row r="11208" spans="9:9" ht="18" customHeight="1">
      <c r="I11208" s="1" ph="1"/>
    </row>
    <row r="11209" spans="9:9" ht="18" customHeight="1">
      <c r="I11209" s="1" ph="1"/>
    </row>
    <row r="11210" spans="9:9" ht="18" customHeight="1">
      <c r="I11210" s="1" ph="1"/>
    </row>
    <row r="11211" spans="9:9" ht="18" customHeight="1">
      <c r="I11211" s="1" ph="1"/>
    </row>
    <row r="11212" spans="9:9" ht="18" customHeight="1">
      <c r="I11212" s="1" ph="1"/>
    </row>
    <row r="11213" spans="9:9" ht="18" customHeight="1">
      <c r="I11213" s="1" ph="1"/>
    </row>
    <row r="11214" spans="9:9" ht="18" customHeight="1">
      <c r="I11214" s="1" ph="1"/>
    </row>
    <row r="11215" spans="9:9" ht="18" customHeight="1">
      <c r="I11215" s="1" ph="1"/>
    </row>
    <row r="11216" spans="9:9" ht="18" customHeight="1">
      <c r="I11216" s="1" ph="1"/>
    </row>
    <row r="11217" spans="9:9" ht="18" customHeight="1">
      <c r="I11217" s="1" ph="1"/>
    </row>
    <row r="11218" spans="9:9" ht="18" customHeight="1">
      <c r="I11218" s="1" ph="1"/>
    </row>
    <row r="11219" spans="9:9" ht="18" customHeight="1">
      <c r="I11219" s="1" ph="1"/>
    </row>
    <row r="11220" spans="9:9" ht="18" customHeight="1">
      <c r="I11220" s="1" ph="1"/>
    </row>
    <row r="11221" spans="9:9" ht="18" customHeight="1">
      <c r="I11221" s="1" ph="1"/>
    </row>
    <row r="11222" spans="9:9" ht="18" customHeight="1">
      <c r="I11222" s="1" ph="1"/>
    </row>
    <row r="11223" spans="9:9" ht="18" customHeight="1">
      <c r="I11223" s="1" ph="1"/>
    </row>
    <row r="11224" spans="9:9" ht="18" customHeight="1">
      <c r="I11224" s="1" ph="1"/>
    </row>
    <row r="11225" spans="9:9" ht="18" customHeight="1">
      <c r="I11225" s="1" ph="1"/>
    </row>
    <row r="11226" spans="9:9" ht="18" customHeight="1">
      <c r="I11226" s="1" ph="1"/>
    </row>
    <row r="11227" spans="9:9" ht="18" customHeight="1">
      <c r="I11227" s="1" ph="1"/>
    </row>
    <row r="11228" spans="9:9" ht="18" customHeight="1">
      <c r="I11228" s="1" ph="1"/>
    </row>
    <row r="11229" spans="9:9" ht="18" customHeight="1">
      <c r="I11229" s="1" ph="1"/>
    </row>
    <row r="11230" spans="9:9" ht="18" customHeight="1">
      <c r="I11230" s="1" ph="1"/>
    </row>
    <row r="11231" spans="9:9" ht="18" customHeight="1">
      <c r="I11231" s="1" ph="1"/>
    </row>
    <row r="11232" spans="9:9" ht="18" customHeight="1">
      <c r="I11232" s="1" ph="1"/>
    </row>
    <row r="11233" spans="9:9" ht="18" customHeight="1">
      <c r="I11233" s="1" ph="1"/>
    </row>
    <row r="11234" spans="9:9" ht="18" customHeight="1">
      <c r="I11234" s="1" ph="1"/>
    </row>
    <row r="11235" spans="9:9" ht="18" customHeight="1">
      <c r="I11235" s="1" ph="1"/>
    </row>
    <row r="11236" spans="9:9" ht="18" customHeight="1">
      <c r="I11236" s="1" ph="1"/>
    </row>
    <row r="11237" spans="9:9" ht="18" customHeight="1">
      <c r="I11237" s="1" ph="1"/>
    </row>
    <row r="11238" spans="9:9" ht="18" customHeight="1">
      <c r="I11238" s="1" ph="1"/>
    </row>
    <row r="11239" spans="9:9" ht="18" customHeight="1">
      <c r="I11239" s="1" ph="1"/>
    </row>
    <row r="11240" spans="9:9" ht="18" customHeight="1">
      <c r="I11240" s="1" ph="1"/>
    </row>
    <row r="11241" spans="9:9" ht="18" customHeight="1">
      <c r="I11241" s="1" ph="1"/>
    </row>
    <row r="11242" spans="9:9" ht="18" customHeight="1">
      <c r="I11242" s="1" ph="1"/>
    </row>
    <row r="11243" spans="9:9" ht="18" customHeight="1">
      <c r="I11243" s="1" ph="1"/>
    </row>
    <row r="11244" spans="9:9" ht="18" customHeight="1">
      <c r="I11244" s="1" ph="1"/>
    </row>
    <row r="11245" spans="9:9" ht="18" customHeight="1">
      <c r="I11245" s="1" ph="1"/>
    </row>
    <row r="11246" spans="9:9" ht="18" customHeight="1">
      <c r="I11246" s="1" ph="1"/>
    </row>
    <row r="11247" spans="9:9" ht="18" customHeight="1">
      <c r="I11247" s="1" ph="1"/>
    </row>
    <row r="11248" spans="9:9" ht="18" customHeight="1">
      <c r="I11248" s="1" ph="1"/>
    </row>
    <row r="11249" spans="9:9" ht="18" customHeight="1">
      <c r="I11249" s="1" ph="1"/>
    </row>
    <row r="11250" spans="9:9" ht="18" customHeight="1">
      <c r="I11250" s="1" ph="1"/>
    </row>
    <row r="11251" spans="9:9" ht="18" customHeight="1">
      <c r="I11251" s="1" ph="1"/>
    </row>
    <row r="11252" spans="9:9" ht="18" customHeight="1">
      <c r="I11252" s="1" ph="1"/>
    </row>
    <row r="11253" spans="9:9" ht="18" customHeight="1">
      <c r="I11253" s="1" ph="1"/>
    </row>
    <row r="11254" spans="9:9" ht="18" customHeight="1">
      <c r="I11254" s="1" ph="1"/>
    </row>
    <row r="11255" spans="9:9" ht="18" customHeight="1">
      <c r="I11255" s="1" ph="1"/>
    </row>
    <row r="11256" spans="9:9" ht="18" customHeight="1">
      <c r="I11256" s="1" ph="1"/>
    </row>
    <row r="11257" spans="9:9" ht="18" customHeight="1">
      <c r="I11257" s="1" ph="1"/>
    </row>
    <row r="11258" spans="9:9" ht="18" customHeight="1">
      <c r="I11258" s="1" ph="1"/>
    </row>
    <row r="11259" spans="9:9" ht="18" customHeight="1">
      <c r="I11259" s="1" ph="1"/>
    </row>
    <row r="11260" spans="9:9" ht="18" customHeight="1">
      <c r="I11260" s="1" ph="1"/>
    </row>
    <row r="11261" spans="9:9" ht="18" customHeight="1">
      <c r="I11261" s="1" ph="1"/>
    </row>
    <row r="11262" spans="9:9" ht="18" customHeight="1">
      <c r="I11262" s="1" ph="1"/>
    </row>
    <row r="11263" spans="9:9" ht="18" customHeight="1">
      <c r="I11263" s="1" ph="1"/>
    </row>
    <row r="11264" spans="9:9" ht="18" customHeight="1">
      <c r="I11264" s="1" ph="1"/>
    </row>
    <row r="11265" spans="9:9" ht="18" customHeight="1">
      <c r="I11265" s="1" ph="1"/>
    </row>
    <row r="11266" spans="9:9" ht="18" customHeight="1">
      <c r="I11266" s="1" ph="1"/>
    </row>
    <row r="11267" spans="9:9" ht="18" customHeight="1">
      <c r="I11267" s="1" ph="1"/>
    </row>
    <row r="11268" spans="9:9" ht="18" customHeight="1">
      <c r="I11268" s="1" ph="1"/>
    </row>
    <row r="11269" spans="9:9" ht="18" customHeight="1">
      <c r="I11269" s="1" ph="1"/>
    </row>
    <row r="11270" spans="9:9" ht="18" customHeight="1">
      <c r="I11270" s="1" ph="1"/>
    </row>
    <row r="11271" spans="9:9" ht="18" customHeight="1">
      <c r="I11271" s="1" ph="1"/>
    </row>
    <row r="11272" spans="9:9" ht="18" customHeight="1">
      <c r="I11272" s="1" ph="1"/>
    </row>
    <row r="11273" spans="9:9" ht="18" customHeight="1">
      <c r="I11273" s="1" ph="1"/>
    </row>
    <row r="11274" spans="9:9" ht="18" customHeight="1">
      <c r="I11274" s="1" ph="1"/>
    </row>
    <row r="11275" spans="9:9" ht="18" customHeight="1">
      <c r="I11275" s="1" ph="1"/>
    </row>
    <row r="11276" spans="9:9" ht="18" customHeight="1">
      <c r="I11276" s="1" ph="1"/>
    </row>
    <row r="11277" spans="9:9" ht="18" customHeight="1">
      <c r="I11277" s="1" ph="1"/>
    </row>
    <row r="11278" spans="9:9" ht="18" customHeight="1">
      <c r="I11278" s="1" ph="1"/>
    </row>
    <row r="11279" spans="9:9" ht="18" customHeight="1">
      <c r="I11279" s="1" ph="1"/>
    </row>
    <row r="11280" spans="9:9" ht="18" customHeight="1">
      <c r="I11280" s="1" ph="1"/>
    </row>
    <row r="11281" spans="9:9" ht="18" customHeight="1">
      <c r="I11281" s="1" ph="1"/>
    </row>
    <row r="11282" spans="9:9" ht="18" customHeight="1">
      <c r="I11282" s="1" ph="1"/>
    </row>
    <row r="11283" spans="9:9" ht="18" customHeight="1">
      <c r="I11283" s="1" ph="1"/>
    </row>
    <row r="11284" spans="9:9" ht="18" customHeight="1">
      <c r="I11284" s="1" ph="1"/>
    </row>
    <row r="11285" spans="9:9" ht="18" customHeight="1">
      <c r="I11285" s="1" ph="1"/>
    </row>
    <row r="11286" spans="9:9" ht="18" customHeight="1">
      <c r="I11286" s="1" ph="1"/>
    </row>
    <row r="11287" spans="9:9" ht="18" customHeight="1">
      <c r="I11287" s="1" ph="1"/>
    </row>
    <row r="11288" spans="9:9" ht="18" customHeight="1">
      <c r="I11288" s="1" ph="1"/>
    </row>
    <row r="11289" spans="9:9" ht="18" customHeight="1">
      <c r="I11289" s="1" ph="1"/>
    </row>
    <row r="11290" spans="9:9" ht="18" customHeight="1">
      <c r="I11290" s="1" ph="1"/>
    </row>
    <row r="11291" spans="9:9" ht="18" customHeight="1">
      <c r="I11291" s="1" ph="1"/>
    </row>
    <row r="11292" spans="9:9" ht="18" customHeight="1">
      <c r="I11292" s="1" ph="1"/>
    </row>
    <row r="11293" spans="9:9" ht="18" customHeight="1">
      <c r="I11293" s="1" ph="1"/>
    </row>
    <row r="11294" spans="9:9" ht="18" customHeight="1">
      <c r="I11294" s="1" ph="1"/>
    </row>
    <row r="11295" spans="9:9" ht="18" customHeight="1">
      <c r="I11295" s="1" ph="1"/>
    </row>
    <row r="11296" spans="9:9" ht="18" customHeight="1">
      <c r="I11296" s="1" ph="1"/>
    </row>
    <row r="11297" spans="9:9" ht="18" customHeight="1">
      <c r="I11297" s="1" ph="1"/>
    </row>
    <row r="11298" spans="9:9" ht="18" customHeight="1">
      <c r="I11298" s="1" ph="1"/>
    </row>
    <row r="11299" spans="9:9" ht="18" customHeight="1">
      <c r="I11299" s="1" ph="1"/>
    </row>
    <row r="11300" spans="9:9" ht="18" customHeight="1">
      <c r="I11300" s="1" ph="1"/>
    </row>
    <row r="11301" spans="9:9" ht="18" customHeight="1">
      <c r="I11301" s="1" ph="1"/>
    </row>
    <row r="11302" spans="9:9" ht="18" customHeight="1">
      <c r="I11302" s="1" ph="1"/>
    </row>
    <row r="11303" spans="9:9" ht="18" customHeight="1">
      <c r="I11303" s="1" ph="1"/>
    </row>
    <row r="11304" spans="9:9" ht="18" customHeight="1">
      <c r="I11304" s="1" ph="1"/>
    </row>
    <row r="11305" spans="9:9" ht="18" customHeight="1">
      <c r="I11305" s="1" ph="1"/>
    </row>
    <row r="11306" spans="9:9" ht="18" customHeight="1">
      <c r="I11306" s="1" ph="1"/>
    </row>
    <row r="11307" spans="9:9" ht="18" customHeight="1">
      <c r="I11307" s="1" ph="1"/>
    </row>
    <row r="11308" spans="9:9" ht="18" customHeight="1">
      <c r="I11308" s="1" ph="1"/>
    </row>
    <row r="11309" spans="9:9" ht="18" customHeight="1">
      <c r="I11309" s="1" ph="1"/>
    </row>
    <row r="11310" spans="9:9" ht="18" customHeight="1">
      <c r="I11310" s="1" ph="1"/>
    </row>
    <row r="11311" spans="9:9" ht="18" customHeight="1">
      <c r="I11311" s="1" ph="1"/>
    </row>
    <row r="11312" spans="9:9" ht="18" customHeight="1">
      <c r="I11312" s="1" ph="1"/>
    </row>
    <row r="11313" spans="9:9" ht="18" customHeight="1">
      <c r="I11313" s="1" ph="1"/>
    </row>
    <row r="11314" spans="9:9" ht="18" customHeight="1">
      <c r="I11314" s="1" ph="1"/>
    </row>
    <row r="11315" spans="9:9" ht="18" customHeight="1">
      <c r="I11315" s="1" ph="1"/>
    </row>
    <row r="11316" spans="9:9" ht="18" customHeight="1">
      <c r="I11316" s="1" ph="1"/>
    </row>
    <row r="11317" spans="9:9" ht="18" customHeight="1">
      <c r="I11317" s="1" ph="1"/>
    </row>
    <row r="11318" spans="9:9" ht="18" customHeight="1">
      <c r="I11318" s="1" ph="1"/>
    </row>
    <row r="11319" spans="9:9" ht="18" customHeight="1">
      <c r="I11319" s="1" ph="1"/>
    </row>
    <row r="11320" spans="9:9" ht="18" customHeight="1">
      <c r="I11320" s="1" ph="1"/>
    </row>
    <row r="11321" spans="9:9" ht="18" customHeight="1">
      <c r="I11321" s="1" ph="1"/>
    </row>
    <row r="11322" spans="9:9" ht="18" customHeight="1">
      <c r="I11322" s="1" ph="1"/>
    </row>
    <row r="11323" spans="9:9" ht="18" customHeight="1">
      <c r="I11323" s="1" ph="1"/>
    </row>
    <row r="11324" spans="9:9" ht="18" customHeight="1">
      <c r="I11324" s="1" ph="1"/>
    </row>
    <row r="11325" spans="9:9" ht="18" customHeight="1">
      <c r="I11325" s="1" ph="1"/>
    </row>
    <row r="11326" spans="9:9" ht="18" customHeight="1">
      <c r="I11326" s="1" ph="1"/>
    </row>
    <row r="11327" spans="9:9" ht="18" customHeight="1">
      <c r="I11327" s="1" ph="1"/>
    </row>
    <row r="11328" spans="9:9" ht="18" customHeight="1">
      <c r="I11328" s="1" ph="1"/>
    </row>
    <row r="11329" spans="9:9" ht="18" customHeight="1">
      <c r="I11329" s="1" ph="1"/>
    </row>
    <row r="11330" spans="9:9" ht="18" customHeight="1">
      <c r="I11330" s="1" ph="1"/>
    </row>
    <row r="11331" spans="9:9" ht="18" customHeight="1">
      <c r="I11331" s="1" ph="1"/>
    </row>
    <row r="11332" spans="9:9" ht="18" customHeight="1">
      <c r="I11332" s="1" ph="1"/>
    </row>
    <row r="11333" spans="9:9" ht="18" customHeight="1">
      <c r="I11333" s="1" ph="1"/>
    </row>
    <row r="11334" spans="9:9" ht="18" customHeight="1">
      <c r="I11334" s="1" ph="1"/>
    </row>
    <row r="11335" spans="9:9" ht="18" customHeight="1">
      <c r="I11335" s="1" ph="1"/>
    </row>
    <row r="11336" spans="9:9" ht="18" customHeight="1">
      <c r="I11336" s="1" ph="1"/>
    </row>
    <row r="11337" spans="9:9" ht="18" customHeight="1">
      <c r="I11337" s="1" ph="1"/>
    </row>
    <row r="11338" spans="9:9" ht="18" customHeight="1">
      <c r="I11338" s="1" ph="1"/>
    </row>
    <row r="11339" spans="9:9" ht="18" customHeight="1">
      <c r="I11339" s="1" ph="1"/>
    </row>
    <row r="11340" spans="9:9" ht="18" customHeight="1">
      <c r="I11340" s="1" ph="1"/>
    </row>
    <row r="11341" spans="9:9" ht="18" customHeight="1">
      <c r="I11341" s="1" ph="1"/>
    </row>
    <row r="11342" spans="9:9" ht="18" customHeight="1">
      <c r="I11342" s="1" ph="1"/>
    </row>
    <row r="11343" spans="9:9" ht="18" customHeight="1">
      <c r="I11343" s="1" ph="1"/>
    </row>
    <row r="11344" spans="9:9" ht="18" customHeight="1">
      <c r="I11344" s="1" ph="1"/>
    </row>
    <row r="11345" spans="9:9" ht="18" customHeight="1">
      <c r="I11345" s="1" ph="1"/>
    </row>
    <row r="11346" spans="9:9" ht="18" customHeight="1">
      <c r="I11346" s="1" ph="1"/>
    </row>
    <row r="11347" spans="9:9" ht="18" customHeight="1">
      <c r="I11347" s="1" ph="1"/>
    </row>
    <row r="11348" spans="9:9" ht="18" customHeight="1">
      <c r="I11348" s="1" ph="1"/>
    </row>
    <row r="11349" spans="9:9" ht="18" customHeight="1">
      <c r="I11349" s="1" ph="1"/>
    </row>
    <row r="11350" spans="9:9" ht="18" customHeight="1">
      <c r="I11350" s="1" ph="1"/>
    </row>
    <row r="11351" spans="9:9" ht="18" customHeight="1">
      <c r="I11351" s="1" ph="1"/>
    </row>
    <row r="11352" spans="9:9" ht="18" customHeight="1">
      <c r="I11352" s="1" ph="1"/>
    </row>
    <row r="11353" spans="9:9" ht="18" customHeight="1">
      <c r="I11353" s="1" ph="1"/>
    </row>
    <row r="11354" spans="9:9" ht="18" customHeight="1">
      <c r="I11354" s="1" ph="1"/>
    </row>
    <row r="11355" spans="9:9" ht="18" customHeight="1">
      <c r="I11355" s="1" ph="1"/>
    </row>
    <row r="11356" spans="9:9" ht="18" customHeight="1">
      <c r="I11356" s="1" ph="1"/>
    </row>
    <row r="11357" spans="9:9" ht="18" customHeight="1">
      <c r="I11357" s="1" ph="1"/>
    </row>
    <row r="11358" spans="9:9" ht="18" customHeight="1">
      <c r="I11358" s="1" ph="1"/>
    </row>
    <row r="11359" spans="9:9" ht="18" customHeight="1">
      <c r="I11359" s="1" ph="1"/>
    </row>
    <row r="11360" spans="9:9" ht="18" customHeight="1">
      <c r="I11360" s="1" ph="1"/>
    </row>
    <row r="11361" spans="9:9" ht="18" customHeight="1">
      <c r="I11361" s="1" ph="1"/>
    </row>
    <row r="11362" spans="9:9" ht="18" customHeight="1">
      <c r="I11362" s="1" ph="1"/>
    </row>
    <row r="11363" spans="9:9" ht="18" customHeight="1">
      <c r="I11363" s="1" ph="1"/>
    </row>
    <row r="11364" spans="9:9" ht="18" customHeight="1">
      <c r="I11364" s="1" ph="1"/>
    </row>
    <row r="11365" spans="9:9" ht="18" customHeight="1">
      <c r="I11365" s="1" ph="1"/>
    </row>
    <row r="11366" spans="9:9" ht="18" customHeight="1">
      <c r="I11366" s="1" ph="1"/>
    </row>
    <row r="11367" spans="9:9" ht="18" customHeight="1">
      <c r="I11367" s="1" ph="1"/>
    </row>
    <row r="11368" spans="9:9" ht="18" customHeight="1">
      <c r="I11368" s="1" ph="1"/>
    </row>
    <row r="11369" spans="9:9" ht="18" customHeight="1">
      <c r="I11369" s="1" ph="1"/>
    </row>
    <row r="11370" spans="9:9" ht="18" customHeight="1">
      <c r="I11370" s="1" ph="1"/>
    </row>
    <row r="11371" spans="9:9" ht="18" customHeight="1">
      <c r="I11371" s="1" ph="1"/>
    </row>
    <row r="11372" spans="9:9" ht="18" customHeight="1">
      <c r="I11372" s="1" ph="1"/>
    </row>
    <row r="11373" spans="9:9" ht="18" customHeight="1">
      <c r="I11373" s="1" ph="1"/>
    </row>
    <row r="11374" spans="9:9" ht="18" customHeight="1">
      <c r="I11374" s="1" ph="1"/>
    </row>
    <row r="11375" spans="9:9" ht="18" customHeight="1">
      <c r="I11375" s="1" ph="1"/>
    </row>
    <row r="11376" spans="9:9" ht="18" customHeight="1">
      <c r="I11376" s="1" ph="1"/>
    </row>
    <row r="11377" spans="9:9" ht="18" customHeight="1">
      <c r="I11377" s="1" ph="1"/>
    </row>
    <row r="11378" spans="9:9" ht="18" customHeight="1">
      <c r="I11378" s="1" ph="1"/>
    </row>
    <row r="11379" spans="9:9" ht="18" customHeight="1">
      <c r="I11379" s="1" ph="1"/>
    </row>
    <row r="11380" spans="9:9" ht="18" customHeight="1">
      <c r="I11380" s="1" ph="1"/>
    </row>
    <row r="11381" spans="9:9" ht="18" customHeight="1">
      <c r="I11381" s="1" ph="1"/>
    </row>
    <row r="11382" spans="9:9" ht="18" customHeight="1">
      <c r="I11382" s="1" ph="1"/>
    </row>
    <row r="11383" spans="9:9" ht="18" customHeight="1">
      <c r="I11383" s="1" ph="1"/>
    </row>
    <row r="11384" spans="9:9" ht="18" customHeight="1">
      <c r="I11384" s="1" ph="1"/>
    </row>
    <row r="11385" spans="9:9" ht="18" customHeight="1">
      <c r="I11385" s="1" ph="1"/>
    </row>
    <row r="11386" spans="9:9" ht="18" customHeight="1">
      <c r="I11386" s="1" ph="1"/>
    </row>
    <row r="11387" spans="9:9" ht="18" customHeight="1">
      <c r="I11387" s="1" ph="1"/>
    </row>
    <row r="11388" spans="9:9" ht="18" customHeight="1">
      <c r="I11388" s="1" ph="1"/>
    </row>
    <row r="11389" spans="9:9" ht="18" customHeight="1">
      <c r="I11389" s="1" ph="1"/>
    </row>
    <row r="11390" spans="9:9" ht="18" customHeight="1">
      <c r="I11390" s="1" ph="1"/>
    </row>
    <row r="11391" spans="9:9" ht="18" customHeight="1">
      <c r="I11391" s="1" ph="1"/>
    </row>
    <row r="11392" spans="9:9" ht="18" customHeight="1">
      <c r="I11392" s="1" ph="1"/>
    </row>
    <row r="11393" spans="9:9" ht="18" customHeight="1">
      <c r="I11393" s="1" ph="1"/>
    </row>
    <row r="11394" spans="9:9" ht="18" customHeight="1">
      <c r="I11394" s="1" ph="1"/>
    </row>
    <row r="11395" spans="9:9" ht="18" customHeight="1">
      <c r="I11395" s="1" ph="1"/>
    </row>
    <row r="11396" spans="9:9" ht="18" customHeight="1">
      <c r="I11396" s="1" ph="1"/>
    </row>
    <row r="11397" spans="9:9" ht="18" customHeight="1">
      <c r="I11397" s="1" ph="1"/>
    </row>
    <row r="11398" spans="9:9" ht="18" customHeight="1">
      <c r="I11398" s="1" ph="1"/>
    </row>
    <row r="11399" spans="9:9" ht="18" customHeight="1">
      <c r="I11399" s="1" ph="1"/>
    </row>
    <row r="11400" spans="9:9" ht="18" customHeight="1">
      <c r="I11400" s="1" ph="1"/>
    </row>
    <row r="11401" spans="9:9" ht="18" customHeight="1">
      <c r="I11401" s="1" ph="1"/>
    </row>
    <row r="11402" spans="9:9" ht="18" customHeight="1">
      <c r="I11402" s="1" ph="1"/>
    </row>
    <row r="11403" spans="9:9" ht="18" customHeight="1">
      <c r="I11403" s="1" ph="1"/>
    </row>
    <row r="11404" spans="9:9" ht="18" customHeight="1">
      <c r="I11404" s="1" ph="1"/>
    </row>
    <row r="11405" spans="9:9" ht="18" customHeight="1">
      <c r="I11405" s="1" ph="1"/>
    </row>
    <row r="11406" spans="9:9" ht="18" customHeight="1">
      <c r="I11406" s="1" ph="1"/>
    </row>
    <row r="11407" spans="9:9" ht="18" customHeight="1">
      <c r="I11407" s="1" ph="1"/>
    </row>
    <row r="11408" spans="9:9" ht="18" customHeight="1">
      <c r="I11408" s="1" ph="1"/>
    </row>
    <row r="11409" spans="9:9" ht="18" customHeight="1">
      <c r="I11409" s="1" ph="1"/>
    </row>
    <row r="11410" spans="9:9" ht="18" customHeight="1">
      <c r="I11410" s="1" ph="1"/>
    </row>
    <row r="11411" spans="9:9" ht="18" customHeight="1">
      <c r="I11411" s="1" ph="1"/>
    </row>
    <row r="11412" spans="9:9" ht="18" customHeight="1">
      <c r="I11412" s="1" ph="1"/>
    </row>
    <row r="11413" spans="9:9" ht="18" customHeight="1">
      <c r="I11413" s="1" ph="1"/>
    </row>
    <row r="11414" spans="9:9" ht="18" customHeight="1">
      <c r="I11414" s="1" ph="1"/>
    </row>
    <row r="11415" spans="9:9" ht="18" customHeight="1">
      <c r="I11415" s="1" ph="1"/>
    </row>
    <row r="11416" spans="9:9" ht="18" customHeight="1">
      <c r="I11416" s="1" ph="1"/>
    </row>
    <row r="11417" spans="9:9" ht="18" customHeight="1">
      <c r="I11417" s="1" ph="1"/>
    </row>
    <row r="11418" spans="9:9" ht="18" customHeight="1">
      <c r="I11418" s="1" ph="1"/>
    </row>
    <row r="11419" spans="9:9" ht="18" customHeight="1">
      <c r="I11419" s="1" ph="1"/>
    </row>
    <row r="11420" spans="9:9" ht="18" customHeight="1">
      <c r="I11420" s="1" ph="1"/>
    </row>
    <row r="11421" spans="9:9" ht="18" customHeight="1">
      <c r="I11421" s="1" ph="1"/>
    </row>
    <row r="11422" spans="9:9" ht="18" customHeight="1">
      <c r="I11422" s="1" ph="1"/>
    </row>
    <row r="11423" spans="9:9" ht="18" customHeight="1">
      <c r="I11423" s="1" ph="1"/>
    </row>
    <row r="11424" spans="9:9" ht="18" customHeight="1">
      <c r="I11424" s="1" ph="1"/>
    </row>
    <row r="11425" spans="9:9" ht="18" customHeight="1">
      <c r="I11425" s="1" ph="1"/>
    </row>
    <row r="11426" spans="9:9" ht="18" customHeight="1">
      <c r="I11426" s="1" ph="1"/>
    </row>
    <row r="11427" spans="9:9" ht="18" customHeight="1">
      <c r="I11427" s="1" ph="1"/>
    </row>
    <row r="11428" spans="9:9" ht="18" customHeight="1">
      <c r="I11428" s="1" ph="1"/>
    </row>
    <row r="11429" spans="9:9" ht="18" customHeight="1">
      <c r="I11429" s="1" ph="1"/>
    </row>
    <row r="11430" spans="9:9" ht="18" customHeight="1">
      <c r="I11430" s="1" ph="1"/>
    </row>
    <row r="11431" spans="9:9" ht="18" customHeight="1">
      <c r="I11431" s="1" ph="1"/>
    </row>
    <row r="11432" spans="9:9" ht="18" customHeight="1">
      <c r="I11432" s="1" ph="1"/>
    </row>
    <row r="11433" spans="9:9" ht="18" customHeight="1">
      <c r="I11433" s="1" ph="1"/>
    </row>
    <row r="11434" spans="9:9" ht="18" customHeight="1">
      <c r="I11434" s="1" ph="1"/>
    </row>
    <row r="11435" spans="9:9" ht="18" customHeight="1">
      <c r="I11435" s="1" ph="1"/>
    </row>
    <row r="11436" spans="9:9" ht="18" customHeight="1">
      <c r="I11436" s="1" ph="1"/>
    </row>
    <row r="11437" spans="9:9" ht="18" customHeight="1">
      <c r="I11437" s="1" ph="1"/>
    </row>
    <row r="11438" spans="9:9" ht="18" customHeight="1">
      <c r="I11438" s="1" ph="1"/>
    </row>
    <row r="11439" spans="9:9" ht="18" customHeight="1">
      <c r="I11439" s="1" ph="1"/>
    </row>
    <row r="11440" spans="9:9" ht="18" customHeight="1">
      <c r="I11440" s="1" ph="1"/>
    </row>
    <row r="11441" spans="9:9" ht="18" customHeight="1">
      <c r="I11441" s="1" ph="1"/>
    </row>
    <row r="11442" spans="9:9" ht="18" customHeight="1">
      <c r="I11442" s="1" ph="1"/>
    </row>
    <row r="11443" spans="9:9" ht="18" customHeight="1">
      <c r="I11443" s="1" ph="1"/>
    </row>
    <row r="11444" spans="9:9" ht="18" customHeight="1">
      <c r="I11444" s="1" ph="1"/>
    </row>
    <row r="11445" spans="9:9" ht="18" customHeight="1">
      <c r="I11445" s="1" ph="1"/>
    </row>
    <row r="11446" spans="9:9" ht="18" customHeight="1">
      <c r="I11446" s="1" ph="1"/>
    </row>
    <row r="11447" spans="9:9" ht="18" customHeight="1">
      <c r="I11447" s="1" ph="1"/>
    </row>
    <row r="11448" spans="9:9" ht="18" customHeight="1">
      <c r="I11448" s="1" ph="1"/>
    </row>
    <row r="11449" spans="9:9" ht="18" customHeight="1">
      <c r="I11449" s="1" ph="1"/>
    </row>
    <row r="11450" spans="9:9" ht="18" customHeight="1">
      <c r="I11450" s="1" ph="1"/>
    </row>
    <row r="11451" spans="9:9" ht="18" customHeight="1">
      <c r="I11451" s="1" ph="1"/>
    </row>
    <row r="11452" spans="9:9" ht="18" customHeight="1">
      <c r="I11452" s="1" ph="1"/>
    </row>
    <row r="11453" spans="9:9" ht="18" customHeight="1">
      <c r="I11453" s="1" ph="1"/>
    </row>
    <row r="11454" spans="9:9" ht="18" customHeight="1">
      <c r="I11454" s="1" ph="1"/>
    </row>
    <row r="11455" spans="9:9" ht="18" customHeight="1">
      <c r="I11455" s="1" ph="1"/>
    </row>
    <row r="11456" spans="9:9" ht="18" customHeight="1">
      <c r="I11456" s="1" ph="1"/>
    </row>
    <row r="11457" spans="9:9" ht="18" customHeight="1">
      <c r="I11457" s="1" ph="1"/>
    </row>
    <row r="11458" spans="9:9" ht="18" customHeight="1">
      <c r="I11458" s="1" ph="1"/>
    </row>
    <row r="11459" spans="9:9" ht="18" customHeight="1">
      <c r="I11459" s="1" ph="1"/>
    </row>
    <row r="11460" spans="9:9" ht="18" customHeight="1">
      <c r="I11460" s="1" ph="1"/>
    </row>
    <row r="11461" spans="9:9" ht="18" customHeight="1">
      <c r="I11461" s="1" ph="1"/>
    </row>
    <row r="11462" spans="9:9" ht="18" customHeight="1">
      <c r="I11462" s="1" ph="1"/>
    </row>
    <row r="11463" spans="9:9" ht="18" customHeight="1">
      <c r="I11463" s="1" ph="1"/>
    </row>
    <row r="11464" spans="9:9" ht="18" customHeight="1">
      <c r="I11464" s="1" ph="1"/>
    </row>
    <row r="11465" spans="9:9" ht="18" customHeight="1">
      <c r="I11465" s="1" ph="1"/>
    </row>
    <row r="11466" spans="9:9" ht="18" customHeight="1">
      <c r="I11466" s="1" ph="1"/>
    </row>
    <row r="11467" spans="9:9" ht="18" customHeight="1">
      <c r="I11467" s="1" ph="1"/>
    </row>
    <row r="11468" spans="9:9" ht="18" customHeight="1">
      <c r="I11468" s="1" ph="1"/>
    </row>
    <row r="11469" spans="9:9" ht="18" customHeight="1">
      <c r="I11469" s="1" ph="1"/>
    </row>
    <row r="11470" spans="9:9" ht="18" customHeight="1">
      <c r="I11470" s="1" ph="1"/>
    </row>
    <row r="11471" spans="9:9" ht="18" customHeight="1">
      <c r="I11471" s="1" ph="1"/>
    </row>
    <row r="11472" spans="9:9" ht="18" customHeight="1">
      <c r="I11472" s="1" ph="1"/>
    </row>
    <row r="11473" spans="9:9" ht="18" customHeight="1">
      <c r="I11473" s="1" ph="1"/>
    </row>
    <row r="11474" spans="9:9" ht="18" customHeight="1">
      <c r="I11474" s="1" ph="1"/>
    </row>
    <row r="11475" spans="9:9" ht="18" customHeight="1">
      <c r="I11475" s="1" ph="1"/>
    </row>
    <row r="11476" spans="9:9" ht="18" customHeight="1">
      <c r="I11476" s="1" ph="1"/>
    </row>
    <row r="11477" spans="9:9" ht="18" customHeight="1">
      <c r="I11477" s="1" ph="1"/>
    </row>
    <row r="11478" spans="9:9" ht="18" customHeight="1">
      <c r="I11478" s="1" ph="1"/>
    </row>
    <row r="11479" spans="9:9" ht="18" customHeight="1">
      <c r="I11479" s="1" ph="1"/>
    </row>
    <row r="11480" spans="9:9" ht="18" customHeight="1">
      <c r="I11480" s="1" ph="1"/>
    </row>
    <row r="11481" spans="9:9" ht="18" customHeight="1">
      <c r="I11481" s="1" ph="1"/>
    </row>
    <row r="11482" spans="9:9" ht="18" customHeight="1">
      <c r="I11482" s="1" ph="1"/>
    </row>
    <row r="11483" spans="9:9" ht="18" customHeight="1">
      <c r="I11483" s="1" ph="1"/>
    </row>
    <row r="11484" spans="9:9" ht="18" customHeight="1">
      <c r="I11484" s="1" ph="1"/>
    </row>
    <row r="11485" spans="9:9" ht="18" customHeight="1">
      <c r="I11485" s="1" ph="1"/>
    </row>
    <row r="11486" spans="9:9" ht="18" customHeight="1">
      <c r="I11486" s="1" ph="1"/>
    </row>
    <row r="11487" spans="9:9" ht="18" customHeight="1">
      <c r="I11487" s="1" ph="1"/>
    </row>
    <row r="11488" spans="9:9" ht="18" customHeight="1">
      <c r="I11488" s="1" ph="1"/>
    </row>
    <row r="11489" spans="9:9" ht="18" customHeight="1">
      <c r="I11489" s="1" ph="1"/>
    </row>
    <row r="11490" spans="9:9" ht="18" customHeight="1">
      <c r="I11490" s="1" ph="1"/>
    </row>
    <row r="11491" spans="9:9" ht="18" customHeight="1">
      <c r="I11491" s="1" ph="1"/>
    </row>
    <row r="11492" spans="9:9" ht="18" customHeight="1">
      <c r="I11492" s="1" ph="1"/>
    </row>
    <row r="11493" spans="9:9" ht="18" customHeight="1">
      <c r="I11493" s="1" ph="1"/>
    </row>
    <row r="11494" spans="9:9" ht="18" customHeight="1">
      <c r="I11494" s="1" ph="1"/>
    </row>
    <row r="11495" spans="9:9" ht="18" customHeight="1">
      <c r="I11495" s="1" ph="1"/>
    </row>
    <row r="11496" spans="9:9" ht="18" customHeight="1">
      <c r="I11496" s="1" ph="1"/>
    </row>
    <row r="11497" spans="9:9" ht="18" customHeight="1">
      <c r="I11497" s="1" ph="1"/>
    </row>
    <row r="11498" spans="9:9" ht="18" customHeight="1">
      <c r="I11498" s="1" ph="1"/>
    </row>
    <row r="11499" spans="9:9" ht="18" customHeight="1">
      <c r="I11499" s="1" ph="1"/>
    </row>
    <row r="11500" spans="9:9" ht="18" customHeight="1">
      <c r="I11500" s="1" ph="1"/>
    </row>
    <row r="11501" spans="9:9" ht="18" customHeight="1">
      <c r="I11501" s="1" ph="1"/>
    </row>
    <row r="11502" spans="9:9" ht="18" customHeight="1">
      <c r="I11502" s="1" ph="1"/>
    </row>
    <row r="11503" spans="9:9" ht="18" customHeight="1">
      <c r="I11503" s="1" ph="1"/>
    </row>
    <row r="11504" spans="9:9" ht="18" customHeight="1">
      <c r="I11504" s="1" ph="1"/>
    </row>
    <row r="11505" spans="9:9" ht="18" customHeight="1">
      <c r="I11505" s="1" ph="1"/>
    </row>
    <row r="11506" spans="9:9" ht="18" customHeight="1">
      <c r="I11506" s="1" ph="1"/>
    </row>
    <row r="11507" spans="9:9" ht="18" customHeight="1">
      <c r="I11507" s="1" ph="1"/>
    </row>
    <row r="11508" spans="9:9" ht="18" customHeight="1">
      <c r="I11508" s="1" ph="1"/>
    </row>
    <row r="11509" spans="9:9" ht="18" customHeight="1">
      <c r="I11509" s="1" ph="1"/>
    </row>
    <row r="11510" spans="9:9" ht="18" customHeight="1">
      <c r="I11510" s="1" ph="1"/>
    </row>
    <row r="11511" spans="9:9" ht="18" customHeight="1">
      <c r="I11511" s="1" ph="1"/>
    </row>
    <row r="11512" spans="9:9" ht="18" customHeight="1">
      <c r="I11512" s="1" ph="1"/>
    </row>
    <row r="11513" spans="9:9" ht="18" customHeight="1">
      <c r="I11513" s="1" ph="1"/>
    </row>
    <row r="11514" spans="9:9" ht="18" customHeight="1">
      <c r="I11514" s="1" ph="1"/>
    </row>
    <row r="11515" spans="9:9" ht="18" customHeight="1">
      <c r="I11515" s="1" ph="1"/>
    </row>
    <row r="11516" spans="9:9" ht="18" customHeight="1">
      <c r="I11516" s="1" ph="1"/>
    </row>
    <row r="11517" spans="9:9" ht="18" customHeight="1">
      <c r="I11517" s="1" ph="1"/>
    </row>
    <row r="11518" spans="9:9" ht="18" customHeight="1">
      <c r="I11518" s="1" ph="1"/>
    </row>
    <row r="11519" spans="9:9" ht="18" customHeight="1">
      <c r="I11519" s="1" ph="1"/>
    </row>
    <row r="11520" spans="9:9" ht="18" customHeight="1">
      <c r="I11520" s="1" ph="1"/>
    </row>
    <row r="11521" spans="9:9" ht="18" customHeight="1">
      <c r="I11521" s="1" ph="1"/>
    </row>
    <row r="11522" spans="9:9" ht="18" customHeight="1">
      <c r="I11522" s="1" ph="1"/>
    </row>
    <row r="11523" spans="9:9" ht="18" customHeight="1">
      <c r="I11523" s="1" ph="1"/>
    </row>
    <row r="11524" spans="9:9" ht="18" customHeight="1">
      <c r="I11524" s="1" ph="1"/>
    </row>
    <row r="11525" spans="9:9" ht="18" customHeight="1">
      <c r="I11525" s="1" ph="1"/>
    </row>
    <row r="11526" spans="9:9" ht="18" customHeight="1">
      <c r="I11526" s="1" ph="1"/>
    </row>
    <row r="11527" spans="9:9" ht="18" customHeight="1">
      <c r="I11527" s="1" ph="1"/>
    </row>
    <row r="11528" spans="9:9" ht="18" customHeight="1">
      <c r="I11528" s="1" ph="1"/>
    </row>
    <row r="11529" spans="9:9" ht="18" customHeight="1">
      <c r="I11529" s="1" ph="1"/>
    </row>
    <row r="11530" spans="9:9" ht="18" customHeight="1">
      <c r="I11530" s="1" ph="1"/>
    </row>
    <row r="11531" spans="9:9" ht="18" customHeight="1">
      <c r="I11531" s="1" ph="1"/>
    </row>
    <row r="11532" spans="9:9" ht="18" customHeight="1">
      <c r="I11532" s="1" ph="1"/>
    </row>
    <row r="11533" spans="9:9" ht="18" customHeight="1">
      <c r="I11533" s="1" ph="1"/>
    </row>
    <row r="11534" spans="9:9" ht="18" customHeight="1">
      <c r="I11534" s="1" ph="1"/>
    </row>
    <row r="11535" spans="9:9" ht="18" customHeight="1">
      <c r="I11535" s="1" ph="1"/>
    </row>
    <row r="11536" spans="9:9" ht="18" customHeight="1">
      <c r="I11536" s="1" ph="1"/>
    </row>
    <row r="11537" spans="9:9" ht="18" customHeight="1">
      <c r="I11537" s="1" ph="1"/>
    </row>
    <row r="11538" spans="9:9" ht="18" customHeight="1">
      <c r="I11538" s="1" ph="1"/>
    </row>
    <row r="11539" spans="9:9" ht="18" customHeight="1">
      <c r="I11539" s="1" ph="1"/>
    </row>
    <row r="11540" spans="9:9" ht="18" customHeight="1">
      <c r="I11540" s="1" ph="1"/>
    </row>
    <row r="11541" spans="9:9" ht="18" customHeight="1">
      <c r="I11541" s="1" ph="1"/>
    </row>
    <row r="11542" spans="9:9" ht="18" customHeight="1">
      <c r="I11542" s="1" ph="1"/>
    </row>
    <row r="11543" spans="9:9" ht="18" customHeight="1">
      <c r="I11543" s="1" ph="1"/>
    </row>
    <row r="11544" spans="9:9" ht="18" customHeight="1">
      <c r="I11544" s="1" ph="1"/>
    </row>
    <row r="11545" spans="9:9" ht="18" customHeight="1">
      <c r="I11545" s="1" ph="1"/>
    </row>
    <row r="11546" spans="9:9" ht="18" customHeight="1">
      <c r="I11546" s="1" ph="1"/>
    </row>
    <row r="11547" spans="9:9" ht="18" customHeight="1">
      <c r="I11547" s="1" ph="1"/>
    </row>
    <row r="11548" spans="9:9" ht="18" customHeight="1">
      <c r="I11548" s="1" ph="1"/>
    </row>
    <row r="11549" spans="9:9" ht="18" customHeight="1">
      <c r="I11549" s="1" ph="1"/>
    </row>
    <row r="11550" spans="9:9" ht="18" customHeight="1">
      <c r="I11550" s="1" ph="1"/>
    </row>
    <row r="11551" spans="9:9" ht="18" customHeight="1">
      <c r="I11551" s="1" ph="1"/>
    </row>
    <row r="11552" spans="9:9" ht="18" customHeight="1">
      <c r="I11552" s="1" ph="1"/>
    </row>
    <row r="11553" spans="9:9" ht="18" customHeight="1">
      <c r="I11553" s="1" ph="1"/>
    </row>
    <row r="11554" spans="9:9" ht="18" customHeight="1">
      <c r="I11554" s="1" ph="1"/>
    </row>
    <row r="11555" spans="9:9" ht="18" customHeight="1">
      <c r="I11555" s="1" ph="1"/>
    </row>
    <row r="11556" spans="9:9" ht="18" customHeight="1">
      <c r="I11556" s="1" ph="1"/>
    </row>
    <row r="11557" spans="9:9" ht="18" customHeight="1">
      <c r="I11557" s="1" ph="1"/>
    </row>
    <row r="11558" spans="9:9" ht="18" customHeight="1">
      <c r="I11558" s="1" ph="1"/>
    </row>
    <row r="11559" spans="9:9" ht="18" customHeight="1">
      <c r="I11559" s="1" ph="1"/>
    </row>
    <row r="11560" spans="9:9" ht="18" customHeight="1">
      <c r="I11560" s="1" ph="1"/>
    </row>
    <row r="11561" spans="9:9" ht="18" customHeight="1">
      <c r="I11561" s="1" ph="1"/>
    </row>
    <row r="11562" spans="9:9" ht="18" customHeight="1">
      <c r="I11562" s="1" ph="1"/>
    </row>
    <row r="11563" spans="9:9" ht="18" customHeight="1">
      <c r="I11563" s="1" ph="1"/>
    </row>
    <row r="11564" spans="9:9" ht="18" customHeight="1">
      <c r="I11564" s="1" ph="1"/>
    </row>
    <row r="11565" spans="9:9" ht="18" customHeight="1">
      <c r="I11565" s="1" ph="1"/>
    </row>
    <row r="11566" spans="9:9" ht="18" customHeight="1">
      <c r="I11566" s="1" ph="1"/>
    </row>
    <row r="11567" spans="9:9" ht="18" customHeight="1">
      <c r="I11567" s="1" ph="1"/>
    </row>
    <row r="11568" spans="9:9" ht="18" customHeight="1">
      <c r="I11568" s="1" ph="1"/>
    </row>
    <row r="11569" spans="9:9" ht="18" customHeight="1">
      <c r="I11569" s="1" ph="1"/>
    </row>
    <row r="11570" spans="9:9" ht="18" customHeight="1">
      <c r="I11570" s="1" ph="1"/>
    </row>
    <row r="11571" spans="9:9" ht="18" customHeight="1">
      <c r="I11571" s="1" ph="1"/>
    </row>
    <row r="11572" spans="9:9" ht="18" customHeight="1">
      <c r="I11572" s="1" ph="1"/>
    </row>
    <row r="11573" spans="9:9" ht="18" customHeight="1">
      <c r="I11573" s="1" ph="1"/>
    </row>
    <row r="11574" spans="9:9" ht="18" customHeight="1">
      <c r="I11574" s="1" ph="1"/>
    </row>
    <row r="11575" spans="9:9" ht="18" customHeight="1">
      <c r="I11575" s="1" ph="1"/>
    </row>
    <row r="11576" spans="9:9" ht="18" customHeight="1">
      <c r="I11576" s="1" ph="1"/>
    </row>
    <row r="11577" spans="9:9" ht="18" customHeight="1">
      <c r="I11577" s="1" ph="1"/>
    </row>
    <row r="11578" spans="9:9" ht="18" customHeight="1">
      <c r="I11578" s="1" ph="1"/>
    </row>
    <row r="11579" spans="9:9" ht="18" customHeight="1">
      <c r="I11579" s="1" ph="1"/>
    </row>
    <row r="11580" spans="9:9" ht="18" customHeight="1">
      <c r="I11580" s="1" ph="1"/>
    </row>
    <row r="11581" spans="9:9" ht="18" customHeight="1">
      <c r="I11581" s="1" ph="1"/>
    </row>
    <row r="11582" spans="9:9" ht="18" customHeight="1">
      <c r="I11582" s="1" ph="1"/>
    </row>
    <row r="11583" spans="9:9" ht="18" customHeight="1">
      <c r="I11583" s="1" ph="1"/>
    </row>
    <row r="11584" spans="9:9" ht="18" customHeight="1">
      <c r="I11584" s="1" ph="1"/>
    </row>
    <row r="11585" spans="9:9" ht="18" customHeight="1">
      <c r="I11585" s="1" ph="1"/>
    </row>
    <row r="11586" spans="9:9" ht="18" customHeight="1">
      <c r="I11586" s="1" ph="1"/>
    </row>
    <row r="11587" spans="9:9" ht="18" customHeight="1">
      <c r="I11587" s="1" ph="1"/>
    </row>
    <row r="11588" spans="9:9" ht="18" customHeight="1">
      <c r="I11588" s="1" ph="1"/>
    </row>
    <row r="11589" spans="9:9" ht="18" customHeight="1">
      <c r="I11589" s="1" ph="1"/>
    </row>
    <row r="11590" spans="9:9" ht="18" customHeight="1">
      <c r="I11590" s="1" ph="1"/>
    </row>
    <row r="11591" spans="9:9" ht="18" customHeight="1">
      <c r="I11591" s="1" ph="1"/>
    </row>
    <row r="11592" spans="9:9" ht="18" customHeight="1">
      <c r="I11592" s="1" ph="1"/>
    </row>
    <row r="11593" spans="9:9" ht="18" customHeight="1">
      <c r="I11593" s="1" ph="1"/>
    </row>
    <row r="11594" spans="9:9" ht="18" customHeight="1">
      <c r="I11594" s="1" ph="1"/>
    </row>
    <row r="11595" spans="9:9" ht="18" customHeight="1">
      <c r="I11595" s="1" ph="1"/>
    </row>
    <row r="11596" spans="9:9" ht="18" customHeight="1">
      <c r="I11596" s="1" ph="1"/>
    </row>
    <row r="11597" spans="9:9" ht="18" customHeight="1">
      <c r="I11597" s="1" ph="1"/>
    </row>
    <row r="11598" spans="9:9" ht="18" customHeight="1">
      <c r="I11598" s="1" ph="1"/>
    </row>
    <row r="11599" spans="9:9" ht="18" customHeight="1">
      <c r="I11599" s="1" ph="1"/>
    </row>
    <row r="11600" spans="9:9" ht="18" customHeight="1">
      <c r="I11600" s="1" ph="1"/>
    </row>
    <row r="11601" spans="9:9" ht="18" customHeight="1">
      <c r="I11601" s="1" ph="1"/>
    </row>
    <row r="11602" spans="9:9" ht="18" customHeight="1">
      <c r="I11602" s="1" ph="1"/>
    </row>
  </sheetData>
  <autoFilter ref="C20:W155" xr:uid="{00000000-0001-0000-0000-000000000000}"/>
  <phoneticPr fontId="3"/>
  <pageMargins left="0.39370078740157483" right="0" top="0.59055118110236227" bottom="0" header="0.51181102362204722" footer="0.51181102362204722"/>
  <pageSetup paperSize="9" scale="10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180"/>
  <sheetViews>
    <sheetView topLeftCell="C44" zoomScale="85" zoomScaleNormal="85" workbookViewId="0">
      <selection activeCell="D81" sqref="D81"/>
    </sheetView>
  </sheetViews>
  <sheetFormatPr defaultColWidth="9" defaultRowHeight="15"/>
  <cols>
    <col min="1" max="1" width="13.125" style="299" bestFit="1" customWidth="1"/>
    <col min="2" max="2" width="9" style="299"/>
    <col min="3" max="3" width="58" style="299" bestFit="1" customWidth="1"/>
    <col min="4" max="4" width="10" style="299" bestFit="1" customWidth="1"/>
    <col min="5" max="5" width="45.5" style="299" bestFit="1" customWidth="1"/>
    <col min="6" max="6" width="57.75" style="299" bestFit="1" customWidth="1"/>
    <col min="7" max="7" width="44.75" style="299" bestFit="1" customWidth="1"/>
    <col min="8" max="8" width="29.5" style="299" bestFit="1" customWidth="1"/>
    <col min="9" max="9" width="24.5" style="299" bestFit="1" customWidth="1"/>
    <col min="10" max="10" width="20.125" style="299" bestFit="1" customWidth="1"/>
    <col min="11" max="16384" width="9" style="299"/>
  </cols>
  <sheetData>
    <row r="1" spans="1:10" ht="18.75">
      <c r="A1" s="302" t="s">
        <v>1044</v>
      </c>
      <c r="B1" s="302" t="s">
        <v>1045</v>
      </c>
      <c r="C1" s="303" t="s">
        <v>1049</v>
      </c>
      <c r="D1" s="299" t="s">
        <v>779</v>
      </c>
      <c r="E1" s="299" t="s">
        <v>780</v>
      </c>
      <c r="F1" s="299" t="s">
        <v>781</v>
      </c>
      <c r="G1" s="299" t="s">
        <v>782</v>
      </c>
      <c r="H1" s="299" t="s">
        <v>783</v>
      </c>
      <c r="I1" s="299" t="s">
        <v>787</v>
      </c>
      <c r="J1" s="299" t="s">
        <v>1820</v>
      </c>
    </row>
    <row r="2" spans="1:10">
      <c r="A2" s="299">
        <v>6001</v>
      </c>
      <c r="C2" s="299" t="s">
        <v>417</v>
      </c>
      <c r="D2" s="299">
        <v>10003</v>
      </c>
      <c r="E2" s="299" t="s">
        <v>2766</v>
      </c>
      <c r="F2" s="299" t="s">
        <v>788</v>
      </c>
      <c r="G2" s="299" t="s">
        <v>421</v>
      </c>
      <c r="J2" s="299" t="s">
        <v>2767</v>
      </c>
    </row>
    <row r="3" spans="1:10">
      <c r="A3" s="299">
        <v>6002</v>
      </c>
      <c r="C3" s="299" t="s">
        <v>2768</v>
      </c>
      <c r="E3" s="299" t="s">
        <v>418</v>
      </c>
      <c r="F3" s="299" t="s">
        <v>789</v>
      </c>
      <c r="G3" s="299" t="s">
        <v>270</v>
      </c>
      <c r="H3" s="299" t="s">
        <v>1052</v>
      </c>
    </row>
    <row r="4" spans="1:10">
      <c r="C4" s="299" t="s">
        <v>2769</v>
      </c>
      <c r="D4" s="299">
        <v>518120</v>
      </c>
      <c r="E4" s="299" t="s">
        <v>2770</v>
      </c>
      <c r="F4" s="299" t="s">
        <v>2771</v>
      </c>
      <c r="G4" s="299" t="s">
        <v>270</v>
      </c>
      <c r="H4" s="299" t="s">
        <v>2772</v>
      </c>
    </row>
    <row r="5" spans="1:10">
      <c r="A5" s="299" t="s">
        <v>906</v>
      </c>
      <c r="C5" s="299" t="s">
        <v>907</v>
      </c>
      <c r="D5" s="299">
        <v>400025</v>
      </c>
      <c r="E5" s="299" t="s">
        <v>908</v>
      </c>
      <c r="F5" s="299" t="s">
        <v>1018</v>
      </c>
      <c r="G5" s="299" t="s">
        <v>1017</v>
      </c>
      <c r="H5" s="299" t="s">
        <v>1101</v>
      </c>
    </row>
    <row r="6" spans="1:10">
      <c r="A6" s="299">
        <v>6005</v>
      </c>
      <c r="C6" s="299" t="s">
        <v>419</v>
      </c>
      <c r="D6" s="299">
        <v>90014</v>
      </c>
      <c r="E6" s="299" t="s">
        <v>420</v>
      </c>
      <c r="F6" s="299" t="s">
        <v>791</v>
      </c>
      <c r="G6" s="299" t="s">
        <v>421</v>
      </c>
      <c r="H6" s="299" t="s">
        <v>1102</v>
      </c>
      <c r="I6" s="299" t="s">
        <v>422</v>
      </c>
    </row>
    <row r="7" spans="1:10">
      <c r="A7" s="299">
        <v>6006</v>
      </c>
      <c r="C7" s="299" t="s">
        <v>423</v>
      </c>
      <c r="D7" s="299">
        <v>10013</v>
      </c>
      <c r="E7" s="299" t="s">
        <v>424</v>
      </c>
      <c r="F7" s="299" t="s">
        <v>793</v>
      </c>
      <c r="G7" s="299" t="s">
        <v>421</v>
      </c>
      <c r="H7" s="299" t="s">
        <v>425</v>
      </c>
    </row>
    <row r="8" spans="1:10">
      <c r="A8" s="299">
        <v>6007</v>
      </c>
      <c r="C8" s="299" t="s">
        <v>426</v>
      </c>
      <c r="D8" s="299">
        <v>10018</v>
      </c>
      <c r="E8" s="299" t="s">
        <v>427</v>
      </c>
      <c r="F8" s="299" t="s">
        <v>793</v>
      </c>
      <c r="G8" s="299" t="s">
        <v>421</v>
      </c>
      <c r="H8" s="299" t="s">
        <v>1053</v>
      </c>
      <c r="I8" s="299" t="s">
        <v>428</v>
      </c>
    </row>
    <row r="9" spans="1:10">
      <c r="A9" s="299">
        <v>7020</v>
      </c>
      <c r="C9" s="299" t="s">
        <v>649</v>
      </c>
      <c r="D9" s="299">
        <v>75011</v>
      </c>
      <c r="E9" s="299" t="s">
        <v>650</v>
      </c>
      <c r="F9" s="299" t="s">
        <v>651</v>
      </c>
      <c r="G9" s="299" t="s">
        <v>859</v>
      </c>
      <c r="H9" s="299" t="s">
        <v>1103</v>
      </c>
      <c r="I9" s="299" t="s">
        <v>652</v>
      </c>
    </row>
    <row r="10" spans="1:10">
      <c r="A10" s="299">
        <v>6008</v>
      </c>
      <c r="C10" s="299" t="s">
        <v>429</v>
      </c>
      <c r="D10" s="299">
        <v>90046</v>
      </c>
      <c r="E10" s="299" t="s">
        <v>430</v>
      </c>
      <c r="F10" s="299" t="s">
        <v>791</v>
      </c>
      <c r="G10" s="299" t="s">
        <v>421</v>
      </c>
      <c r="H10" s="299" t="s">
        <v>1054</v>
      </c>
      <c r="I10" s="299" t="s">
        <v>431</v>
      </c>
    </row>
    <row r="11" spans="1:10">
      <c r="A11" s="299">
        <v>6009</v>
      </c>
      <c r="C11" s="299" t="s">
        <v>432</v>
      </c>
      <c r="D11" s="299">
        <v>10018</v>
      </c>
      <c r="E11" s="299" t="s">
        <v>433</v>
      </c>
      <c r="F11" s="299" t="s">
        <v>793</v>
      </c>
      <c r="G11" s="299" t="s">
        <v>421</v>
      </c>
      <c r="H11" s="299" t="s">
        <v>1055</v>
      </c>
      <c r="I11" s="299" t="s">
        <v>434</v>
      </c>
    </row>
    <row r="12" spans="1:10">
      <c r="A12" s="299">
        <v>6011</v>
      </c>
      <c r="C12" s="299" t="s">
        <v>435</v>
      </c>
      <c r="D12" s="299">
        <v>75207</v>
      </c>
      <c r="E12" s="299" t="s">
        <v>436</v>
      </c>
      <c r="F12" s="299" t="s">
        <v>794</v>
      </c>
      <c r="G12" s="299" t="s">
        <v>421</v>
      </c>
      <c r="H12" s="299" t="s">
        <v>437</v>
      </c>
    </row>
    <row r="13" spans="1:10">
      <c r="A13" s="299">
        <v>6012</v>
      </c>
      <c r="C13" s="299" t="s">
        <v>438</v>
      </c>
      <c r="D13" s="299">
        <v>10018</v>
      </c>
      <c r="E13" s="299" t="s">
        <v>439</v>
      </c>
      <c r="F13" s="299" t="s">
        <v>793</v>
      </c>
      <c r="G13" s="299" t="s">
        <v>421</v>
      </c>
      <c r="H13" s="299" t="s">
        <v>1056</v>
      </c>
      <c r="I13" s="299" t="s">
        <v>440</v>
      </c>
    </row>
    <row r="14" spans="1:10">
      <c r="A14" s="299">
        <v>6014</v>
      </c>
      <c r="C14" s="299" t="s">
        <v>441</v>
      </c>
      <c r="D14" s="299">
        <v>90015</v>
      </c>
      <c r="E14" s="299" t="s">
        <v>442</v>
      </c>
      <c r="F14" s="299" t="s">
        <v>791</v>
      </c>
      <c r="G14" s="299" t="s">
        <v>421</v>
      </c>
      <c r="H14" s="299" t="s">
        <v>1057</v>
      </c>
      <c r="I14" s="299" t="s">
        <v>443</v>
      </c>
    </row>
    <row r="15" spans="1:10">
      <c r="A15" s="299">
        <v>7023</v>
      </c>
      <c r="C15" s="299" t="s">
        <v>653</v>
      </c>
      <c r="D15" s="299">
        <v>230088</v>
      </c>
      <c r="E15" s="299" t="s">
        <v>654</v>
      </c>
      <c r="F15" s="299" t="s">
        <v>860</v>
      </c>
      <c r="G15" s="299" t="s">
        <v>270</v>
      </c>
      <c r="H15" s="299" t="s">
        <v>1104</v>
      </c>
      <c r="I15" s="299" t="s">
        <v>655</v>
      </c>
    </row>
    <row r="16" spans="1:10">
      <c r="A16" s="299">
        <v>6015</v>
      </c>
      <c r="C16" s="299" t="s">
        <v>444</v>
      </c>
      <c r="D16" s="299">
        <v>10018</v>
      </c>
      <c r="E16" s="299" t="s">
        <v>445</v>
      </c>
      <c r="F16" s="299" t="s">
        <v>793</v>
      </c>
      <c r="G16" s="299" t="s">
        <v>421</v>
      </c>
      <c r="H16" s="299" t="s">
        <v>446</v>
      </c>
    </row>
    <row r="17" spans="1:10">
      <c r="A17" s="299">
        <v>6020</v>
      </c>
      <c r="C17" s="299" t="s">
        <v>447</v>
      </c>
      <c r="D17" s="299">
        <v>90015</v>
      </c>
      <c r="E17" s="299" t="s">
        <v>448</v>
      </c>
      <c r="F17" s="299" t="s">
        <v>791</v>
      </c>
      <c r="G17" s="299" t="s">
        <v>421</v>
      </c>
      <c r="H17" s="299" t="s">
        <v>449</v>
      </c>
    </row>
    <row r="18" spans="1:10">
      <c r="A18" s="299">
        <v>6021</v>
      </c>
      <c r="C18" s="299" t="s">
        <v>450</v>
      </c>
      <c r="E18" s="299" t="s">
        <v>451</v>
      </c>
      <c r="F18" s="299" t="s">
        <v>790</v>
      </c>
      <c r="G18" s="299" t="s">
        <v>270</v>
      </c>
      <c r="H18" s="299" t="s">
        <v>1058</v>
      </c>
      <c r="I18" s="299" t="s">
        <v>453</v>
      </c>
    </row>
    <row r="19" spans="1:10">
      <c r="A19" s="299">
        <v>7030</v>
      </c>
      <c r="C19" s="299" t="s">
        <v>656</v>
      </c>
      <c r="D19" s="299">
        <v>75002</v>
      </c>
      <c r="E19" s="299" t="s">
        <v>657</v>
      </c>
      <c r="F19" s="299" t="s">
        <v>651</v>
      </c>
      <c r="G19" s="299" t="s">
        <v>859</v>
      </c>
      <c r="H19" s="299" t="s">
        <v>1105</v>
      </c>
      <c r="I19" s="299" t="s">
        <v>658</v>
      </c>
    </row>
    <row r="20" spans="1:10">
      <c r="A20" s="299">
        <v>7042</v>
      </c>
      <c r="C20" s="299" t="s">
        <v>659</v>
      </c>
      <c r="D20" s="299">
        <v>75116</v>
      </c>
      <c r="E20" s="299" t="s">
        <v>660</v>
      </c>
      <c r="F20" s="299" t="s">
        <v>651</v>
      </c>
      <c r="G20" s="299" t="s">
        <v>859</v>
      </c>
      <c r="H20" s="299" t="s">
        <v>1106</v>
      </c>
      <c r="I20" s="299" t="s">
        <v>661</v>
      </c>
    </row>
    <row r="21" spans="1:10">
      <c r="A21" s="299">
        <v>6041</v>
      </c>
      <c r="C21" s="299" t="s">
        <v>454</v>
      </c>
      <c r="D21" s="299">
        <v>90058</v>
      </c>
      <c r="E21" s="299" t="s">
        <v>455</v>
      </c>
      <c r="F21" s="299" t="s">
        <v>795</v>
      </c>
      <c r="G21" s="299" t="s">
        <v>421</v>
      </c>
      <c r="H21" s="299" t="s">
        <v>1059</v>
      </c>
      <c r="I21" s="299" t="s">
        <v>456</v>
      </c>
    </row>
    <row r="22" spans="1:10">
      <c r="A22" s="299">
        <v>6045</v>
      </c>
      <c r="C22" s="299" t="s">
        <v>457</v>
      </c>
      <c r="D22" s="299">
        <v>92663</v>
      </c>
      <c r="E22" s="299" t="s">
        <v>458</v>
      </c>
      <c r="F22" s="299" t="s">
        <v>796</v>
      </c>
      <c r="G22" s="299" t="s">
        <v>421</v>
      </c>
      <c r="H22" s="299" t="s">
        <v>1060</v>
      </c>
      <c r="I22" s="299" t="s">
        <v>459</v>
      </c>
    </row>
    <row r="23" spans="1:10">
      <c r="A23" s="299">
        <v>6046</v>
      </c>
      <c r="C23" s="299" t="s">
        <v>460</v>
      </c>
      <c r="D23" s="299">
        <v>60647</v>
      </c>
      <c r="E23" s="299" t="s">
        <v>461</v>
      </c>
      <c r="F23" s="299" t="s">
        <v>797</v>
      </c>
      <c r="G23" s="299" t="s">
        <v>421</v>
      </c>
      <c r="H23" s="299" t="s">
        <v>1061</v>
      </c>
      <c r="I23" s="299" t="s">
        <v>462</v>
      </c>
    </row>
    <row r="24" spans="1:10">
      <c r="A24" s="299">
        <v>7047</v>
      </c>
      <c r="C24" s="299" t="s">
        <v>662</v>
      </c>
      <c r="D24" s="299">
        <v>75002</v>
      </c>
      <c r="E24" s="299" t="s">
        <v>663</v>
      </c>
      <c r="F24" s="299" t="s">
        <v>651</v>
      </c>
      <c r="G24" s="299" t="s">
        <v>859</v>
      </c>
      <c r="H24" s="299" t="s">
        <v>1107</v>
      </c>
      <c r="I24" s="299" t="s">
        <v>664</v>
      </c>
    </row>
    <row r="25" spans="1:10">
      <c r="A25" s="299">
        <v>6050</v>
      </c>
      <c r="C25" s="299" t="s">
        <v>463</v>
      </c>
      <c r="D25" s="299">
        <v>10013</v>
      </c>
      <c r="E25" s="299" t="s">
        <v>464</v>
      </c>
      <c r="F25" s="299" t="s">
        <v>793</v>
      </c>
      <c r="G25" s="299" t="s">
        <v>421</v>
      </c>
      <c r="H25" s="299" t="s">
        <v>1062</v>
      </c>
    </row>
    <row r="26" spans="1:10">
      <c r="A26" s="299">
        <v>7065</v>
      </c>
      <c r="C26" s="299" t="s">
        <v>665</v>
      </c>
      <c r="D26" s="299">
        <v>75116</v>
      </c>
      <c r="E26" s="299" t="s">
        <v>666</v>
      </c>
      <c r="F26" s="299" t="s">
        <v>651</v>
      </c>
      <c r="G26" s="299" t="s">
        <v>859</v>
      </c>
      <c r="H26" s="299" t="s">
        <v>1108</v>
      </c>
      <c r="I26" s="299" t="s">
        <v>667</v>
      </c>
    </row>
    <row r="27" spans="1:10">
      <c r="A27" s="299">
        <v>7068</v>
      </c>
      <c r="C27" s="299" t="s">
        <v>668</v>
      </c>
      <c r="D27" s="299">
        <v>4004</v>
      </c>
      <c r="E27" s="299" t="s">
        <v>669</v>
      </c>
      <c r="F27" s="299" t="s">
        <v>670</v>
      </c>
      <c r="G27" s="299" t="s">
        <v>861</v>
      </c>
      <c r="H27" s="299" t="s">
        <v>1109</v>
      </c>
      <c r="I27" s="299" t="s">
        <v>671</v>
      </c>
    </row>
    <row r="28" spans="1:10">
      <c r="A28" s="299" t="s">
        <v>915</v>
      </c>
      <c r="C28" s="299" t="s">
        <v>916</v>
      </c>
      <c r="D28" s="299">
        <v>10013</v>
      </c>
      <c r="E28" s="299" t="s">
        <v>917</v>
      </c>
      <c r="F28" s="299" t="s">
        <v>793</v>
      </c>
      <c r="G28" s="299" t="s">
        <v>421</v>
      </c>
      <c r="H28" s="299" t="s">
        <v>1110</v>
      </c>
    </row>
    <row r="29" spans="1:10">
      <c r="A29" s="299">
        <v>6060</v>
      </c>
      <c r="C29" s="299" t="s">
        <v>465</v>
      </c>
      <c r="D29" s="299">
        <v>90007</v>
      </c>
      <c r="E29" s="299" t="s">
        <v>466</v>
      </c>
      <c r="F29" s="299" t="s">
        <v>791</v>
      </c>
      <c r="G29" s="299" t="s">
        <v>421</v>
      </c>
      <c r="H29" s="299" t="s">
        <v>1063</v>
      </c>
      <c r="I29" s="299" t="s">
        <v>467</v>
      </c>
    </row>
    <row r="30" spans="1:10">
      <c r="A30" s="299" t="s">
        <v>935</v>
      </c>
      <c r="C30" s="299" t="s">
        <v>936</v>
      </c>
      <c r="D30" s="299">
        <v>4475309</v>
      </c>
      <c r="E30" s="299" t="s">
        <v>937</v>
      </c>
      <c r="F30" s="299" t="s">
        <v>1024</v>
      </c>
      <c r="G30" s="299" t="s">
        <v>1025</v>
      </c>
      <c r="H30" s="299" t="s">
        <v>1111</v>
      </c>
    </row>
    <row r="31" spans="1:10">
      <c r="A31" s="299" t="s">
        <v>996</v>
      </c>
      <c r="C31" s="299" t="s">
        <v>997</v>
      </c>
      <c r="D31" s="299">
        <v>10018</v>
      </c>
      <c r="E31" s="299" t="s">
        <v>998</v>
      </c>
      <c r="F31" s="299" t="s">
        <v>788</v>
      </c>
      <c r="G31" s="299" t="s">
        <v>421</v>
      </c>
      <c r="J31" s="299" t="s">
        <v>1852</v>
      </c>
    </row>
    <row r="32" spans="1:10">
      <c r="A32" s="299">
        <v>6080</v>
      </c>
      <c r="C32" s="299" t="s">
        <v>468</v>
      </c>
      <c r="D32" s="299">
        <v>10018</v>
      </c>
      <c r="E32" s="299" t="s">
        <v>469</v>
      </c>
      <c r="F32" s="299" t="s">
        <v>793</v>
      </c>
      <c r="G32" s="299" t="s">
        <v>421</v>
      </c>
      <c r="H32" s="299" t="s">
        <v>470</v>
      </c>
      <c r="I32" s="299" t="s">
        <v>471</v>
      </c>
    </row>
    <row r="33" spans="1:9">
      <c r="A33" s="299">
        <v>7085</v>
      </c>
      <c r="C33" s="299" t="s">
        <v>672</v>
      </c>
      <c r="D33" s="299" t="s">
        <v>673</v>
      </c>
      <c r="E33" s="299" t="s">
        <v>877</v>
      </c>
      <c r="F33" s="299" t="s">
        <v>876</v>
      </c>
      <c r="G33" s="299" t="s">
        <v>1022</v>
      </c>
      <c r="H33" s="299" t="s">
        <v>1112</v>
      </c>
      <c r="I33" s="299" t="s">
        <v>674</v>
      </c>
    </row>
    <row r="34" spans="1:9">
      <c r="A34" s="299">
        <v>6085</v>
      </c>
      <c r="C34" s="299" t="s">
        <v>472</v>
      </c>
      <c r="D34" s="299">
        <v>27406</v>
      </c>
      <c r="E34" s="299" t="s">
        <v>473</v>
      </c>
      <c r="F34" s="299" t="s">
        <v>798</v>
      </c>
      <c r="G34" s="299" t="s">
        <v>421</v>
      </c>
      <c r="I34" s="299" t="s">
        <v>474</v>
      </c>
    </row>
    <row r="35" spans="1:9">
      <c r="A35" s="299">
        <v>6088</v>
      </c>
      <c r="C35" s="299" t="s">
        <v>475</v>
      </c>
      <c r="D35" s="299">
        <v>213000</v>
      </c>
      <c r="E35" s="299" t="s">
        <v>476</v>
      </c>
      <c r="F35" s="299" t="s">
        <v>799</v>
      </c>
      <c r="G35" s="299" t="s">
        <v>477</v>
      </c>
      <c r="H35" s="299" t="s">
        <v>1064</v>
      </c>
      <c r="I35" s="299" t="s">
        <v>478</v>
      </c>
    </row>
    <row r="36" spans="1:9">
      <c r="A36" s="299" t="s">
        <v>956</v>
      </c>
      <c r="C36" s="299" t="s">
        <v>957</v>
      </c>
      <c r="D36" s="299">
        <v>521000</v>
      </c>
      <c r="E36" s="299" t="s">
        <v>958</v>
      </c>
      <c r="F36" s="299" t="s">
        <v>1031</v>
      </c>
      <c r="G36" s="299" t="s">
        <v>270</v>
      </c>
      <c r="H36" s="299" t="s">
        <v>1076</v>
      </c>
    </row>
    <row r="37" spans="1:9">
      <c r="A37" s="299">
        <v>6089</v>
      </c>
      <c r="C37" s="299" t="s">
        <v>479</v>
      </c>
      <c r="D37" s="299">
        <v>213200</v>
      </c>
      <c r="E37" s="299" t="s">
        <v>800</v>
      </c>
      <c r="F37" s="299" t="s">
        <v>799</v>
      </c>
      <c r="G37" s="299" t="s">
        <v>270</v>
      </c>
      <c r="H37" s="299" t="s">
        <v>1095</v>
      </c>
      <c r="I37" s="299" t="s">
        <v>480</v>
      </c>
    </row>
    <row r="38" spans="1:9">
      <c r="A38" s="299" t="s">
        <v>901</v>
      </c>
      <c r="C38" s="299" t="s">
        <v>902</v>
      </c>
      <c r="D38" s="299">
        <v>518000</v>
      </c>
      <c r="E38" s="299" t="s">
        <v>1005</v>
      </c>
      <c r="F38" s="299" t="s">
        <v>1014</v>
      </c>
      <c r="G38" s="299" t="s">
        <v>270</v>
      </c>
      <c r="H38" s="299" t="s">
        <v>1113</v>
      </c>
    </row>
    <row r="39" spans="1:9">
      <c r="A39" s="299">
        <v>6090</v>
      </c>
      <c r="C39" s="299" t="s">
        <v>481</v>
      </c>
      <c r="D39" s="299">
        <v>311100</v>
      </c>
      <c r="E39" s="299" t="s">
        <v>482</v>
      </c>
      <c r="F39" s="299" t="s">
        <v>801</v>
      </c>
      <c r="G39" s="299" t="s">
        <v>270</v>
      </c>
      <c r="H39" s="299" t="s">
        <v>1065</v>
      </c>
      <c r="I39" s="299" t="s">
        <v>483</v>
      </c>
    </row>
    <row r="40" spans="1:9">
      <c r="A40" s="299" t="s">
        <v>993</v>
      </c>
      <c r="C40" s="299" t="s">
        <v>994</v>
      </c>
      <c r="E40" s="299" t="s">
        <v>995</v>
      </c>
      <c r="F40" s="299" t="s">
        <v>1040</v>
      </c>
      <c r="G40" s="299" t="s">
        <v>270</v>
      </c>
    </row>
    <row r="41" spans="1:9">
      <c r="A41" s="299">
        <v>6091</v>
      </c>
      <c r="C41" s="299" t="s">
        <v>484</v>
      </c>
      <c r="E41" s="299" t="s">
        <v>485</v>
      </c>
      <c r="F41" s="299" t="s">
        <v>486</v>
      </c>
      <c r="G41" s="299" t="s">
        <v>270</v>
      </c>
      <c r="H41" s="299" t="s">
        <v>1066</v>
      </c>
      <c r="I41" s="299" t="s">
        <v>487</v>
      </c>
    </row>
    <row r="42" spans="1:9">
      <c r="A42" s="299">
        <v>6092</v>
      </c>
      <c r="C42" s="299" t="s">
        <v>488</v>
      </c>
      <c r="D42" s="299">
        <v>90011</v>
      </c>
      <c r="E42" s="299" t="s">
        <v>489</v>
      </c>
      <c r="F42" s="299" t="s">
        <v>791</v>
      </c>
      <c r="G42" s="299" t="s">
        <v>421</v>
      </c>
      <c r="H42" s="299" t="s">
        <v>1067</v>
      </c>
    </row>
    <row r="43" spans="1:9">
      <c r="A43" s="299" t="s">
        <v>967</v>
      </c>
      <c r="C43" s="299" t="s">
        <v>968</v>
      </c>
      <c r="D43" s="299">
        <v>90039</v>
      </c>
      <c r="E43" s="299" t="s">
        <v>827</v>
      </c>
      <c r="F43" s="299" t="s">
        <v>791</v>
      </c>
      <c r="G43" s="299" t="s">
        <v>421</v>
      </c>
      <c r="H43" s="299" t="s">
        <v>1114</v>
      </c>
    </row>
    <row r="44" spans="1:9">
      <c r="A44" s="299">
        <v>6098</v>
      </c>
      <c r="C44" s="299" t="s">
        <v>490</v>
      </c>
      <c r="D44" s="299">
        <v>36000</v>
      </c>
      <c r="E44" s="299" t="s">
        <v>491</v>
      </c>
      <c r="F44" s="299" t="s">
        <v>802</v>
      </c>
      <c r="G44" s="299" t="s">
        <v>803</v>
      </c>
      <c r="H44" s="299" t="s">
        <v>492</v>
      </c>
    </row>
    <row r="45" spans="1:9">
      <c r="A45" s="299">
        <v>7101</v>
      </c>
      <c r="C45" s="299" t="s">
        <v>675</v>
      </c>
      <c r="D45" s="299">
        <v>75001</v>
      </c>
      <c r="E45" s="299" t="s">
        <v>676</v>
      </c>
      <c r="F45" s="299" t="s">
        <v>651</v>
      </c>
      <c r="G45" s="299" t="s">
        <v>859</v>
      </c>
      <c r="H45" s="299" t="s">
        <v>1115</v>
      </c>
      <c r="I45" s="299" t="s">
        <v>677</v>
      </c>
    </row>
    <row r="46" spans="1:9">
      <c r="A46" s="299">
        <v>6102</v>
      </c>
      <c r="C46" s="299" t="s">
        <v>493</v>
      </c>
      <c r="D46" s="299">
        <v>10001</v>
      </c>
      <c r="E46" s="299" t="s">
        <v>494</v>
      </c>
      <c r="F46" s="299" t="s">
        <v>793</v>
      </c>
      <c r="G46" s="299" t="s">
        <v>421</v>
      </c>
      <c r="H46" s="299" t="s">
        <v>1068</v>
      </c>
      <c r="I46" s="299" t="s">
        <v>495</v>
      </c>
    </row>
    <row r="47" spans="1:9">
      <c r="A47" s="299">
        <v>7105</v>
      </c>
      <c r="C47" s="299" t="s">
        <v>678</v>
      </c>
      <c r="D47" s="299">
        <v>75008</v>
      </c>
      <c r="E47" s="299" t="s">
        <v>679</v>
      </c>
      <c r="F47" s="299" t="s">
        <v>651</v>
      </c>
      <c r="G47" s="299" t="s">
        <v>859</v>
      </c>
      <c r="H47" s="299" t="s">
        <v>1116</v>
      </c>
      <c r="I47" s="299" t="s">
        <v>680</v>
      </c>
    </row>
    <row r="48" spans="1:9">
      <c r="A48" s="299" t="s">
        <v>990</v>
      </c>
      <c r="C48" s="299" t="s">
        <v>991</v>
      </c>
      <c r="D48" s="299">
        <v>90277</v>
      </c>
      <c r="E48" s="299" t="s">
        <v>992</v>
      </c>
      <c r="F48" s="299" t="s">
        <v>1043</v>
      </c>
      <c r="G48" s="299" t="s">
        <v>421</v>
      </c>
    </row>
    <row r="49" spans="1:10">
      <c r="A49" s="299" t="s">
        <v>999</v>
      </c>
      <c r="C49" s="299" t="s">
        <v>1000</v>
      </c>
      <c r="D49" s="299">
        <v>400001</v>
      </c>
      <c r="E49" s="299" t="s">
        <v>1001</v>
      </c>
      <c r="F49" s="299" t="s">
        <v>1041</v>
      </c>
      <c r="G49" s="299" t="s">
        <v>1017</v>
      </c>
    </row>
    <row r="50" spans="1:10">
      <c r="A50" s="299">
        <v>6105</v>
      </c>
      <c r="C50" s="299" t="s">
        <v>496</v>
      </c>
      <c r="D50" s="300" t="s">
        <v>805</v>
      </c>
      <c r="E50" s="299" t="s">
        <v>497</v>
      </c>
      <c r="F50" s="299" t="s">
        <v>806</v>
      </c>
      <c r="G50" s="299" t="s">
        <v>421</v>
      </c>
    </row>
    <row r="51" spans="1:10">
      <c r="A51" s="299">
        <v>7115</v>
      </c>
      <c r="C51" s="299" t="s">
        <v>681</v>
      </c>
      <c r="D51" s="299">
        <v>77210</v>
      </c>
      <c r="E51" s="299" t="s">
        <v>682</v>
      </c>
      <c r="F51" s="299" t="s">
        <v>683</v>
      </c>
      <c r="G51" s="299" t="s">
        <v>859</v>
      </c>
      <c r="H51" s="299" t="s">
        <v>1117</v>
      </c>
      <c r="I51" s="299" t="s">
        <v>684</v>
      </c>
    </row>
    <row r="52" spans="1:10">
      <c r="A52" s="299">
        <v>6120</v>
      </c>
      <c r="C52" s="299" t="s">
        <v>784</v>
      </c>
      <c r="D52" s="299">
        <v>10018</v>
      </c>
      <c r="E52" s="299" t="s">
        <v>498</v>
      </c>
      <c r="F52" s="299" t="s">
        <v>793</v>
      </c>
      <c r="G52" s="299" t="s">
        <v>421</v>
      </c>
      <c r="H52" s="299" t="s">
        <v>1069</v>
      </c>
      <c r="I52" s="299" t="s">
        <v>499</v>
      </c>
      <c r="J52" s="299" t="s">
        <v>1853</v>
      </c>
    </row>
    <row r="53" spans="1:10">
      <c r="A53" s="299">
        <v>6121</v>
      </c>
      <c r="C53" s="299" t="s">
        <v>500</v>
      </c>
      <c r="D53" s="299">
        <v>10018</v>
      </c>
      <c r="E53" s="299" t="s">
        <v>501</v>
      </c>
      <c r="F53" s="299" t="s">
        <v>793</v>
      </c>
      <c r="G53" s="299" t="s">
        <v>421</v>
      </c>
      <c r="H53" s="299" t="s">
        <v>502</v>
      </c>
    </row>
    <row r="54" spans="1:10">
      <c r="A54" s="299">
        <v>6125</v>
      </c>
      <c r="C54" s="299" t="s">
        <v>503</v>
      </c>
      <c r="D54" s="299">
        <v>90014</v>
      </c>
      <c r="E54" s="299" t="s">
        <v>804</v>
      </c>
      <c r="F54" s="299" t="s">
        <v>791</v>
      </c>
      <c r="G54" s="299" t="s">
        <v>785</v>
      </c>
      <c r="H54" s="299" t="s">
        <v>1070</v>
      </c>
      <c r="I54" s="299" t="s">
        <v>504</v>
      </c>
    </row>
    <row r="55" spans="1:10">
      <c r="A55" s="299">
        <v>7125</v>
      </c>
      <c r="C55" s="299" t="s">
        <v>685</v>
      </c>
      <c r="D55" s="299">
        <v>75002</v>
      </c>
      <c r="E55" s="299" t="s">
        <v>686</v>
      </c>
      <c r="F55" s="299" t="s">
        <v>651</v>
      </c>
      <c r="G55" s="299" t="s">
        <v>859</v>
      </c>
      <c r="H55" s="299" t="s">
        <v>1118</v>
      </c>
      <c r="I55" s="299" t="s">
        <v>687</v>
      </c>
    </row>
    <row r="56" spans="1:10">
      <c r="A56" s="299">
        <v>6127</v>
      </c>
      <c r="C56" s="299" t="s">
        <v>505</v>
      </c>
      <c r="D56" s="299">
        <v>850000</v>
      </c>
      <c r="E56" s="299" t="s">
        <v>506</v>
      </c>
      <c r="F56" s="299" t="s">
        <v>807</v>
      </c>
      <c r="G56" s="299" t="s">
        <v>808</v>
      </c>
      <c r="H56" s="299" t="s">
        <v>1119</v>
      </c>
      <c r="I56" s="299" t="s">
        <v>507</v>
      </c>
    </row>
    <row r="57" spans="1:10">
      <c r="A57" s="299">
        <v>7155</v>
      </c>
      <c r="C57" s="299" t="s">
        <v>688</v>
      </c>
      <c r="D57" s="299">
        <v>75017</v>
      </c>
      <c r="E57" s="299" t="s">
        <v>689</v>
      </c>
      <c r="F57" s="299" t="s">
        <v>651</v>
      </c>
      <c r="G57" s="299" t="s">
        <v>859</v>
      </c>
      <c r="H57" s="299" t="s">
        <v>1120</v>
      </c>
      <c r="I57" s="299" t="s">
        <v>690</v>
      </c>
    </row>
    <row r="58" spans="1:10">
      <c r="A58" s="299" t="s">
        <v>898</v>
      </c>
      <c r="C58" s="299" t="s">
        <v>899</v>
      </c>
      <c r="E58" s="299" t="s">
        <v>900</v>
      </c>
      <c r="F58" s="299" t="s">
        <v>1013</v>
      </c>
      <c r="G58" s="299" t="s">
        <v>270</v>
      </c>
      <c r="H58" s="299" t="s">
        <v>1121</v>
      </c>
    </row>
    <row r="59" spans="1:10">
      <c r="A59" s="299" t="s">
        <v>987</v>
      </c>
      <c r="C59" s="299" t="s">
        <v>988</v>
      </c>
      <c r="E59" s="299" t="s">
        <v>989</v>
      </c>
      <c r="F59" s="299" t="s">
        <v>1039</v>
      </c>
      <c r="G59" s="299" t="s">
        <v>270</v>
      </c>
    </row>
    <row r="60" spans="1:10">
      <c r="A60" s="299">
        <v>6185</v>
      </c>
      <c r="C60" s="299" t="s">
        <v>508</v>
      </c>
      <c r="D60" s="299">
        <v>91745</v>
      </c>
      <c r="E60" s="299" t="s">
        <v>509</v>
      </c>
      <c r="F60" s="299" t="s">
        <v>810</v>
      </c>
      <c r="G60" s="299" t="s">
        <v>421</v>
      </c>
      <c r="H60" s="299" t="s">
        <v>1122</v>
      </c>
    </row>
    <row r="61" spans="1:10">
      <c r="A61" s="299">
        <v>7168</v>
      </c>
      <c r="C61" s="299" t="s">
        <v>691</v>
      </c>
      <c r="D61" s="299">
        <v>92614</v>
      </c>
      <c r="E61" s="299" t="s">
        <v>692</v>
      </c>
      <c r="F61" s="299" t="s">
        <v>862</v>
      </c>
      <c r="G61" s="299" t="s">
        <v>859</v>
      </c>
      <c r="H61" s="299" t="s">
        <v>1123</v>
      </c>
      <c r="I61" s="299" t="s">
        <v>693</v>
      </c>
    </row>
    <row r="62" spans="1:10">
      <c r="A62" s="299">
        <v>6190</v>
      </c>
      <c r="C62" s="299" t="s">
        <v>510</v>
      </c>
      <c r="D62" s="299">
        <v>90058</v>
      </c>
      <c r="E62" s="299" t="s">
        <v>511</v>
      </c>
      <c r="F62" s="299" t="s">
        <v>795</v>
      </c>
      <c r="G62" s="299" t="s">
        <v>512</v>
      </c>
      <c r="H62" s="299" t="s">
        <v>1124</v>
      </c>
      <c r="I62" s="299" t="s">
        <v>513</v>
      </c>
    </row>
    <row r="63" spans="1:10">
      <c r="A63" s="299" t="s">
        <v>932</v>
      </c>
      <c r="C63" s="299" t="s">
        <v>933</v>
      </c>
      <c r="E63" s="299" t="s">
        <v>934</v>
      </c>
      <c r="F63" s="299" t="s">
        <v>1023</v>
      </c>
      <c r="G63" s="299" t="s">
        <v>270</v>
      </c>
      <c r="H63" s="299" t="s">
        <v>1125</v>
      </c>
    </row>
    <row r="64" spans="1:10">
      <c r="A64" s="299">
        <v>7207</v>
      </c>
      <c r="C64" s="299" t="s">
        <v>694</v>
      </c>
      <c r="E64" s="299" t="s">
        <v>695</v>
      </c>
      <c r="F64" s="299" t="s">
        <v>452</v>
      </c>
      <c r="G64" s="299" t="s">
        <v>270</v>
      </c>
      <c r="H64" s="299" t="s">
        <v>1126</v>
      </c>
      <c r="I64" s="299" t="s">
        <v>696</v>
      </c>
    </row>
    <row r="65" spans="1:10">
      <c r="A65" s="299">
        <v>6210</v>
      </c>
      <c r="C65" s="299" t="s">
        <v>514</v>
      </c>
      <c r="E65" s="299" t="s">
        <v>515</v>
      </c>
      <c r="F65" s="299" t="s">
        <v>809</v>
      </c>
      <c r="G65" s="299" t="s">
        <v>270</v>
      </c>
      <c r="H65" s="299" t="s">
        <v>1127</v>
      </c>
      <c r="I65" s="299" t="s">
        <v>516</v>
      </c>
    </row>
    <row r="66" spans="1:10">
      <c r="A66" s="299" t="s">
        <v>929</v>
      </c>
      <c r="C66" s="299" t="s">
        <v>930</v>
      </c>
      <c r="D66" s="299">
        <v>90016</v>
      </c>
      <c r="E66" s="299" t="s">
        <v>931</v>
      </c>
      <c r="F66" s="299" t="s">
        <v>791</v>
      </c>
      <c r="G66" s="299" t="s">
        <v>421</v>
      </c>
      <c r="H66" s="299" t="s">
        <v>1128</v>
      </c>
    </row>
    <row r="67" spans="1:10">
      <c r="A67" s="299">
        <v>6215</v>
      </c>
      <c r="C67" s="299" t="s">
        <v>517</v>
      </c>
      <c r="D67" s="299">
        <v>90292</v>
      </c>
      <c r="E67" s="301" t="s">
        <v>786</v>
      </c>
      <c r="F67" s="301" t="s">
        <v>811</v>
      </c>
      <c r="G67" s="299" t="s">
        <v>421</v>
      </c>
    </row>
    <row r="68" spans="1:10">
      <c r="A68" s="299" t="s">
        <v>909</v>
      </c>
      <c r="C68" s="299" t="s">
        <v>910</v>
      </c>
      <c r="D68" s="299">
        <v>70000</v>
      </c>
      <c r="E68" s="299" t="s">
        <v>911</v>
      </c>
      <c r="F68" s="299" t="s">
        <v>1019</v>
      </c>
      <c r="G68" s="299" t="s">
        <v>808</v>
      </c>
      <c r="H68" s="299" t="s">
        <v>1129</v>
      </c>
    </row>
    <row r="69" spans="1:10">
      <c r="A69" s="299" t="s">
        <v>949</v>
      </c>
      <c r="C69" s="299" t="s">
        <v>950</v>
      </c>
      <c r="D69" s="299">
        <v>39000</v>
      </c>
      <c r="E69" s="299" t="s">
        <v>951</v>
      </c>
      <c r="F69" s="299" t="s">
        <v>1030</v>
      </c>
      <c r="G69" s="299" t="s">
        <v>808</v>
      </c>
      <c r="H69" s="299" t="s">
        <v>1073</v>
      </c>
    </row>
    <row r="70" spans="1:10">
      <c r="A70" s="299" t="s">
        <v>921</v>
      </c>
      <c r="C70" s="299" t="s">
        <v>922</v>
      </c>
      <c r="E70" s="299" t="s">
        <v>923</v>
      </c>
      <c r="F70" s="299" t="s">
        <v>924</v>
      </c>
      <c r="G70" s="299" t="s">
        <v>270</v>
      </c>
      <c r="H70" s="299" t="s">
        <v>1130</v>
      </c>
    </row>
    <row r="71" spans="1:10">
      <c r="A71" s="299" t="s">
        <v>979</v>
      </c>
      <c r="C71" s="299" t="s">
        <v>980</v>
      </c>
      <c r="D71" s="299">
        <v>92704</v>
      </c>
      <c r="E71" s="299" t="s">
        <v>981</v>
      </c>
      <c r="F71" s="299" t="s">
        <v>1036</v>
      </c>
      <c r="G71" s="299" t="s">
        <v>421</v>
      </c>
      <c r="H71" s="299" t="s">
        <v>1131</v>
      </c>
    </row>
    <row r="72" spans="1:10">
      <c r="A72" s="299">
        <v>6255</v>
      </c>
      <c r="C72" s="299" t="s">
        <v>518</v>
      </c>
      <c r="D72" s="299">
        <v>10016</v>
      </c>
      <c r="E72" s="299" t="s">
        <v>519</v>
      </c>
      <c r="F72" s="299" t="s">
        <v>793</v>
      </c>
      <c r="G72" s="299" t="s">
        <v>421</v>
      </c>
      <c r="H72" s="299" t="s">
        <v>1132</v>
      </c>
      <c r="I72" s="299" t="s">
        <v>520</v>
      </c>
    </row>
    <row r="73" spans="1:10">
      <c r="A73" s="299">
        <v>6256</v>
      </c>
      <c r="C73" s="299" t="s">
        <v>521</v>
      </c>
      <c r="D73" s="299">
        <v>523108</v>
      </c>
      <c r="E73" s="299" t="s">
        <v>813</v>
      </c>
      <c r="F73" s="299" t="s">
        <v>812</v>
      </c>
      <c r="G73" s="299" t="s">
        <v>270</v>
      </c>
      <c r="H73" s="299" t="s">
        <v>1133</v>
      </c>
    </row>
    <row r="74" spans="1:10">
      <c r="A74" s="299" t="s">
        <v>938</v>
      </c>
      <c r="C74" s="299" t="s">
        <v>939</v>
      </c>
      <c r="E74" s="299" t="s">
        <v>1026</v>
      </c>
      <c r="F74" s="299" t="s">
        <v>1027</v>
      </c>
      <c r="G74" s="299" t="s">
        <v>270</v>
      </c>
      <c r="H74" s="299" t="s">
        <v>1134</v>
      </c>
    </row>
    <row r="75" spans="1:10">
      <c r="A75" s="299">
        <v>7281</v>
      </c>
      <c r="C75" s="299" t="s">
        <v>697</v>
      </c>
      <c r="D75" s="299">
        <v>311200</v>
      </c>
      <c r="E75" s="299" t="s">
        <v>698</v>
      </c>
      <c r="F75" s="299" t="s">
        <v>863</v>
      </c>
      <c r="G75" s="299" t="s">
        <v>270</v>
      </c>
      <c r="H75" s="299" t="s">
        <v>1135</v>
      </c>
      <c r="I75" s="299" t="s">
        <v>699</v>
      </c>
    </row>
    <row r="76" spans="1:10">
      <c r="C76" s="299" t="s">
        <v>1170</v>
      </c>
      <c r="E76" s="299" t="s">
        <v>1171</v>
      </c>
      <c r="F76" s="299" t="s">
        <v>1172</v>
      </c>
      <c r="G76" s="299" t="s">
        <v>270</v>
      </c>
      <c r="H76" s="299" t="s">
        <v>1173</v>
      </c>
      <c r="I76" s="299" t="s">
        <v>1174</v>
      </c>
    </row>
    <row r="77" spans="1:10">
      <c r="A77" s="299">
        <v>6280</v>
      </c>
      <c r="C77" s="299" t="s">
        <v>522</v>
      </c>
      <c r="D77" s="299">
        <v>11206</v>
      </c>
      <c r="E77" s="299" t="s">
        <v>523</v>
      </c>
      <c r="F77" s="299" t="s">
        <v>814</v>
      </c>
      <c r="G77" s="299" t="s">
        <v>421</v>
      </c>
      <c r="I77" s="299" t="s">
        <v>524</v>
      </c>
    </row>
    <row r="78" spans="1:10">
      <c r="A78" s="299">
        <v>6281</v>
      </c>
      <c r="C78" s="299" t="s">
        <v>525</v>
      </c>
      <c r="D78" s="299">
        <v>10950</v>
      </c>
      <c r="E78" s="299" t="s">
        <v>526</v>
      </c>
      <c r="F78" s="299" t="s">
        <v>815</v>
      </c>
      <c r="G78" s="299" t="s">
        <v>421</v>
      </c>
      <c r="H78" s="299" t="s">
        <v>1096</v>
      </c>
      <c r="I78" s="299" t="s">
        <v>527</v>
      </c>
    </row>
    <row r="79" spans="1:10">
      <c r="A79" s="299">
        <v>6290</v>
      </c>
      <c r="C79" s="299" t="s">
        <v>528</v>
      </c>
      <c r="D79" s="299">
        <v>10012</v>
      </c>
      <c r="E79" s="299" t="s">
        <v>816</v>
      </c>
      <c r="F79" s="299" t="s">
        <v>792</v>
      </c>
      <c r="G79" s="299" t="s">
        <v>421</v>
      </c>
      <c r="H79" s="299" t="s">
        <v>1097</v>
      </c>
      <c r="I79" s="299" t="s">
        <v>529</v>
      </c>
      <c r="J79" s="299" t="s">
        <v>1854</v>
      </c>
    </row>
    <row r="80" spans="1:10">
      <c r="A80" s="299" t="s">
        <v>940</v>
      </c>
      <c r="C80" s="299" t="s">
        <v>941</v>
      </c>
      <c r="E80" s="299" t="s">
        <v>942</v>
      </c>
      <c r="F80" s="299" t="s">
        <v>1028</v>
      </c>
      <c r="G80" s="299" t="s">
        <v>270</v>
      </c>
      <c r="H80" s="299" t="s">
        <v>1072</v>
      </c>
    </row>
    <row r="81" spans="1:9">
      <c r="A81" s="299" t="s">
        <v>943</v>
      </c>
      <c r="C81" s="299" t="s">
        <v>944</v>
      </c>
      <c r="D81" s="299">
        <v>515041</v>
      </c>
      <c r="E81" s="299" t="s">
        <v>945</v>
      </c>
      <c r="F81" s="299" t="s">
        <v>1029</v>
      </c>
      <c r="G81" s="299" t="s">
        <v>270</v>
      </c>
      <c r="H81" s="299" t="s">
        <v>555</v>
      </c>
    </row>
    <row r="82" spans="1:9">
      <c r="A82" s="299" t="s">
        <v>946</v>
      </c>
      <c r="C82" s="299" t="s">
        <v>947</v>
      </c>
      <c r="D82" s="299">
        <v>10014</v>
      </c>
      <c r="E82" s="299" t="s">
        <v>948</v>
      </c>
      <c r="F82" s="299" t="s">
        <v>793</v>
      </c>
      <c r="G82" s="299" t="s">
        <v>421</v>
      </c>
      <c r="H82" s="299" t="s">
        <v>1136</v>
      </c>
    </row>
    <row r="83" spans="1:9">
      <c r="A83" s="299">
        <v>6291</v>
      </c>
      <c r="C83" s="299" t="s">
        <v>530</v>
      </c>
      <c r="D83" s="300" t="s">
        <v>819</v>
      </c>
      <c r="E83" s="299" t="s">
        <v>820</v>
      </c>
      <c r="F83" s="299" t="s">
        <v>821</v>
      </c>
      <c r="G83" s="299" t="s">
        <v>421</v>
      </c>
      <c r="I83" s="299" t="s">
        <v>531</v>
      </c>
    </row>
    <row r="84" spans="1:9">
      <c r="A84" s="299">
        <v>6292</v>
      </c>
      <c r="C84" s="299" t="s">
        <v>532</v>
      </c>
      <c r="D84" s="300" t="s">
        <v>817</v>
      </c>
      <c r="E84" s="299" t="s">
        <v>533</v>
      </c>
      <c r="F84" s="299" t="s">
        <v>534</v>
      </c>
      <c r="G84" s="299" t="s">
        <v>818</v>
      </c>
      <c r="H84" s="299" t="s">
        <v>535</v>
      </c>
    </row>
    <row r="85" spans="1:9">
      <c r="A85" s="299">
        <v>7301</v>
      </c>
      <c r="C85" s="299" t="s">
        <v>700</v>
      </c>
      <c r="E85" s="299" t="s">
        <v>701</v>
      </c>
      <c r="F85" s="301" t="s">
        <v>864</v>
      </c>
      <c r="G85" s="299" t="s">
        <v>270</v>
      </c>
      <c r="H85" s="299" t="s">
        <v>1137</v>
      </c>
      <c r="I85" s="299" t="s">
        <v>702</v>
      </c>
    </row>
    <row r="86" spans="1:9">
      <c r="A86" s="299">
        <v>6300</v>
      </c>
      <c r="C86" s="299" t="s">
        <v>536</v>
      </c>
      <c r="D86" s="299">
        <v>10012</v>
      </c>
      <c r="E86" s="299" t="s">
        <v>537</v>
      </c>
      <c r="F86" s="299" t="s">
        <v>793</v>
      </c>
      <c r="G86" s="299" t="s">
        <v>421</v>
      </c>
      <c r="H86" s="299" t="s">
        <v>1071</v>
      </c>
      <c r="I86" s="299" t="s">
        <v>538</v>
      </c>
    </row>
    <row r="87" spans="1:9">
      <c r="A87" s="299">
        <v>7324</v>
      </c>
      <c r="C87" s="299" t="s">
        <v>703</v>
      </c>
      <c r="D87" s="299">
        <v>314003</v>
      </c>
      <c r="E87" s="299" t="s">
        <v>704</v>
      </c>
      <c r="F87" s="299" t="s">
        <v>865</v>
      </c>
      <c r="G87" s="299" t="s">
        <v>270</v>
      </c>
    </row>
    <row r="88" spans="1:9">
      <c r="A88" s="299">
        <v>7331</v>
      </c>
      <c r="C88" s="299" t="s">
        <v>705</v>
      </c>
      <c r="D88" s="299">
        <v>49455</v>
      </c>
      <c r="E88" s="299" t="s">
        <v>706</v>
      </c>
      <c r="F88" s="299" t="s">
        <v>707</v>
      </c>
      <c r="G88" s="299" t="s">
        <v>859</v>
      </c>
      <c r="H88" s="299" t="s">
        <v>1138</v>
      </c>
      <c r="I88" s="299" t="s">
        <v>667</v>
      </c>
    </row>
    <row r="89" spans="1:9">
      <c r="A89" s="299" t="s">
        <v>952</v>
      </c>
      <c r="C89" s="299" t="s">
        <v>953</v>
      </c>
      <c r="D89" s="299">
        <v>11362</v>
      </c>
      <c r="E89" s="299" t="s">
        <v>954</v>
      </c>
      <c r="F89" s="299" t="s">
        <v>955</v>
      </c>
      <c r="G89" s="299" t="s">
        <v>421</v>
      </c>
      <c r="H89" s="299" t="s">
        <v>1075</v>
      </c>
    </row>
    <row r="90" spans="1:9">
      <c r="A90" s="299">
        <v>6360</v>
      </c>
      <c r="C90" s="299" t="s">
        <v>539</v>
      </c>
      <c r="D90" s="299">
        <v>11021</v>
      </c>
      <c r="E90" s="299" t="s">
        <v>540</v>
      </c>
      <c r="F90" s="299" t="s">
        <v>822</v>
      </c>
      <c r="G90" s="299" t="s">
        <v>421</v>
      </c>
      <c r="H90" s="299" t="s">
        <v>541</v>
      </c>
    </row>
    <row r="91" spans="1:9">
      <c r="A91" s="299">
        <v>6361</v>
      </c>
      <c r="C91" s="299" t="s">
        <v>542</v>
      </c>
      <c r="D91" s="299">
        <v>201108</v>
      </c>
      <c r="E91" s="299" t="s">
        <v>543</v>
      </c>
      <c r="F91" s="299" t="s">
        <v>823</v>
      </c>
      <c r="G91" s="299" t="s">
        <v>270</v>
      </c>
      <c r="H91" s="299" t="s">
        <v>1098</v>
      </c>
      <c r="I91" s="299" t="s">
        <v>544</v>
      </c>
    </row>
    <row r="92" spans="1:9">
      <c r="C92" s="299" t="s">
        <v>1855</v>
      </c>
      <c r="D92" s="299">
        <v>10001</v>
      </c>
      <c r="E92" s="299" t="s">
        <v>1856</v>
      </c>
      <c r="F92" s="299" t="s">
        <v>793</v>
      </c>
      <c r="G92" s="299" t="s">
        <v>1821</v>
      </c>
      <c r="H92" s="299" t="s">
        <v>1857</v>
      </c>
    </row>
    <row r="93" spans="1:9">
      <c r="A93" s="299">
        <v>6365</v>
      </c>
      <c r="C93" s="299" t="s">
        <v>545</v>
      </c>
      <c r="D93" s="299">
        <v>10018</v>
      </c>
      <c r="E93" s="299" t="s">
        <v>546</v>
      </c>
      <c r="F93" s="299" t="s">
        <v>793</v>
      </c>
      <c r="G93" s="299" t="s">
        <v>421</v>
      </c>
      <c r="H93" s="299" t="s">
        <v>1099</v>
      </c>
    </row>
    <row r="94" spans="1:9">
      <c r="A94" s="299">
        <v>6390</v>
      </c>
      <c r="C94" s="299" t="s">
        <v>548</v>
      </c>
      <c r="D94" s="299">
        <v>90025</v>
      </c>
      <c r="E94" s="299" t="s">
        <v>549</v>
      </c>
      <c r="F94" s="299" t="s">
        <v>791</v>
      </c>
      <c r="G94" s="299" t="s">
        <v>421</v>
      </c>
      <c r="H94" s="299" t="s">
        <v>1134</v>
      </c>
      <c r="I94" s="299" t="s">
        <v>550</v>
      </c>
    </row>
    <row r="95" spans="1:9">
      <c r="A95" s="299" t="s">
        <v>918</v>
      </c>
      <c r="C95" s="299" t="s">
        <v>919</v>
      </c>
      <c r="D95" s="299">
        <v>90021</v>
      </c>
      <c r="E95" s="299" t="s">
        <v>920</v>
      </c>
      <c r="F95" s="299" t="s">
        <v>791</v>
      </c>
      <c r="G95" s="299" t="s">
        <v>421</v>
      </c>
      <c r="H95" s="299" t="s">
        <v>1066</v>
      </c>
    </row>
    <row r="96" spans="1:9">
      <c r="A96" s="299">
        <v>6380</v>
      </c>
      <c r="C96" s="299" t="s">
        <v>547</v>
      </c>
      <c r="D96" s="299">
        <v>90058</v>
      </c>
      <c r="E96" s="299" t="s">
        <v>1858</v>
      </c>
      <c r="F96" s="299" t="s">
        <v>791</v>
      </c>
      <c r="G96" s="299" t="s">
        <v>512</v>
      </c>
      <c r="H96" s="299" t="s">
        <v>1859</v>
      </c>
    </row>
    <row r="97" spans="1:9">
      <c r="C97" s="299" t="s">
        <v>1166</v>
      </c>
      <c r="D97" s="299">
        <v>90069</v>
      </c>
      <c r="E97" s="299" t="s">
        <v>1167</v>
      </c>
      <c r="F97" s="299" t="s">
        <v>1168</v>
      </c>
      <c r="G97" s="299" t="s">
        <v>421</v>
      </c>
      <c r="H97" s="299" t="s">
        <v>1169</v>
      </c>
    </row>
    <row r="98" spans="1:9">
      <c r="A98" s="299">
        <v>7381</v>
      </c>
      <c r="C98" s="299" t="s">
        <v>708</v>
      </c>
      <c r="D98" s="299">
        <v>310051</v>
      </c>
      <c r="E98" s="299" t="s">
        <v>709</v>
      </c>
      <c r="F98" s="299" t="s">
        <v>710</v>
      </c>
      <c r="G98" s="299" t="s">
        <v>270</v>
      </c>
      <c r="H98" s="299" t="s">
        <v>1139</v>
      </c>
      <c r="I98" s="299" t="s">
        <v>711</v>
      </c>
    </row>
    <row r="99" spans="1:9">
      <c r="A99" s="299">
        <v>6401</v>
      </c>
      <c r="C99" s="299" t="s">
        <v>551</v>
      </c>
      <c r="D99" s="299">
        <v>90023</v>
      </c>
      <c r="E99" s="299" t="s">
        <v>552</v>
      </c>
      <c r="F99" s="299" t="s">
        <v>791</v>
      </c>
      <c r="G99" s="299" t="s">
        <v>421</v>
      </c>
      <c r="H99" s="299" t="s">
        <v>1072</v>
      </c>
    </row>
    <row r="100" spans="1:9">
      <c r="A100" s="299" t="s">
        <v>959</v>
      </c>
      <c r="C100" s="299" t="s">
        <v>960</v>
      </c>
      <c r="D100" s="299">
        <v>90023</v>
      </c>
      <c r="E100" s="299" t="s">
        <v>1034</v>
      </c>
      <c r="F100" s="299" t="s">
        <v>791</v>
      </c>
      <c r="G100" s="299" t="s">
        <v>421</v>
      </c>
      <c r="H100" s="299" t="s">
        <v>1078</v>
      </c>
    </row>
    <row r="101" spans="1:9">
      <c r="A101" s="299">
        <v>6410</v>
      </c>
      <c r="C101" s="299" t="s">
        <v>553</v>
      </c>
      <c r="D101" s="299">
        <v>90048</v>
      </c>
      <c r="E101" s="299" t="s">
        <v>554</v>
      </c>
      <c r="F101" s="299" t="s">
        <v>791</v>
      </c>
      <c r="G101" s="299" t="s">
        <v>421</v>
      </c>
      <c r="H101" s="299" t="s">
        <v>555</v>
      </c>
    </row>
    <row r="102" spans="1:9">
      <c r="A102" s="299">
        <v>6425</v>
      </c>
      <c r="C102" s="299" t="s">
        <v>556</v>
      </c>
      <c r="D102" s="299">
        <v>91604</v>
      </c>
      <c r="E102" s="299" t="s">
        <v>557</v>
      </c>
      <c r="F102" s="299" t="s">
        <v>824</v>
      </c>
      <c r="G102" s="299" t="s">
        <v>421</v>
      </c>
      <c r="I102" s="299" t="s">
        <v>558</v>
      </c>
    </row>
    <row r="103" spans="1:9">
      <c r="A103" s="299" t="s">
        <v>891</v>
      </c>
      <c r="C103" s="299" t="s">
        <v>892</v>
      </c>
      <c r="D103" s="299">
        <v>26220</v>
      </c>
      <c r="E103" s="299" t="s">
        <v>893</v>
      </c>
      <c r="F103" s="299" t="s">
        <v>894</v>
      </c>
      <c r="G103" s="299" t="s">
        <v>1010</v>
      </c>
    </row>
    <row r="104" spans="1:9">
      <c r="A104" s="299">
        <v>6440</v>
      </c>
      <c r="C104" s="299" t="s">
        <v>559</v>
      </c>
      <c r="D104" s="299">
        <v>90040</v>
      </c>
      <c r="E104" s="299" t="s">
        <v>825</v>
      </c>
      <c r="F104" s="299" t="s">
        <v>826</v>
      </c>
      <c r="G104" s="299" t="s">
        <v>421</v>
      </c>
      <c r="H104" s="299" t="s">
        <v>1073</v>
      </c>
      <c r="I104" s="299" t="s">
        <v>560</v>
      </c>
    </row>
    <row r="105" spans="1:9">
      <c r="A105" s="299">
        <v>6445</v>
      </c>
      <c r="C105" s="299" t="s">
        <v>561</v>
      </c>
      <c r="D105" s="299">
        <v>90014</v>
      </c>
      <c r="E105" s="299" t="s">
        <v>562</v>
      </c>
      <c r="F105" s="299" t="s">
        <v>791</v>
      </c>
      <c r="G105" s="299" t="s">
        <v>421</v>
      </c>
      <c r="H105" s="299" t="s">
        <v>1074</v>
      </c>
      <c r="I105" s="299" t="s">
        <v>563</v>
      </c>
    </row>
    <row r="106" spans="1:9">
      <c r="A106" s="299">
        <v>7461</v>
      </c>
      <c r="C106" s="299" t="s">
        <v>712</v>
      </c>
      <c r="D106" s="299">
        <v>85600</v>
      </c>
      <c r="E106" s="299" t="s">
        <v>713</v>
      </c>
      <c r="F106" s="299" t="s">
        <v>874</v>
      </c>
      <c r="G106" s="299" t="s">
        <v>859</v>
      </c>
      <c r="H106" s="299" t="s">
        <v>1138</v>
      </c>
      <c r="I106" s="299" t="s">
        <v>667</v>
      </c>
    </row>
    <row r="107" spans="1:9">
      <c r="A107" s="299">
        <v>6470</v>
      </c>
      <c r="C107" s="299" t="s">
        <v>564</v>
      </c>
      <c r="D107" s="299">
        <v>90039</v>
      </c>
      <c r="E107" s="299" t="s">
        <v>827</v>
      </c>
      <c r="F107" s="299" t="s">
        <v>791</v>
      </c>
      <c r="G107" s="299" t="s">
        <v>421</v>
      </c>
      <c r="H107" s="299" t="s">
        <v>1075</v>
      </c>
    </row>
    <row r="108" spans="1:9">
      <c r="A108" s="299">
        <v>6477</v>
      </c>
      <c r="C108" s="299" t="s">
        <v>565</v>
      </c>
      <c r="D108" s="299">
        <v>90015</v>
      </c>
      <c r="E108" s="299" t="s">
        <v>828</v>
      </c>
      <c r="F108" s="299" t="s">
        <v>791</v>
      </c>
      <c r="G108" s="299" t="s">
        <v>421</v>
      </c>
      <c r="H108" s="299" t="s">
        <v>566</v>
      </c>
    </row>
    <row r="109" spans="1:9">
      <c r="A109" s="299">
        <v>6490</v>
      </c>
      <c r="C109" s="299" t="s">
        <v>571</v>
      </c>
      <c r="D109" s="299">
        <v>90011</v>
      </c>
      <c r="E109" s="299" t="s">
        <v>572</v>
      </c>
      <c r="G109" s="299" t="s">
        <v>421</v>
      </c>
      <c r="H109" s="299" t="s">
        <v>1076</v>
      </c>
      <c r="I109" s="299" t="s">
        <v>573</v>
      </c>
    </row>
    <row r="110" spans="1:9">
      <c r="A110" s="299">
        <v>7481</v>
      </c>
      <c r="C110" s="299" t="s">
        <v>714</v>
      </c>
      <c r="D110" s="299">
        <v>92614</v>
      </c>
      <c r="E110" s="299" t="s">
        <v>715</v>
      </c>
      <c r="F110" s="299" t="s">
        <v>716</v>
      </c>
      <c r="G110" s="299" t="s">
        <v>859</v>
      </c>
      <c r="H110" s="299" t="s">
        <v>1140</v>
      </c>
      <c r="I110" s="299" t="s">
        <v>717</v>
      </c>
    </row>
    <row r="111" spans="1:9">
      <c r="A111" s="299">
        <v>7482</v>
      </c>
      <c r="C111" s="299" t="s">
        <v>718</v>
      </c>
      <c r="D111" s="299">
        <v>75009</v>
      </c>
      <c r="E111" s="299" t="s">
        <v>719</v>
      </c>
      <c r="F111" s="299" t="s">
        <v>651</v>
      </c>
      <c r="G111" s="299" t="s">
        <v>859</v>
      </c>
      <c r="H111" s="299" t="s">
        <v>1141</v>
      </c>
      <c r="I111" s="299" t="s">
        <v>720</v>
      </c>
    </row>
    <row r="112" spans="1:9">
      <c r="A112" s="299">
        <v>7483</v>
      </c>
      <c r="C112" s="299" t="s">
        <v>721</v>
      </c>
      <c r="D112" s="299">
        <v>75007</v>
      </c>
      <c r="E112" s="299" t="s">
        <v>722</v>
      </c>
      <c r="F112" s="299" t="s">
        <v>651</v>
      </c>
      <c r="G112" s="299" t="s">
        <v>859</v>
      </c>
      <c r="H112" s="299" t="s">
        <v>1142</v>
      </c>
      <c r="I112" s="299" t="s">
        <v>723</v>
      </c>
    </row>
    <row r="113" spans="1:9">
      <c r="A113" s="299">
        <v>7484</v>
      </c>
      <c r="C113" s="299" t="s">
        <v>724</v>
      </c>
      <c r="D113" s="299">
        <v>75001</v>
      </c>
      <c r="E113" s="299" t="s">
        <v>725</v>
      </c>
      <c r="F113" s="299" t="s">
        <v>651</v>
      </c>
      <c r="G113" s="299" t="s">
        <v>859</v>
      </c>
      <c r="H113" s="299" t="s">
        <v>1143</v>
      </c>
      <c r="I113" s="299" t="s">
        <v>726</v>
      </c>
    </row>
    <row r="114" spans="1:9">
      <c r="A114" s="299">
        <v>6481</v>
      </c>
      <c r="C114" s="299" t="s">
        <v>567</v>
      </c>
      <c r="D114" s="299">
        <v>10011</v>
      </c>
      <c r="E114" s="299" t="s">
        <v>829</v>
      </c>
      <c r="F114" s="299" t="s">
        <v>793</v>
      </c>
      <c r="G114" s="299" t="s">
        <v>421</v>
      </c>
      <c r="H114" s="299" t="s">
        <v>1077</v>
      </c>
    </row>
    <row r="115" spans="1:9">
      <c r="A115" s="299">
        <v>7485</v>
      </c>
      <c r="C115" s="299" t="s">
        <v>727</v>
      </c>
      <c r="D115" s="299">
        <v>200001</v>
      </c>
      <c r="E115" s="299" t="s">
        <v>728</v>
      </c>
      <c r="F115" s="299" t="s">
        <v>873</v>
      </c>
      <c r="G115" s="299" t="s">
        <v>270</v>
      </c>
      <c r="H115" s="299" t="s">
        <v>1144</v>
      </c>
      <c r="I115" s="299" t="s">
        <v>729</v>
      </c>
    </row>
    <row r="116" spans="1:9">
      <c r="A116" s="299">
        <v>7486</v>
      </c>
      <c r="C116" s="299" t="s">
        <v>730</v>
      </c>
      <c r="D116" s="299">
        <v>75017</v>
      </c>
      <c r="E116" s="299" t="s">
        <v>689</v>
      </c>
      <c r="F116" s="299" t="s">
        <v>651</v>
      </c>
      <c r="G116" s="299" t="s">
        <v>859</v>
      </c>
      <c r="H116" s="299" t="s">
        <v>1120</v>
      </c>
      <c r="I116" s="299" t="s">
        <v>690</v>
      </c>
    </row>
    <row r="117" spans="1:9">
      <c r="A117" s="299">
        <v>6482</v>
      </c>
      <c r="C117" s="299" t="s">
        <v>568</v>
      </c>
      <c r="D117" s="299">
        <v>90292</v>
      </c>
      <c r="E117" s="299" t="s">
        <v>831</v>
      </c>
      <c r="F117" s="299" t="s">
        <v>830</v>
      </c>
      <c r="G117" s="299" t="s">
        <v>421</v>
      </c>
      <c r="H117" s="299" t="s">
        <v>1078</v>
      </c>
      <c r="I117" s="299" t="s">
        <v>568</v>
      </c>
    </row>
    <row r="118" spans="1:9">
      <c r="A118" s="299">
        <v>7489</v>
      </c>
      <c r="C118" s="299" t="s">
        <v>731</v>
      </c>
      <c r="D118" s="299">
        <v>11000</v>
      </c>
      <c r="E118" s="299" t="s">
        <v>732</v>
      </c>
      <c r="F118" s="299" t="s">
        <v>872</v>
      </c>
      <c r="G118" s="299" t="s">
        <v>838</v>
      </c>
      <c r="H118" s="299" t="s">
        <v>1145</v>
      </c>
      <c r="I118" s="299" t="s">
        <v>733</v>
      </c>
    </row>
    <row r="119" spans="1:9">
      <c r="A119" s="299" t="s">
        <v>889</v>
      </c>
      <c r="C119" s="299" t="s">
        <v>731</v>
      </c>
      <c r="D119" s="299">
        <v>11000</v>
      </c>
      <c r="E119" s="299" t="s">
        <v>890</v>
      </c>
      <c r="F119" s="299" t="s">
        <v>1009</v>
      </c>
      <c r="G119" s="299" t="s">
        <v>837</v>
      </c>
      <c r="H119" s="299" t="s">
        <v>1145</v>
      </c>
    </row>
    <row r="120" spans="1:9">
      <c r="A120" s="299" t="s">
        <v>975</v>
      </c>
      <c r="C120" s="299" t="s">
        <v>976</v>
      </c>
      <c r="D120" s="299">
        <v>523170</v>
      </c>
      <c r="E120" s="299" t="s">
        <v>977</v>
      </c>
      <c r="F120" s="299" t="s">
        <v>978</v>
      </c>
      <c r="G120" s="299" t="s">
        <v>270</v>
      </c>
      <c r="H120" s="299" t="s">
        <v>1146</v>
      </c>
    </row>
    <row r="121" spans="1:9">
      <c r="A121" s="299">
        <v>6489</v>
      </c>
      <c r="C121" s="299" t="s">
        <v>569</v>
      </c>
      <c r="D121" s="299">
        <v>92662</v>
      </c>
      <c r="E121" s="299" t="s">
        <v>570</v>
      </c>
      <c r="F121" s="299" t="s">
        <v>832</v>
      </c>
      <c r="G121" s="299" t="s">
        <v>421</v>
      </c>
    </row>
    <row r="122" spans="1:9">
      <c r="A122" s="299" t="s">
        <v>903</v>
      </c>
      <c r="C122" s="299" t="s">
        <v>904</v>
      </c>
      <c r="E122" s="299" t="s">
        <v>905</v>
      </c>
      <c r="F122" s="299" t="s">
        <v>1016</v>
      </c>
      <c r="G122" s="299" t="s">
        <v>1015</v>
      </c>
      <c r="H122" s="299" t="s">
        <v>1147</v>
      </c>
    </row>
    <row r="123" spans="1:9">
      <c r="A123" s="299">
        <v>6501</v>
      </c>
      <c r="C123" s="299" t="s">
        <v>574</v>
      </c>
      <c r="D123" s="300" t="s">
        <v>833</v>
      </c>
      <c r="E123" s="299" t="s">
        <v>575</v>
      </c>
      <c r="F123" s="299" t="s">
        <v>834</v>
      </c>
      <c r="G123" s="299" t="s">
        <v>421</v>
      </c>
    </row>
    <row r="124" spans="1:9">
      <c r="A124" s="299">
        <v>6502</v>
      </c>
      <c r="C124" s="299" t="s">
        <v>576</v>
      </c>
      <c r="D124" s="299">
        <v>90058</v>
      </c>
      <c r="E124" s="299" t="s">
        <v>577</v>
      </c>
      <c r="F124" s="299" t="s">
        <v>795</v>
      </c>
      <c r="G124" s="299" t="s">
        <v>421</v>
      </c>
      <c r="H124" s="299" t="s">
        <v>578</v>
      </c>
    </row>
    <row r="125" spans="1:9">
      <c r="A125" s="299">
        <v>6503</v>
      </c>
      <c r="C125" s="299" t="s">
        <v>579</v>
      </c>
      <c r="D125" s="299">
        <v>10012</v>
      </c>
      <c r="E125" s="299" t="s">
        <v>580</v>
      </c>
      <c r="F125" s="299" t="s">
        <v>793</v>
      </c>
      <c r="G125" s="299" t="s">
        <v>421</v>
      </c>
      <c r="H125" s="299" t="s">
        <v>1079</v>
      </c>
    </row>
    <row r="126" spans="1:9">
      <c r="A126" s="299">
        <v>6504</v>
      </c>
      <c r="C126" s="299" t="s">
        <v>582</v>
      </c>
      <c r="D126" s="299">
        <v>10012</v>
      </c>
      <c r="E126" s="299" t="s">
        <v>836</v>
      </c>
      <c r="F126" s="299" t="s">
        <v>793</v>
      </c>
      <c r="G126" s="299" t="s">
        <v>421</v>
      </c>
      <c r="H126" s="299" t="s">
        <v>583</v>
      </c>
      <c r="I126" s="299" t="s">
        <v>835</v>
      </c>
    </row>
    <row r="127" spans="1:9">
      <c r="A127" s="299">
        <v>6521</v>
      </c>
      <c r="C127" s="299" t="s">
        <v>584</v>
      </c>
      <c r="D127" s="299">
        <v>10200</v>
      </c>
      <c r="E127" s="299" t="s">
        <v>839</v>
      </c>
      <c r="F127" s="299" t="s">
        <v>840</v>
      </c>
      <c r="G127" s="299" t="s">
        <v>838</v>
      </c>
      <c r="H127" s="299" t="s">
        <v>585</v>
      </c>
    </row>
    <row r="128" spans="1:9">
      <c r="A128" s="299">
        <v>7568</v>
      </c>
      <c r="C128" s="299" t="s">
        <v>734</v>
      </c>
      <c r="D128" s="299">
        <v>75006</v>
      </c>
      <c r="E128" s="299" t="s">
        <v>735</v>
      </c>
      <c r="F128" s="299" t="s">
        <v>736</v>
      </c>
      <c r="G128" s="299" t="s">
        <v>859</v>
      </c>
      <c r="H128" s="299" t="s">
        <v>1148</v>
      </c>
      <c r="I128" s="299" t="s">
        <v>737</v>
      </c>
    </row>
    <row r="129" spans="1:9">
      <c r="A129" s="299" t="s">
        <v>884</v>
      </c>
      <c r="C129" s="299" t="s">
        <v>885</v>
      </c>
      <c r="E129" s="299" t="s">
        <v>886</v>
      </c>
      <c r="F129" s="299" t="s">
        <v>1006</v>
      </c>
      <c r="G129" s="299" t="s">
        <v>270</v>
      </c>
      <c r="H129" s="299" t="s">
        <v>1149</v>
      </c>
    </row>
    <row r="130" spans="1:9">
      <c r="A130" s="299">
        <v>6522</v>
      </c>
      <c r="C130" s="299" t="s">
        <v>586</v>
      </c>
      <c r="D130" s="299">
        <v>10018</v>
      </c>
      <c r="E130" s="299" t="s">
        <v>587</v>
      </c>
      <c r="F130" s="299" t="s">
        <v>793</v>
      </c>
      <c r="G130" s="299" t="s">
        <v>421</v>
      </c>
      <c r="H130" s="299" t="s">
        <v>588</v>
      </c>
    </row>
    <row r="131" spans="1:9">
      <c r="A131" s="299">
        <v>7601</v>
      </c>
      <c r="C131" s="299" t="s">
        <v>738</v>
      </c>
      <c r="D131" s="299">
        <v>75008</v>
      </c>
      <c r="E131" s="299" t="s">
        <v>739</v>
      </c>
      <c r="F131" s="299" t="s">
        <v>651</v>
      </c>
      <c r="G131" s="299" t="s">
        <v>859</v>
      </c>
      <c r="H131" s="299" t="s">
        <v>1150</v>
      </c>
    </row>
    <row r="132" spans="1:9">
      <c r="A132" s="299">
        <v>6523</v>
      </c>
      <c r="C132" s="299" t="s">
        <v>589</v>
      </c>
      <c r="D132" s="299">
        <v>90015</v>
      </c>
      <c r="E132" s="299" t="s">
        <v>590</v>
      </c>
      <c r="F132" s="299" t="s">
        <v>791</v>
      </c>
      <c r="G132" s="299" t="s">
        <v>421</v>
      </c>
      <c r="H132" s="299" t="s">
        <v>1080</v>
      </c>
      <c r="I132" s="299" t="s">
        <v>591</v>
      </c>
    </row>
    <row r="133" spans="1:9">
      <c r="A133" s="299">
        <v>7602</v>
      </c>
      <c r="C133" s="299" t="s">
        <v>740</v>
      </c>
      <c r="D133" s="299">
        <v>43122</v>
      </c>
      <c r="E133" s="299" t="s">
        <v>741</v>
      </c>
      <c r="F133" s="299" t="s">
        <v>742</v>
      </c>
      <c r="G133" s="299" t="s">
        <v>871</v>
      </c>
      <c r="H133" s="299" t="s">
        <v>1151</v>
      </c>
      <c r="I133" s="299" t="s">
        <v>743</v>
      </c>
    </row>
    <row r="134" spans="1:9">
      <c r="A134" s="299">
        <v>6528</v>
      </c>
      <c r="C134" s="299" t="s">
        <v>841</v>
      </c>
      <c r="E134" s="299" t="s">
        <v>842</v>
      </c>
      <c r="F134" s="299" t="s">
        <v>843</v>
      </c>
      <c r="G134" s="299" t="s">
        <v>845</v>
      </c>
      <c r="H134" s="299" t="s">
        <v>1081</v>
      </c>
      <c r="I134" s="299" t="s">
        <v>592</v>
      </c>
    </row>
    <row r="135" spans="1:9">
      <c r="A135" s="299">
        <v>7613</v>
      </c>
      <c r="C135" s="299" t="s">
        <v>744</v>
      </c>
      <c r="D135" s="299">
        <v>10146</v>
      </c>
      <c r="E135" s="299" t="s">
        <v>745</v>
      </c>
      <c r="F135" s="299" t="s">
        <v>869</v>
      </c>
      <c r="G135" s="299" t="s">
        <v>870</v>
      </c>
      <c r="H135" s="299" t="s">
        <v>1152</v>
      </c>
      <c r="I135" s="299" t="s">
        <v>744</v>
      </c>
    </row>
    <row r="136" spans="1:9">
      <c r="A136" s="299" t="s">
        <v>961</v>
      </c>
      <c r="C136" s="299" t="s">
        <v>962</v>
      </c>
      <c r="D136" s="299">
        <v>90014</v>
      </c>
      <c r="E136" s="299" t="s">
        <v>963</v>
      </c>
      <c r="F136" s="299" t="s">
        <v>791</v>
      </c>
      <c r="G136" s="299" t="s">
        <v>421</v>
      </c>
      <c r="H136" s="299" t="s">
        <v>1153</v>
      </c>
    </row>
    <row r="137" spans="1:9">
      <c r="A137" s="299">
        <v>7621</v>
      </c>
      <c r="C137" s="299" t="s">
        <v>746</v>
      </c>
      <c r="D137" s="299">
        <v>59142</v>
      </c>
      <c r="E137" s="299" t="s">
        <v>747</v>
      </c>
      <c r="F137" s="299" t="s">
        <v>748</v>
      </c>
      <c r="G137" s="299" t="s">
        <v>859</v>
      </c>
      <c r="H137" s="299" t="s">
        <v>1154</v>
      </c>
      <c r="I137" s="299" t="s">
        <v>749</v>
      </c>
    </row>
    <row r="138" spans="1:9">
      <c r="A138" s="299">
        <v>6545</v>
      </c>
      <c r="C138" s="299" t="s">
        <v>593</v>
      </c>
      <c r="D138" s="299">
        <v>75800</v>
      </c>
      <c r="E138" s="299" t="s">
        <v>594</v>
      </c>
      <c r="F138" s="299" t="s">
        <v>844</v>
      </c>
      <c r="G138" s="299" t="s">
        <v>595</v>
      </c>
      <c r="H138" s="299" t="s">
        <v>1155</v>
      </c>
      <c r="I138" s="299" t="s">
        <v>596</v>
      </c>
    </row>
    <row r="139" spans="1:9">
      <c r="A139" s="299">
        <v>7625</v>
      </c>
      <c r="C139" s="299" t="s">
        <v>750</v>
      </c>
      <c r="D139" s="299">
        <v>49450</v>
      </c>
      <c r="E139" s="299" t="s">
        <v>751</v>
      </c>
      <c r="F139" s="299" t="s">
        <v>868</v>
      </c>
      <c r="G139" s="299" t="s">
        <v>859</v>
      </c>
      <c r="H139" s="299" t="s">
        <v>1156</v>
      </c>
      <c r="I139" s="299" t="s">
        <v>752</v>
      </c>
    </row>
    <row r="140" spans="1:9">
      <c r="A140" s="299">
        <v>6548</v>
      </c>
      <c r="C140" s="299" t="s">
        <v>597</v>
      </c>
      <c r="D140" s="299">
        <v>10001</v>
      </c>
      <c r="E140" s="299" t="s">
        <v>598</v>
      </c>
      <c r="F140" s="299" t="s">
        <v>793</v>
      </c>
      <c r="G140" s="299" t="s">
        <v>421</v>
      </c>
      <c r="H140" s="299" t="s">
        <v>1082</v>
      </c>
      <c r="I140" s="299" t="s">
        <v>599</v>
      </c>
    </row>
    <row r="141" spans="1:9">
      <c r="A141" s="299">
        <v>6561</v>
      </c>
      <c r="C141" s="299" t="s">
        <v>600</v>
      </c>
      <c r="D141" s="299">
        <v>92780</v>
      </c>
      <c r="E141" s="299" t="s">
        <v>846</v>
      </c>
      <c r="F141" s="299" t="s">
        <v>847</v>
      </c>
      <c r="G141" s="299" t="s">
        <v>421</v>
      </c>
      <c r="H141" s="299" t="s">
        <v>1131</v>
      </c>
      <c r="I141" s="299" t="s">
        <v>1190</v>
      </c>
    </row>
    <row r="142" spans="1:9">
      <c r="A142" s="299" t="s">
        <v>985</v>
      </c>
      <c r="C142" s="299" t="s">
        <v>986</v>
      </c>
      <c r="D142" s="299">
        <v>92780</v>
      </c>
      <c r="E142" s="299" t="s">
        <v>1038</v>
      </c>
      <c r="F142" s="299" t="s">
        <v>847</v>
      </c>
      <c r="G142" s="299" t="s">
        <v>421</v>
      </c>
      <c r="H142" s="299" t="s">
        <v>634</v>
      </c>
    </row>
    <row r="143" spans="1:9">
      <c r="A143" s="299" t="s">
        <v>887</v>
      </c>
      <c r="C143" s="299" t="s">
        <v>888</v>
      </c>
      <c r="D143" s="299">
        <v>35603</v>
      </c>
      <c r="E143" s="299" t="s">
        <v>1007</v>
      </c>
      <c r="F143" s="299" t="s">
        <v>1008</v>
      </c>
      <c r="G143" s="299" t="s">
        <v>858</v>
      </c>
      <c r="H143" s="299" t="s">
        <v>1157</v>
      </c>
    </row>
    <row r="144" spans="1:9">
      <c r="A144" s="299">
        <v>7728</v>
      </c>
      <c r="C144" s="299" t="s">
        <v>753</v>
      </c>
      <c r="D144" s="299">
        <v>75006</v>
      </c>
      <c r="E144" s="299" t="s">
        <v>754</v>
      </c>
      <c r="F144" s="299" t="s">
        <v>651</v>
      </c>
      <c r="G144" s="299" t="s">
        <v>859</v>
      </c>
      <c r="H144" s="299" t="s">
        <v>1158</v>
      </c>
      <c r="I144" s="299" t="s">
        <v>755</v>
      </c>
    </row>
    <row r="145" spans="1:9">
      <c r="A145" s="299">
        <v>6568</v>
      </c>
      <c r="C145" s="299" t="s">
        <v>601</v>
      </c>
      <c r="D145" s="299">
        <v>10017</v>
      </c>
      <c r="E145" s="299" t="s">
        <v>2774</v>
      </c>
      <c r="F145" s="299" t="s">
        <v>793</v>
      </c>
      <c r="G145" s="299" t="s">
        <v>421</v>
      </c>
      <c r="H145" s="299" t="s">
        <v>2773</v>
      </c>
      <c r="I145" s="299" t="s">
        <v>602</v>
      </c>
    </row>
    <row r="146" spans="1:9">
      <c r="A146" s="299">
        <v>7733</v>
      </c>
      <c r="C146" s="299" t="s">
        <v>756</v>
      </c>
      <c r="D146" s="299">
        <v>75002</v>
      </c>
      <c r="E146" s="299" t="s">
        <v>757</v>
      </c>
      <c r="F146" s="299" t="s">
        <v>651</v>
      </c>
      <c r="G146" s="299" t="s">
        <v>859</v>
      </c>
      <c r="H146" s="299" t="s">
        <v>1159</v>
      </c>
      <c r="I146" s="299" t="s">
        <v>756</v>
      </c>
    </row>
    <row r="147" spans="1:9">
      <c r="A147" s="299">
        <v>6581</v>
      </c>
      <c r="C147" s="299" t="s">
        <v>603</v>
      </c>
      <c r="D147" s="299">
        <v>91106</v>
      </c>
      <c r="E147" s="299" t="s">
        <v>604</v>
      </c>
      <c r="F147" s="299" t="s">
        <v>848</v>
      </c>
      <c r="G147" s="299" t="s">
        <v>421</v>
      </c>
    </row>
    <row r="148" spans="1:9">
      <c r="A148" s="299">
        <v>6582</v>
      </c>
      <c r="C148" s="299" t="s">
        <v>605</v>
      </c>
      <c r="E148" s="299" t="s">
        <v>606</v>
      </c>
      <c r="F148" s="299" t="s">
        <v>452</v>
      </c>
      <c r="G148" s="299" t="s">
        <v>270</v>
      </c>
      <c r="H148" s="299" t="s">
        <v>1083</v>
      </c>
      <c r="I148" s="299" t="s">
        <v>607</v>
      </c>
    </row>
    <row r="149" spans="1:9">
      <c r="A149" s="299">
        <v>6601</v>
      </c>
      <c r="C149" s="299" t="s">
        <v>608</v>
      </c>
      <c r="D149" s="299">
        <v>90502</v>
      </c>
      <c r="E149" s="299" t="s">
        <v>609</v>
      </c>
      <c r="F149" s="299" t="s">
        <v>850</v>
      </c>
      <c r="G149" s="299" t="s">
        <v>421</v>
      </c>
      <c r="H149" s="299" t="s">
        <v>1084</v>
      </c>
      <c r="I149" s="299" t="s">
        <v>610</v>
      </c>
    </row>
    <row r="150" spans="1:9">
      <c r="A150" s="299">
        <v>6602</v>
      </c>
      <c r="C150" s="299" t="s">
        <v>611</v>
      </c>
      <c r="D150" s="300" t="s">
        <v>849</v>
      </c>
      <c r="E150" s="299" t="s">
        <v>612</v>
      </c>
      <c r="F150" s="299" t="s">
        <v>851</v>
      </c>
      <c r="G150" s="299" t="s">
        <v>421</v>
      </c>
      <c r="H150" s="299" t="s">
        <v>1085</v>
      </c>
      <c r="I150" s="299" t="s">
        <v>613</v>
      </c>
    </row>
    <row r="151" spans="1:9">
      <c r="A151" s="299">
        <v>7764</v>
      </c>
      <c r="C151" s="299" t="s">
        <v>758</v>
      </c>
      <c r="D151" s="299">
        <v>62520</v>
      </c>
      <c r="E151" s="299" t="s">
        <v>759</v>
      </c>
      <c r="F151" s="299" t="s">
        <v>760</v>
      </c>
      <c r="G151" s="299" t="s">
        <v>867</v>
      </c>
    </row>
    <row r="152" spans="1:9">
      <c r="A152" s="299" t="s">
        <v>982</v>
      </c>
      <c r="C152" s="299" t="s">
        <v>983</v>
      </c>
      <c r="D152" s="299">
        <v>312400</v>
      </c>
      <c r="E152" s="299" t="s">
        <v>984</v>
      </c>
      <c r="F152" s="299" t="s">
        <v>1037</v>
      </c>
      <c r="G152" s="299" t="s">
        <v>270</v>
      </c>
      <c r="H152" s="299" t="s">
        <v>1083</v>
      </c>
    </row>
    <row r="153" spans="1:9">
      <c r="A153" s="299">
        <v>6610</v>
      </c>
      <c r="C153" s="299" t="s">
        <v>854</v>
      </c>
      <c r="D153" s="299">
        <v>518100</v>
      </c>
      <c r="E153" s="299" t="s">
        <v>853</v>
      </c>
      <c r="F153" s="299" t="s">
        <v>852</v>
      </c>
      <c r="G153" s="299" t="s">
        <v>270</v>
      </c>
      <c r="H153" s="299" t="s">
        <v>1086</v>
      </c>
    </row>
    <row r="154" spans="1:9">
      <c r="A154" s="299" t="s">
        <v>969</v>
      </c>
      <c r="C154" s="299" t="s">
        <v>970</v>
      </c>
      <c r="D154" s="299">
        <v>10018</v>
      </c>
      <c r="E154" s="299" t="s">
        <v>1033</v>
      </c>
      <c r="F154" s="299" t="s">
        <v>793</v>
      </c>
      <c r="G154" s="299" t="s">
        <v>421</v>
      </c>
      <c r="H154" s="299" t="s">
        <v>1160</v>
      </c>
    </row>
    <row r="155" spans="1:9">
      <c r="A155" s="299" t="s">
        <v>971</v>
      </c>
      <c r="C155" s="299" t="s">
        <v>972</v>
      </c>
      <c r="D155" s="299">
        <v>700046</v>
      </c>
      <c r="E155" s="299" t="s">
        <v>973</v>
      </c>
      <c r="F155" s="299" t="s">
        <v>1035</v>
      </c>
      <c r="G155" s="299" t="s">
        <v>974</v>
      </c>
      <c r="H155" s="299" t="s">
        <v>1146</v>
      </c>
    </row>
    <row r="156" spans="1:9">
      <c r="C156" s="299" t="s">
        <v>1187</v>
      </c>
      <c r="D156" s="299">
        <v>10018</v>
      </c>
      <c r="E156" s="299" t="s">
        <v>1188</v>
      </c>
      <c r="F156" s="299" t="s">
        <v>793</v>
      </c>
      <c r="G156" s="299" t="s">
        <v>421</v>
      </c>
      <c r="H156" s="299" t="s">
        <v>1189</v>
      </c>
      <c r="I156" s="299" t="s">
        <v>375</v>
      </c>
    </row>
    <row r="157" spans="1:9">
      <c r="A157" s="299">
        <v>6629</v>
      </c>
      <c r="C157" s="299" t="s">
        <v>614</v>
      </c>
      <c r="D157" s="299">
        <v>34406</v>
      </c>
      <c r="E157" s="299" t="s">
        <v>615</v>
      </c>
      <c r="F157" s="299" t="s">
        <v>855</v>
      </c>
      <c r="G157" s="299" t="s">
        <v>616</v>
      </c>
      <c r="H157" s="299" t="s">
        <v>1087</v>
      </c>
      <c r="I157" s="299" t="s">
        <v>617</v>
      </c>
    </row>
    <row r="158" spans="1:9">
      <c r="A158" s="299">
        <v>6631</v>
      </c>
      <c r="C158" s="299" t="s">
        <v>618</v>
      </c>
      <c r="D158" s="299">
        <v>90049</v>
      </c>
      <c r="E158" s="299" t="s">
        <v>619</v>
      </c>
      <c r="F158" s="299" t="s">
        <v>791</v>
      </c>
      <c r="G158" s="299" t="s">
        <v>421</v>
      </c>
      <c r="I158" s="299" t="s">
        <v>620</v>
      </c>
    </row>
    <row r="159" spans="1:9">
      <c r="A159" s="299">
        <v>7807</v>
      </c>
      <c r="C159" s="299" t="s">
        <v>883</v>
      </c>
      <c r="D159" s="299" t="s">
        <v>878</v>
      </c>
      <c r="E159" s="299" t="s">
        <v>875</v>
      </c>
      <c r="F159" s="299" t="s">
        <v>876</v>
      </c>
      <c r="G159" s="299" t="s">
        <v>1022</v>
      </c>
      <c r="H159" s="299" t="s">
        <v>1088</v>
      </c>
      <c r="I159" s="299" t="s">
        <v>879</v>
      </c>
    </row>
    <row r="160" spans="1:9">
      <c r="A160" s="299" t="s">
        <v>912</v>
      </c>
      <c r="C160" s="299" t="s">
        <v>913</v>
      </c>
      <c r="D160" s="299">
        <v>6560108</v>
      </c>
      <c r="E160" s="299" t="s">
        <v>914</v>
      </c>
      <c r="F160" s="299" t="s">
        <v>1020</v>
      </c>
      <c r="G160" s="299" t="s">
        <v>1021</v>
      </c>
      <c r="H160" s="299" t="s">
        <v>1063</v>
      </c>
    </row>
    <row r="161" spans="1:10">
      <c r="A161" s="299">
        <v>7808</v>
      </c>
      <c r="C161" s="299" t="s">
        <v>761</v>
      </c>
      <c r="D161" s="299">
        <v>2010</v>
      </c>
      <c r="E161" s="299" t="s">
        <v>881</v>
      </c>
      <c r="F161" s="299" t="s">
        <v>882</v>
      </c>
      <c r="G161" s="299" t="s">
        <v>880</v>
      </c>
      <c r="H161" s="299" t="s">
        <v>1161</v>
      </c>
      <c r="I161" s="299" t="s">
        <v>762</v>
      </c>
    </row>
    <row r="162" spans="1:10">
      <c r="A162" s="299">
        <v>6651</v>
      </c>
      <c r="C162" s="299" t="s">
        <v>621</v>
      </c>
      <c r="D162" s="299">
        <v>90021</v>
      </c>
      <c r="E162" s="299" t="s">
        <v>622</v>
      </c>
      <c r="F162" s="299" t="s">
        <v>791</v>
      </c>
      <c r="G162" s="299" t="s">
        <v>421</v>
      </c>
      <c r="H162" s="299" t="s">
        <v>1089</v>
      </c>
    </row>
    <row r="163" spans="1:10">
      <c r="A163" s="299">
        <v>7811</v>
      </c>
      <c r="C163" s="299" t="s">
        <v>763</v>
      </c>
      <c r="D163" s="299">
        <v>75017</v>
      </c>
      <c r="E163" s="299" t="s">
        <v>764</v>
      </c>
      <c r="F163" s="299" t="s">
        <v>651</v>
      </c>
      <c r="G163" s="299" t="s">
        <v>859</v>
      </c>
      <c r="H163" s="299" t="s">
        <v>1162</v>
      </c>
      <c r="I163" s="299" t="s">
        <v>765</v>
      </c>
    </row>
    <row r="164" spans="1:10">
      <c r="A164" s="299">
        <v>6652</v>
      </c>
      <c r="C164" s="299" t="s">
        <v>623</v>
      </c>
      <c r="D164" s="299">
        <v>10014</v>
      </c>
      <c r="E164" s="299" t="s">
        <v>624</v>
      </c>
      <c r="F164" s="299" t="s">
        <v>793</v>
      </c>
      <c r="G164" s="299" t="s">
        <v>421</v>
      </c>
      <c r="H164" s="299" t="s">
        <v>1090</v>
      </c>
      <c r="I164" s="299" t="s">
        <v>626</v>
      </c>
    </row>
    <row r="165" spans="1:10">
      <c r="A165" s="299">
        <v>6661</v>
      </c>
      <c r="C165" s="299" t="s">
        <v>627</v>
      </c>
      <c r="D165" s="299">
        <v>11201</v>
      </c>
      <c r="E165" s="299" t="s">
        <v>628</v>
      </c>
      <c r="F165" s="299" t="s">
        <v>814</v>
      </c>
      <c r="G165" s="299" t="s">
        <v>421</v>
      </c>
      <c r="H165" s="299" t="s">
        <v>1091</v>
      </c>
      <c r="I165" s="299" t="s">
        <v>627</v>
      </c>
    </row>
    <row r="166" spans="1:10">
      <c r="A166" s="299">
        <v>6662</v>
      </c>
      <c r="C166" s="299" t="s">
        <v>629</v>
      </c>
      <c r="D166" s="299">
        <v>10011</v>
      </c>
      <c r="E166" s="299" t="s">
        <v>630</v>
      </c>
      <c r="F166" s="299" t="s">
        <v>793</v>
      </c>
      <c r="G166" s="299" t="s">
        <v>421</v>
      </c>
      <c r="H166" s="299" t="s">
        <v>1092</v>
      </c>
      <c r="I166" s="299" t="s">
        <v>631</v>
      </c>
    </row>
    <row r="167" spans="1:10">
      <c r="A167" s="299">
        <v>6665</v>
      </c>
      <c r="C167" s="299" t="s">
        <v>632</v>
      </c>
      <c r="E167" s="299" t="s">
        <v>633</v>
      </c>
      <c r="F167" s="299" t="s">
        <v>856</v>
      </c>
      <c r="G167" s="299" t="s">
        <v>270</v>
      </c>
      <c r="H167" s="299" t="s">
        <v>634</v>
      </c>
    </row>
    <row r="168" spans="1:10">
      <c r="A168" s="299">
        <v>6666</v>
      </c>
      <c r="C168" s="299" t="s">
        <v>635</v>
      </c>
      <c r="D168" s="299">
        <v>10013</v>
      </c>
      <c r="E168" s="299" t="s">
        <v>636</v>
      </c>
      <c r="F168" s="299" t="s">
        <v>793</v>
      </c>
      <c r="G168" s="299" t="s">
        <v>421</v>
      </c>
      <c r="J168" s="299" t="s">
        <v>1852</v>
      </c>
    </row>
    <row r="169" spans="1:10">
      <c r="A169" s="299">
        <v>6695</v>
      </c>
      <c r="C169" s="299" t="s">
        <v>637</v>
      </c>
      <c r="D169" s="299">
        <v>10012</v>
      </c>
      <c r="E169" s="299" t="s">
        <v>638</v>
      </c>
      <c r="F169" s="299" t="s">
        <v>581</v>
      </c>
      <c r="G169" s="299" t="s">
        <v>421</v>
      </c>
      <c r="H169" s="299" t="s">
        <v>1093</v>
      </c>
      <c r="I169" s="299" t="s">
        <v>639</v>
      </c>
    </row>
    <row r="170" spans="1:10">
      <c r="A170" s="299">
        <v>6705</v>
      </c>
      <c r="C170" s="299" t="s">
        <v>640</v>
      </c>
      <c r="D170" s="299">
        <v>10014</v>
      </c>
      <c r="E170" s="299" t="s">
        <v>641</v>
      </c>
      <c r="F170" s="299" t="s">
        <v>625</v>
      </c>
      <c r="G170" s="299" t="s">
        <v>421</v>
      </c>
      <c r="H170" s="299" t="s">
        <v>1100</v>
      </c>
      <c r="I170" s="299" t="s">
        <v>642</v>
      </c>
    </row>
    <row r="171" spans="1:10">
      <c r="A171" s="299">
        <v>7841</v>
      </c>
      <c r="C171" s="299" t="s">
        <v>766</v>
      </c>
      <c r="D171" s="299">
        <v>75002</v>
      </c>
      <c r="E171" s="299" t="s">
        <v>767</v>
      </c>
      <c r="F171" s="299" t="s">
        <v>651</v>
      </c>
      <c r="G171" s="299" t="s">
        <v>859</v>
      </c>
      <c r="H171" s="299" t="s">
        <v>1163</v>
      </c>
      <c r="I171" s="299" t="s">
        <v>768</v>
      </c>
    </row>
    <row r="172" spans="1:10">
      <c r="A172" s="299">
        <v>6727</v>
      </c>
      <c r="C172" s="299" t="s">
        <v>643</v>
      </c>
      <c r="D172" s="299">
        <v>10010</v>
      </c>
      <c r="E172" s="299" t="s">
        <v>644</v>
      </c>
      <c r="F172" s="299" t="s">
        <v>645</v>
      </c>
      <c r="G172" s="299" t="s">
        <v>421</v>
      </c>
    </row>
    <row r="173" spans="1:10">
      <c r="A173" s="299" t="s">
        <v>1002</v>
      </c>
      <c r="C173" s="299" t="s">
        <v>1003</v>
      </c>
      <c r="D173" s="299">
        <v>33414</v>
      </c>
      <c r="E173" s="299" t="s">
        <v>1004</v>
      </c>
      <c r="F173" s="299" t="s">
        <v>1042</v>
      </c>
      <c r="G173" s="299" t="s">
        <v>421</v>
      </c>
    </row>
    <row r="174" spans="1:10">
      <c r="A174" s="299">
        <v>7847</v>
      </c>
      <c r="C174" s="299" t="s">
        <v>769</v>
      </c>
      <c r="D174" s="299">
        <v>75012</v>
      </c>
      <c r="E174" s="299" t="s">
        <v>770</v>
      </c>
      <c r="F174" s="299" t="s">
        <v>866</v>
      </c>
      <c r="G174" s="299" t="s">
        <v>859</v>
      </c>
      <c r="H174" s="299" t="s">
        <v>1164</v>
      </c>
      <c r="I174" s="299" t="s">
        <v>771</v>
      </c>
    </row>
    <row r="175" spans="1:10">
      <c r="A175" s="299">
        <v>6733</v>
      </c>
      <c r="C175" s="299" t="s">
        <v>646</v>
      </c>
      <c r="E175" s="299" t="s">
        <v>647</v>
      </c>
      <c r="F175" s="299" t="s">
        <v>857</v>
      </c>
      <c r="G175" s="299" t="s">
        <v>270</v>
      </c>
      <c r="H175" s="299" t="s">
        <v>1094</v>
      </c>
      <c r="I175" s="299" t="s">
        <v>648</v>
      </c>
    </row>
    <row r="176" spans="1:10">
      <c r="A176" s="299" t="s">
        <v>895</v>
      </c>
      <c r="C176" s="299" t="s">
        <v>896</v>
      </c>
      <c r="E176" s="299" t="s">
        <v>897</v>
      </c>
      <c r="F176" s="299" t="s">
        <v>1011</v>
      </c>
      <c r="G176" s="299" t="s">
        <v>1012</v>
      </c>
    </row>
    <row r="177" spans="1:9">
      <c r="A177" s="299" t="s">
        <v>925</v>
      </c>
      <c r="C177" s="299" t="s">
        <v>926</v>
      </c>
      <c r="D177" s="299">
        <v>52100</v>
      </c>
      <c r="E177" s="299" t="s">
        <v>927</v>
      </c>
      <c r="F177" s="299" t="s">
        <v>928</v>
      </c>
      <c r="G177" s="299" t="s">
        <v>270</v>
      </c>
      <c r="H177" s="299" t="s">
        <v>1097</v>
      </c>
    </row>
    <row r="178" spans="1:9">
      <c r="A178" s="299" t="s">
        <v>964</v>
      </c>
      <c r="C178" s="299" t="s">
        <v>965</v>
      </c>
      <c r="D178" s="299">
        <v>3111108</v>
      </c>
      <c r="E178" s="299" t="s">
        <v>966</v>
      </c>
      <c r="F178" s="299" t="s">
        <v>1032</v>
      </c>
      <c r="G178" s="299" t="s">
        <v>270</v>
      </c>
      <c r="H178" s="299" t="s">
        <v>578</v>
      </c>
    </row>
    <row r="179" spans="1:9">
      <c r="A179" s="299">
        <v>7921</v>
      </c>
      <c r="C179" s="299" t="s">
        <v>772</v>
      </c>
      <c r="D179" s="299">
        <v>75010</v>
      </c>
      <c r="E179" s="299" t="s">
        <v>773</v>
      </c>
      <c r="F179" s="299" t="s">
        <v>651</v>
      </c>
      <c r="G179" s="299" t="s">
        <v>859</v>
      </c>
      <c r="H179" s="299" t="s">
        <v>1165</v>
      </c>
      <c r="I179" s="299" t="s">
        <v>774</v>
      </c>
    </row>
    <row r="180" spans="1:9">
      <c r="A180" s="299">
        <v>7961</v>
      </c>
      <c r="C180" s="299" t="s">
        <v>775</v>
      </c>
      <c r="D180" s="299">
        <v>75010</v>
      </c>
      <c r="E180" s="299" t="s">
        <v>776</v>
      </c>
      <c r="F180" s="299" t="s">
        <v>777</v>
      </c>
      <c r="G180" s="299" t="s">
        <v>859</v>
      </c>
      <c r="H180" s="299" t="s">
        <v>1860</v>
      </c>
      <c r="I180" s="299" t="s">
        <v>778</v>
      </c>
    </row>
  </sheetData>
  <autoFilter ref="A1:J185" xr:uid="{00000000-0001-0000-0100-000000000000}">
    <sortState xmlns:xlrd2="http://schemas.microsoft.com/office/spreadsheetml/2017/richdata2" ref="A2:J185">
      <sortCondition ref="C1:C185"/>
    </sortState>
  </autoFilter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CE719-EB6D-43A9-A2B3-8D661D02D0BE}">
  <sheetPr codeName="Sheet10"/>
  <dimension ref="A1:I139"/>
  <sheetViews>
    <sheetView workbookViewId="0">
      <selection activeCell="A9" sqref="A9:G9"/>
    </sheetView>
  </sheetViews>
  <sheetFormatPr defaultColWidth="9" defaultRowHeight="15"/>
  <cols>
    <col min="1" max="1" width="13.125" style="297" customWidth="1"/>
    <col min="2" max="2" width="29" style="297" bestFit="1" customWidth="1"/>
    <col min="3" max="3" width="9" style="297"/>
    <col min="4" max="4" width="39.75" style="297" bestFit="1" customWidth="1"/>
    <col min="5" max="5" width="24.5" style="297" bestFit="1" customWidth="1"/>
    <col min="6" max="7" width="12.625" style="297" bestFit="1" customWidth="1"/>
    <col min="8" max="16384" width="9" style="297"/>
  </cols>
  <sheetData>
    <row r="1" spans="1:9" ht="18.75">
      <c r="A1" s="297" t="s">
        <v>1743</v>
      </c>
      <c r="B1" s="297" t="s">
        <v>1740</v>
      </c>
      <c r="C1" s="297" t="s">
        <v>1744</v>
      </c>
      <c r="D1" s="297" t="s">
        <v>1745</v>
      </c>
      <c r="E1" s="297" t="s">
        <v>1746</v>
      </c>
      <c r="F1" s="297" t="s">
        <v>1741</v>
      </c>
      <c r="G1" s="297" t="s">
        <v>1742</v>
      </c>
      <c r="H1" s="304" t="s">
        <v>1200</v>
      </c>
      <c r="I1" s="304" t="s">
        <v>1202</v>
      </c>
    </row>
    <row r="2" spans="1:9">
      <c r="A2" s="297">
        <v>13</v>
      </c>
      <c r="B2" s="297" t="s">
        <v>1500</v>
      </c>
      <c r="D2" s="297" t="s">
        <v>1501</v>
      </c>
    </row>
    <row r="3" spans="1:9">
      <c r="A3" s="297">
        <v>17</v>
      </c>
      <c r="B3" s="297" t="s">
        <v>1502</v>
      </c>
      <c r="C3" s="297" t="s">
        <v>1206</v>
      </c>
      <c r="D3" s="297" t="s">
        <v>1503</v>
      </c>
      <c r="F3" s="297" t="s">
        <v>1207</v>
      </c>
      <c r="G3" s="297" t="s">
        <v>1208</v>
      </c>
    </row>
    <row r="4" spans="1:9">
      <c r="A4" s="297">
        <v>18</v>
      </c>
      <c r="B4" s="297" t="s">
        <v>1504</v>
      </c>
      <c r="C4" s="297" t="s">
        <v>1209</v>
      </c>
      <c r="D4" s="297" t="s">
        <v>1505</v>
      </c>
      <c r="F4" s="297" t="s">
        <v>1210</v>
      </c>
      <c r="G4" s="297" t="s">
        <v>1211</v>
      </c>
    </row>
    <row r="5" spans="1:9">
      <c r="A5" s="297">
        <v>20</v>
      </c>
      <c r="B5" s="297" t="s">
        <v>1506</v>
      </c>
      <c r="C5" s="297" t="s">
        <v>1212</v>
      </c>
      <c r="D5" s="297" t="s">
        <v>1507</v>
      </c>
      <c r="F5" s="297" t="s">
        <v>1213</v>
      </c>
      <c r="G5" s="297" t="s">
        <v>1214</v>
      </c>
    </row>
    <row r="6" spans="1:9">
      <c r="A6" s="297">
        <v>30</v>
      </c>
      <c r="B6" s="297" t="s">
        <v>1508</v>
      </c>
      <c r="C6" s="297" t="s">
        <v>1215</v>
      </c>
      <c r="D6" s="297" t="s">
        <v>1509</v>
      </c>
      <c r="E6" s="297" t="s">
        <v>1216</v>
      </c>
      <c r="F6" s="297" t="s">
        <v>1217</v>
      </c>
      <c r="G6" s="297" t="s">
        <v>1218</v>
      </c>
    </row>
    <row r="7" spans="1:9">
      <c r="A7" s="297">
        <v>31</v>
      </c>
      <c r="B7" s="297" t="s">
        <v>1510</v>
      </c>
      <c r="C7" s="297" t="s">
        <v>1219</v>
      </c>
      <c r="D7" s="297" t="s">
        <v>1511</v>
      </c>
      <c r="F7" s="297" t="s">
        <v>1220</v>
      </c>
      <c r="G7" s="297" t="s">
        <v>1221</v>
      </c>
    </row>
    <row r="8" spans="1:9">
      <c r="A8" s="297">
        <v>35</v>
      </c>
      <c r="B8" s="297" t="s">
        <v>1512</v>
      </c>
      <c r="C8" s="297" t="s">
        <v>1222</v>
      </c>
      <c r="D8" s="297" t="s">
        <v>1513</v>
      </c>
      <c r="F8" s="297" t="s">
        <v>1223</v>
      </c>
      <c r="G8" s="297" t="s">
        <v>1224</v>
      </c>
    </row>
    <row r="9" spans="1:9">
      <c r="A9" s="297">
        <v>36</v>
      </c>
      <c r="B9" s="297" t="s">
        <v>1514</v>
      </c>
      <c r="C9" s="297" t="s">
        <v>1225</v>
      </c>
      <c r="D9" s="297" t="s">
        <v>1515</v>
      </c>
      <c r="F9" s="297" t="s">
        <v>1226</v>
      </c>
      <c r="G9" s="297" t="s">
        <v>1227</v>
      </c>
    </row>
    <row r="10" spans="1:9">
      <c r="A10" s="297">
        <v>37</v>
      </c>
      <c r="B10" s="297" t="s">
        <v>1516</v>
      </c>
      <c r="C10" s="297" t="s">
        <v>1225</v>
      </c>
      <c r="D10" s="297" t="s">
        <v>1517</v>
      </c>
      <c r="F10" s="297" t="s">
        <v>1228</v>
      </c>
      <c r="G10" s="297" t="s">
        <v>1229</v>
      </c>
    </row>
    <row r="11" spans="1:9">
      <c r="A11" s="297">
        <v>38</v>
      </c>
      <c r="B11" s="297" t="s">
        <v>1518</v>
      </c>
      <c r="C11" s="297" t="s">
        <v>1230</v>
      </c>
      <c r="D11" s="297" t="s">
        <v>1519</v>
      </c>
      <c r="F11" s="297" t="s">
        <v>1231</v>
      </c>
      <c r="G11" s="297" t="s">
        <v>1232</v>
      </c>
    </row>
    <row r="12" spans="1:9">
      <c r="A12" s="297">
        <v>40</v>
      </c>
      <c r="B12" s="297" t="s">
        <v>1233</v>
      </c>
      <c r="C12" s="297" t="s">
        <v>1234</v>
      </c>
      <c r="D12" s="297" t="s">
        <v>1520</v>
      </c>
      <c r="F12" s="297" t="s">
        <v>1235</v>
      </c>
      <c r="G12" s="297" t="s">
        <v>1236</v>
      </c>
    </row>
    <row r="13" spans="1:9">
      <c r="A13" s="297">
        <v>46</v>
      </c>
      <c r="B13" s="297" t="s">
        <v>1521</v>
      </c>
      <c r="C13" s="297" t="s">
        <v>1237</v>
      </c>
      <c r="D13" s="297" t="s">
        <v>1522</v>
      </c>
      <c r="F13" s="297" t="s">
        <v>1238</v>
      </c>
      <c r="G13" s="297" t="s">
        <v>1239</v>
      </c>
    </row>
    <row r="14" spans="1:9">
      <c r="A14" s="297">
        <v>47</v>
      </c>
      <c r="B14" s="297" t="s">
        <v>1523</v>
      </c>
      <c r="C14" s="297" t="s">
        <v>1240</v>
      </c>
      <c r="D14" s="796" t="s">
        <v>2877</v>
      </c>
      <c r="F14" s="297" t="s">
        <v>1241</v>
      </c>
      <c r="G14" s="297" t="s">
        <v>1242</v>
      </c>
    </row>
    <row r="15" spans="1:9">
      <c r="A15" s="297">
        <v>51</v>
      </c>
      <c r="B15" s="297" t="s">
        <v>1524</v>
      </c>
    </row>
    <row r="16" spans="1:9">
      <c r="A16" s="297">
        <v>62</v>
      </c>
      <c r="B16" s="297" t="s">
        <v>1525</v>
      </c>
      <c r="C16" s="297" t="s">
        <v>1243</v>
      </c>
      <c r="D16" s="297" t="s">
        <v>1526</v>
      </c>
      <c r="F16" s="297" t="s">
        <v>1244</v>
      </c>
      <c r="G16" s="297" t="s">
        <v>1245</v>
      </c>
    </row>
    <row r="17" spans="1:7">
      <c r="A17" s="297">
        <v>64</v>
      </c>
      <c r="B17" s="297" t="s">
        <v>1527</v>
      </c>
      <c r="C17" s="297" t="s">
        <v>1246</v>
      </c>
      <c r="D17" s="297" t="s">
        <v>1528</v>
      </c>
      <c r="E17" s="297" t="s">
        <v>1529</v>
      </c>
      <c r="F17" s="297" t="s">
        <v>1247</v>
      </c>
      <c r="G17" s="297" t="s">
        <v>1248</v>
      </c>
    </row>
    <row r="18" spans="1:7">
      <c r="A18" s="297">
        <v>65</v>
      </c>
      <c r="B18" s="297" t="s">
        <v>1530</v>
      </c>
      <c r="C18" s="297" t="s">
        <v>1249</v>
      </c>
      <c r="D18" s="297" t="s">
        <v>1531</v>
      </c>
      <c r="F18" s="297" t="s">
        <v>1250</v>
      </c>
      <c r="G18" s="297" t="s">
        <v>1251</v>
      </c>
    </row>
    <row r="19" spans="1:7">
      <c r="A19" s="297">
        <v>69</v>
      </c>
      <c r="B19" s="297" t="s">
        <v>1532</v>
      </c>
      <c r="C19" s="297" t="s">
        <v>1252</v>
      </c>
      <c r="D19" s="297" t="s">
        <v>1533</v>
      </c>
      <c r="E19" s="297" t="s">
        <v>1216</v>
      </c>
      <c r="F19" s="297" t="s">
        <v>1253</v>
      </c>
      <c r="G19" s="297" t="s">
        <v>1254</v>
      </c>
    </row>
    <row r="20" spans="1:7">
      <c r="A20" s="297">
        <v>79</v>
      </c>
      <c r="B20" s="297" t="s">
        <v>1534</v>
      </c>
    </row>
    <row r="21" spans="1:7">
      <c r="A21" s="297">
        <v>81</v>
      </c>
      <c r="B21" s="297" t="s">
        <v>1535</v>
      </c>
      <c r="C21" s="297" t="s">
        <v>1255</v>
      </c>
      <c r="D21" s="297" t="s">
        <v>1536</v>
      </c>
      <c r="F21" s="297" t="s">
        <v>1256</v>
      </c>
      <c r="G21" s="297" t="s">
        <v>1257</v>
      </c>
    </row>
    <row r="22" spans="1:7">
      <c r="A22" s="297">
        <v>83</v>
      </c>
      <c r="B22" s="297" t="s">
        <v>1537</v>
      </c>
      <c r="C22" s="297" t="s">
        <v>1258</v>
      </c>
      <c r="D22" s="297" t="s">
        <v>1538</v>
      </c>
      <c r="F22" s="297" t="s">
        <v>1259</v>
      </c>
      <c r="G22" s="297" t="s">
        <v>1260</v>
      </c>
    </row>
    <row r="23" spans="1:7">
      <c r="A23" s="297">
        <v>91</v>
      </c>
      <c r="B23" s="297" t="s">
        <v>1539</v>
      </c>
      <c r="C23" s="297" t="s">
        <v>1261</v>
      </c>
      <c r="D23" s="297" t="s">
        <v>1540</v>
      </c>
      <c r="F23" s="297" t="s">
        <v>1262</v>
      </c>
      <c r="G23" s="297" t="s">
        <v>1263</v>
      </c>
    </row>
    <row r="24" spans="1:7">
      <c r="A24" s="297">
        <v>95</v>
      </c>
      <c r="B24" s="297" t="s">
        <v>1541</v>
      </c>
      <c r="C24" s="297" t="s">
        <v>1264</v>
      </c>
      <c r="D24" s="297" t="s">
        <v>1542</v>
      </c>
      <c r="F24" s="297" t="s">
        <v>1265</v>
      </c>
      <c r="G24" s="297" t="s">
        <v>1266</v>
      </c>
    </row>
    <row r="25" spans="1:7">
      <c r="A25" s="297">
        <v>97</v>
      </c>
      <c r="B25" s="297" t="s">
        <v>1543</v>
      </c>
      <c r="D25" s="297" t="s">
        <v>1544</v>
      </c>
    </row>
    <row r="26" spans="1:7">
      <c r="A26" s="297">
        <v>104</v>
      </c>
      <c r="B26" s="297" t="s">
        <v>1545</v>
      </c>
      <c r="C26" s="297" t="s">
        <v>1267</v>
      </c>
      <c r="D26" s="297" t="s">
        <v>1546</v>
      </c>
      <c r="F26" s="297" t="s">
        <v>1268</v>
      </c>
      <c r="G26" s="297" t="s">
        <v>1269</v>
      </c>
    </row>
    <row r="27" spans="1:7">
      <c r="A27" s="297">
        <v>114</v>
      </c>
      <c r="B27" s="297" t="s">
        <v>1547</v>
      </c>
      <c r="C27" s="297" t="s">
        <v>1270</v>
      </c>
      <c r="D27" s="297" t="s">
        <v>1548</v>
      </c>
      <c r="F27" s="297" t="s">
        <v>1271</v>
      </c>
      <c r="G27" s="297" t="s">
        <v>1272</v>
      </c>
    </row>
    <row r="28" spans="1:7">
      <c r="A28" s="297">
        <v>115</v>
      </c>
      <c r="B28" s="297" t="s">
        <v>1549</v>
      </c>
      <c r="C28" s="297" t="s">
        <v>1273</v>
      </c>
      <c r="D28" s="297" t="s">
        <v>1550</v>
      </c>
      <c r="F28" s="297" t="s">
        <v>1274</v>
      </c>
      <c r="G28" s="297" t="s">
        <v>1275</v>
      </c>
    </row>
    <row r="29" spans="1:7">
      <c r="A29" s="297">
        <v>116</v>
      </c>
      <c r="B29" s="297" t="s">
        <v>1551</v>
      </c>
      <c r="C29" s="297" t="s">
        <v>1276</v>
      </c>
      <c r="D29" s="297" t="s">
        <v>1552</v>
      </c>
      <c r="F29" s="297" t="s">
        <v>1277</v>
      </c>
      <c r="G29" s="297" t="s">
        <v>1278</v>
      </c>
    </row>
    <row r="30" spans="1:7">
      <c r="A30" s="297">
        <v>120</v>
      </c>
      <c r="B30" s="297" t="s">
        <v>1553</v>
      </c>
      <c r="D30" s="297" t="s">
        <v>1554</v>
      </c>
    </row>
    <row r="31" spans="1:7">
      <c r="A31" s="297">
        <v>122</v>
      </c>
      <c r="B31" s="297" t="s">
        <v>1555</v>
      </c>
      <c r="D31" s="297" t="s">
        <v>1554</v>
      </c>
    </row>
    <row r="32" spans="1:7">
      <c r="A32" s="297">
        <v>127</v>
      </c>
      <c r="B32" s="297" t="s">
        <v>1556</v>
      </c>
      <c r="D32" s="297" t="s">
        <v>1557</v>
      </c>
      <c r="F32" s="297" t="s">
        <v>1279</v>
      </c>
      <c r="G32" s="297" t="s">
        <v>1280</v>
      </c>
    </row>
    <row r="33" spans="1:7">
      <c r="A33" s="297">
        <v>128</v>
      </c>
      <c r="B33" s="297" t="s">
        <v>1558</v>
      </c>
      <c r="C33" s="297" t="s">
        <v>1281</v>
      </c>
      <c r="D33" s="297" t="s">
        <v>1557</v>
      </c>
      <c r="F33" s="297" t="s">
        <v>1279</v>
      </c>
      <c r="G33" s="297" t="s">
        <v>1282</v>
      </c>
    </row>
    <row r="34" spans="1:7">
      <c r="A34" s="297">
        <v>129</v>
      </c>
      <c r="B34" s="297" t="s">
        <v>1559</v>
      </c>
      <c r="C34" s="297" t="s">
        <v>1283</v>
      </c>
      <c r="D34" s="297" t="s">
        <v>1560</v>
      </c>
      <c r="F34" s="297" t="s">
        <v>1284</v>
      </c>
      <c r="G34" s="297" t="s">
        <v>1285</v>
      </c>
    </row>
    <row r="35" spans="1:7">
      <c r="A35" s="297">
        <v>146</v>
      </c>
      <c r="B35" s="297" t="s">
        <v>1561</v>
      </c>
      <c r="C35" s="297" t="s">
        <v>1286</v>
      </c>
      <c r="D35" s="297" t="s">
        <v>1562</v>
      </c>
      <c r="F35" s="297" t="s">
        <v>1287</v>
      </c>
      <c r="G35" s="297" t="s">
        <v>1288</v>
      </c>
    </row>
    <row r="36" spans="1:7" ht="18.75">
      <c r="A36" s="297">
        <v>148</v>
      </c>
      <c r="B36" s="297" t="s">
        <v>1563</v>
      </c>
      <c r="C36" s="297" t="s">
        <v>2984</v>
      </c>
      <c r="D36" s="796" t="s">
        <v>2985</v>
      </c>
      <c r="F36" s="297" t="s">
        <v>1289</v>
      </c>
      <c r="G36" s="297" t="s">
        <v>1290</v>
      </c>
    </row>
    <row r="37" spans="1:7">
      <c r="A37" s="297">
        <v>151</v>
      </c>
      <c r="B37" s="297" t="s">
        <v>1564</v>
      </c>
      <c r="C37" s="297" t="s">
        <v>1291</v>
      </c>
      <c r="D37" s="297" t="s">
        <v>1565</v>
      </c>
      <c r="F37" s="297" t="s">
        <v>1292</v>
      </c>
      <c r="G37" s="297" t="s">
        <v>1293</v>
      </c>
    </row>
    <row r="38" spans="1:7">
      <c r="A38" s="297">
        <v>152</v>
      </c>
      <c r="B38" s="297" t="s">
        <v>1566</v>
      </c>
      <c r="C38" s="297" t="s">
        <v>1294</v>
      </c>
      <c r="D38" s="297" t="s">
        <v>1567</v>
      </c>
      <c r="F38" s="297" t="s">
        <v>1295</v>
      </c>
      <c r="G38" s="297" t="s">
        <v>1296</v>
      </c>
    </row>
    <row r="39" spans="1:7">
      <c r="A39" s="297">
        <v>157</v>
      </c>
      <c r="B39" s="297" t="s">
        <v>1568</v>
      </c>
      <c r="C39" s="297" t="s">
        <v>1264</v>
      </c>
      <c r="D39" s="297" t="s">
        <v>1569</v>
      </c>
      <c r="F39" s="297" t="s">
        <v>1297</v>
      </c>
      <c r="G39" s="297" t="s">
        <v>1298</v>
      </c>
    </row>
    <row r="40" spans="1:7">
      <c r="A40" s="297">
        <v>179</v>
      </c>
      <c r="B40" s="297" t="s">
        <v>1570</v>
      </c>
      <c r="D40" s="297" t="s">
        <v>1554</v>
      </c>
    </row>
    <row r="41" spans="1:7">
      <c r="A41" s="297">
        <v>180</v>
      </c>
      <c r="B41" s="297" t="s">
        <v>1571</v>
      </c>
      <c r="D41" s="297" t="s">
        <v>1572</v>
      </c>
      <c r="E41" s="297" t="s">
        <v>1573</v>
      </c>
    </row>
    <row r="42" spans="1:7">
      <c r="A42" s="297">
        <v>183</v>
      </c>
      <c r="B42" s="297" t="s">
        <v>1574</v>
      </c>
      <c r="C42" s="297" t="s">
        <v>1299</v>
      </c>
      <c r="D42" s="297" t="s">
        <v>1575</v>
      </c>
      <c r="F42" s="297" t="s">
        <v>1300</v>
      </c>
      <c r="G42" s="297" t="s">
        <v>1301</v>
      </c>
    </row>
    <row r="43" spans="1:7">
      <c r="A43" s="297">
        <v>188</v>
      </c>
      <c r="B43" s="297" t="s">
        <v>1576</v>
      </c>
      <c r="C43" s="297" t="s">
        <v>1302</v>
      </c>
      <c r="D43" s="297" t="s">
        <v>1577</v>
      </c>
      <c r="E43" s="297" t="s">
        <v>1578</v>
      </c>
      <c r="F43" s="297" t="s">
        <v>1303</v>
      </c>
      <c r="G43" s="297" t="s">
        <v>1304</v>
      </c>
    </row>
    <row r="44" spans="1:7">
      <c r="A44" s="297">
        <v>189</v>
      </c>
      <c r="B44" s="297" t="s">
        <v>1579</v>
      </c>
      <c r="D44" s="297" t="s">
        <v>1554</v>
      </c>
    </row>
    <row r="45" spans="1:7">
      <c r="A45" s="297">
        <v>197</v>
      </c>
      <c r="B45" s="297" t="s">
        <v>1580</v>
      </c>
      <c r="C45" s="297" t="s">
        <v>1305</v>
      </c>
      <c r="D45" s="297" t="s">
        <v>1581</v>
      </c>
      <c r="F45" s="297" t="s">
        <v>1306</v>
      </c>
      <c r="G45" s="297" t="s">
        <v>1307</v>
      </c>
    </row>
    <row r="46" spans="1:7">
      <c r="A46" s="297">
        <v>201</v>
      </c>
      <c r="B46" s="297" t="s">
        <v>1582</v>
      </c>
      <c r="C46" s="297" t="s">
        <v>1308</v>
      </c>
      <c r="D46" s="297" t="s">
        <v>1583</v>
      </c>
      <c r="F46" s="297" t="s">
        <v>1309</v>
      </c>
      <c r="G46" s="297" t="s">
        <v>1310</v>
      </c>
    </row>
    <row r="47" spans="1:7">
      <c r="A47" s="297">
        <v>202</v>
      </c>
      <c r="B47" s="297" t="s">
        <v>1582</v>
      </c>
      <c r="C47" s="297" t="s">
        <v>1308</v>
      </c>
      <c r="D47" s="297" t="s">
        <v>1583</v>
      </c>
      <c r="F47" s="297" t="s">
        <v>1309</v>
      </c>
      <c r="G47" s="297" t="s">
        <v>1310</v>
      </c>
    </row>
    <row r="48" spans="1:7">
      <c r="A48" s="297">
        <v>204</v>
      </c>
      <c r="B48" s="304" t="s">
        <v>1861</v>
      </c>
      <c r="C48" s="297" t="s">
        <v>1209</v>
      </c>
      <c r="D48" s="297" t="s">
        <v>1584</v>
      </c>
      <c r="E48" s="297" t="s">
        <v>1585</v>
      </c>
      <c r="F48" s="297" t="s">
        <v>1311</v>
      </c>
      <c r="G48" s="297" t="s">
        <v>1312</v>
      </c>
    </row>
    <row r="49" spans="1:7">
      <c r="A49" s="297">
        <v>221</v>
      </c>
      <c r="B49" s="297" t="s">
        <v>1586</v>
      </c>
      <c r="C49" s="297" t="s">
        <v>1313</v>
      </c>
      <c r="D49" s="297" t="s">
        <v>1587</v>
      </c>
      <c r="F49" s="297" t="s">
        <v>1314</v>
      </c>
      <c r="G49" s="297" t="s">
        <v>1315</v>
      </c>
    </row>
    <row r="50" spans="1:7">
      <c r="A50" s="297">
        <v>234</v>
      </c>
      <c r="B50" s="297" t="s">
        <v>1588</v>
      </c>
      <c r="C50" s="297" t="s">
        <v>1316</v>
      </c>
      <c r="D50" s="297" t="s">
        <v>1589</v>
      </c>
      <c r="F50" s="297" t="s">
        <v>1317</v>
      </c>
      <c r="G50" s="297" t="s">
        <v>1318</v>
      </c>
    </row>
    <row r="51" spans="1:7">
      <c r="A51" s="297">
        <v>239</v>
      </c>
      <c r="B51" s="297" t="s">
        <v>1590</v>
      </c>
      <c r="C51" s="297" t="s">
        <v>1319</v>
      </c>
      <c r="D51" s="297" t="s">
        <v>1591</v>
      </c>
      <c r="F51" s="297" t="s">
        <v>1320</v>
      </c>
      <c r="G51" s="297" t="s">
        <v>1321</v>
      </c>
    </row>
    <row r="52" spans="1:7">
      <c r="A52" s="297">
        <v>241</v>
      </c>
      <c r="B52" s="297" t="s">
        <v>1592</v>
      </c>
      <c r="C52" s="297" t="s">
        <v>1322</v>
      </c>
      <c r="D52" s="297" t="s">
        <v>1593</v>
      </c>
      <c r="F52" s="297" t="s">
        <v>1323</v>
      </c>
      <c r="G52" s="297" t="s">
        <v>1324</v>
      </c>
    </row>
    <row r="53" spans="1:7">
      <c r="A53" s="297">
        <v>245</v>
      </c>
      <c r="B53" s="297" t="s">
        <v>1594</v>
      </c>
      <c r="C53" s="297" t="s">
        <v>1325</v>
      </c>
      <c r="D53" s="297" t="s">
        <v>1595</v>
      </c>
      <c r="F53" s="297" t="s">
        <v>1326</v>
      </c>
      <c r="G53" s="297" t="s">
        <v>1327</v>
      </c>
    </row>
    <row r="54" spans="1:7">
      <c r="A54" s="297">
        <v>259</v>
      </c>
      <c r="B54" s="297" t="s">
        <v>1596</v>
      </c>
      <c r="C54" s="297" t="s">
        <v>1328</v>
      </c>
      <c r="D54" s="297" t="s">
        <v>1597</v>
      </c>
      <c r="F54" s="297" t="s">
        <v>1329</v>
      </c>
      <c r="G54" s="297" t="s">
        <v>1330</v>
      </c>
    </row>
    <row r="55" spans="1:7">
      <c r="A55" s="297">
        <v>265</v>
      </c>
      <c r="B55" s="297" t="s">
        <v>1598</v>
      </c>
      <c r="C55" s="297" t="s">
        <v>1331</v>
      </c>
      <c r="D55" s="297" t="s">
        <v>1599</v>
      </c>
      <c r="F55" s="297" t="s">
        <v>1332</v>
      </c>
      <c r="G55" s="297" t="s">
        <v>1333</v>
      </c>
    </row>
    <row r="56" spans="1:7">
      <c r="A56" s="297">
        <v>291</v>
      </c>
      <c r="B56" s="297" t="s">
        <v>1600</v>
      </c>
      <c r="C56" s="297" t="s">
        <v>1334</v>
      </c>
      <c r="D56" s="297" t="s">
        <v>1601</v>
      </c>
      <c r="F56" s="297" t="s">
        <v>1335</v>
      </c>
      <c r="G56" s="297" t="s">
        <v>1336</v>
      </c>
    </row>
    <row r="57" spans="1:7">
      <c r="A57" s="297">
        <v>307</v>
      </c>
      <c r="B57" s="297" t="s">
        <v>1602</v>
      </c>
      <c r="C57" s="297" t="s">
        <v>1337</v>
      </c>
      <c r="D57" s="297" t="s">
        <v>1603</v>
      </c>
      <c r="F57" s="297" t="s">
        <v>1338</v>
      </c>
      <c r="G57" s="297" t="s">
        <v>1339</v>
      </c>
    </row>
    <row r="58" spans="1:7">
      <c r="A58" s="297">
        <v>308</v>
      </c>
      <c r="B58" s="297" t="s">
        <v>1604</v>
      </c>
      <c r="C58" s="297" t="s">
        <v>1337</v>
      </c>
      <c r="D58" s="297" t="s">
        <v>1603</v>
      </c>
      <c r="F58" s="297" t="s">
        <v>1338</v>
      </c>
      <c r="G58" s="297" t="s">
        <v>1339</v>
      </c>
    </row>
    <row r="59" spans="1:7">
      <c r="A59" s="297">
        <v>312</v>
      </c>
      <c r="B59" s="297" t="s">
        <v>1605</v>
      </c>
      <c r="C59" s="297" t="s">
        <v>1340</v>
      </c>
      <c r="D59" s="297" t="s">
        <v>1606</v>
      </c>
      <c r="F59" s="297" t="s">
        <v>1341</v>
      </c>
      <c r="G59" s="297" t="s">
        <v>1342</v>
      </c>
    </row>
    <row r="60" spans="1:7">
      <c r="A60" s="297">
        <v>321</v>
      </c>
      <c r="B60" s="297" t="s">
        <v>1607</v>
      </c>
      <c r="C60" s="297" t="s">
        <v>1343</v>
      </c>
      <c r="D60" s="297" t="s">
        <v>1608</v>
      </c>
      <c r="F60" s="297" t="s">
        <v>1344</v>
      </c>
      <c r="G60" s="297" t="s">
        <v>1345</v>
      </c>
    </row>
    <row r="61" spans="1:7">
      <c r="A61" s="297">
        <v>326</v>
      </c>
      <c r="B61" s="297" t="s">
        <v>1609</v>
      </c>
      <c r="C61" s="297" t="s">
        <v>1346</v>
      </c>
      <c r="D61" s="297" t="s">
        <v>1610</v>
      </c>
      <c r="F61" s="297" t="s">
        <v>1347</v>
      </c>
      <c r="G61" s="297" t="s">
        <v>1348</v>
      </c>
    </row>
    <row r="62" spans="1:7">
      <c r="A62" s="297">
        <v>329</v>
      </c>
      <c r="B62" s="297" t="s">
        <v>1611</v>
      </c>
      <c r="C62" s="297" t="s">
        <v>1349</v>
      </c>
      <c r="D62" s="297" t="s">
        <v>1612</v>
      </c>
      <c r="F62" s="297" t="s">
        <v>1350</v>
      </c>
      <c r="G62" s="297" t="s">
        <v>1351</v>
      </c>
    </row>
    <row r="63" spans="1:7">
      <c r="A63" s="297">
        <v>355</v>
      </c>
      <c r="B63" s="297" t="s">
        <v>1613</v>
      </c>
      <c r="D63" s="297" t="s">
        <v>1554</v>
      </c>
    </row>
    <row r="64" spans="1:7">
      <c r="A64" s="297">
        <v>357</v>
      </c>
      <c r="B64" s="297" t="s">
        <v>1614</v>
      </c>
      <c r="D64" s="297" t="s">
        <v>1554</v>
      </c>
    </row>
    <row r="65" spans="1:7">
      <c r="A65" s="297">
        <v>358</v>
      </c>
      <c r="B65" s="297" t="s">
        <v>1615</v>
      </c>
      <c r="D65" s="297" t="s">
        <v>1554</v>
      </c>
    </row>
    <row r="66" spans="1:7">
      <c r="A66" s="297">
        <v>361</v>
      </c>
      <c r="B66" s="297" t="s">
        <v>1616</v>
      </c>
      <c r="C66" s="297" t="s">
        <v>1352</v>
      </c>
      <c r="D66" s="297" t="s">
        <v>1617</v>
      </c>
      <c r="F66" s="297" t="s">
        <v>1353</v>
      </c>
      <c r="G66" s="297" t="s">
        <v>1354</v>
      </c>
    </row>
    <row r="67" spans="1:7">
      <c r="A67" s="297">
        <v>373</v>
      </c>
      <c r="B67" s="297" t="s">
        <v>1618</v>
      </c>
      <c r="D67" s="297" t="s">
        <v>1554</v>
      </c>
    </row>
    <row r="68" spans="1:7">
      <c r="A68" s="297">
        <v>379</v>
      </c>
      <c r="B68" s="297" t="s">
        <v>1619</v>
      </c>
      <c r="C68" s="297" t="s">
        <v>1209</v>
      </c>
      <c r="D68" s="297" t="s">
        <v>1620</v>
      </c>
      <c r="E68" s="297" t="s">
        <v>1621</v>
      </c>
      <c r="F68" s="297" t="s">
        <v>1355</v>
      </c>
      <c r="G68" s="297" t="s">
        <v>1356</v>
      </c>
    </row>
    <row r="69" spans="1:7">
      <c r="A69" s="297">
        <v>391</v>
      </c>
      <c r="B69" s="297" t="s">
        <v>1622</v>
      </c>
      <c r="C69" s="297" t="s">
        <v>1357</v>
      </c>
      <c r="D69" s="297" t="s">
        <v>1623</v>
      </c>
      <c r="F69" s="297" t="s">
        <v>1358</v>
      </c>
      <c r="G69" s="297" t="s">
        <v>1359</v>
      </c>
    </row>
    <row r="70" spans="1:7">
      <c r="A70" s="297">
        <v>392</v>
      </c>
      <c r="B70" s="297" t="s">
        <v>1624</v>
      </c>
      <c r="C70" s="297" t="s">
        <v>1360</v>
      </c>
      <c r="D70" s="297" t="s">
        <v>1625</v>
      </c>
      <c r="F70" s="297" t="s">
        <v>1361</v>
      </c>
      <c r="G70" s="297" t="s">
        <v>1362</v>
      </c>
    </row>
    <row r="71" spans="1:7">
      <c r="A71" s="297">
        <v>395</v>
      </c>
      <c r="B71" s="297" t="s">
        <v>1626</v>
      </c>
      <c r="C71" s="297" t="s">
        <v>1363</v>
      </c>
      <c r="D71" s="297" t="s">
        <v>1627</v>
      </c>
      <c r="F71" s="297" t="s">
        <v>1364</v>
      </c>
      <c r="G71" s="297" t="s">
        <v>1364</v>
      </c>
    </row>
    <row r="72" spans="1:7">
      <c r="A72" s="297">
        <v>397</v>
      </c>
      <c r="B72" s="297" t="s">
        <v>1628</v>
      </c>
      <c r="D72" s="297" t="s">
        <v>1554</v>
      </c>
    </row>
    <row r="73" spans="1:7">
      <c r="A73" s="297">
        <v>398</v>
      </c>
      <c r="B73" s="297" t="s">
        <v>1629</v>
      </c>
      <c r="C73" s="297" t="s">
        <v>1365</v>
      </c>
      <c r="D73" s="297" t="s">
        <v>1630</v>
      </c>
      <c r="F73" s="297" t="s">
        <v>1366</v>
      </c>
      <c r="G73" s="297" t="s">
        <v>1367</v>
      </c>
    </row>
    <row r="74" spans="1:7">
      <c r="A74" s="297">
        <v>401</v>
      </c>
      <c r="B74" s="297" t="s">
        <v>1631</v>
      </c>
      <c r="C74" s="297" t="s">
        <v>1368</v>
      </c>
      <c r="D74" s="297" t="s">
        <v>1632</v>
      </c>
      <c r="F74" s="297" t="s">
        <v>1369</v>
      </c>
      <c r="G74" s="297" t="s">
        <v>1370</v>
      </c>
    </row>
    <row r="75" spans="1:7">
      <c r="A75" s="297">
        <v>407</v>
      </c>
      <c r="B75" s="297" t="s">
        <v>1633</v>
      </c>
      <c r="C75" s="297" t="s">
        <v>1371</v>
      </c>
      <c r="D75" s="297" t="s">
        <v>1634</v>
      </c>
      <c r="F75" s="297" t="s">
        <v>1372</v>
      </c>
      <c r="G75" s="297" t="s">
        <v>1373</v>
      </c>
    </row>
    <row r="76" spans="1:7">
      <c r="A76" s="297">
        <v>408</v>
      </c>
      <c r="B76" s="297" t="s">
        <v>1635</v>
      </c>
      <c r="D76" s="297" t="s">
        <v>1554</v>
      </c>
    </row>
    <row r="77" spans="1:7">
      <c r="A77" s="297">
        <v>409</v>
      </c>
      <c r="B77" s="297" t="s">
        <v>1636</v>
      </c>
      <c r="C77" s="297" t="s">
        <v>1374</v>
      </c>
      <c r="D77" s="297" t="s">
        <v>1637</v>
      </c>
      <c r="F77" s="297" t="s">
        <v>1375</v>
      </c>
      <c r="G77" s="297" t="s">
        <v>1376</v>
      </c>
    </row>
    <row r="78" spans="1:7">
      <c r="A78" s="297">
        <v>410</v>
      </c>
      <c r="B78" s="297" t="s">
        <v>1638</v>
      </c>
      <c r="D78" s="297" t="s">
        <v>1554</v>
      </c>
    </row>
    <row r="79" spans="1:7">
      <c r="A79" s="297">
        <v>411</v>
      </c>
      <c r="B79" s="297" t="s">
        <v>1639</v>
      </c>
      <c r="C79" s="297" t="s">
        <v>1377</v>
      </c>
      <c r="D79" s="297" t="s">
        <v>1640</v>
      </c>
      <c r="F79" s="297" t="s">
        <v>1378</v>
      </c>
      <c r="G79" s="297" t="s">
        <v>1379</v>
      </c>
    </row>
    <row r="80" spans="1:7">
      <c r="A80" s="297">
        <v>419</v>
      </c>
      <c r="B80" s="297" t="s">
        <v>1641</v>
      </c>
      <c r="D80" s="297" t="s">
        <v>1554</v>
      </c>
    </row>
    <row r="81" spans="1:7">
      <c r="A81" s="297">
        <v>426</v>
      </c>
      <c r="B81" s="297" t="s">
        <v>1642</v>
      </c>
      <c r="C81" s="297" t="s">
        <v>1380</v>
      </c>
      <c r="D81" s="297" t="s">
        <v>1643</v>
      </c>
      <c r="F81" s="297" t="s">
        <v>1381</v>
      </c>
      <c r="G81" s="297" t="s">
        <v>1382</v>
      </c>
    </row>
    <row r="82" spans="1:7">
      <c r="A82" s="297">
        <v>427</v>
      </c>
      <c r="B82" s="297" t="s">
        <v>1644</v>
      </c>
      <c r="C82" s="297" t="s">
        <v>1383</v>
      </c>
      <c r="D82" s="297" t="s">
        <v>1645</v>
      </c>
      <c r="F82" s="297" t="s">
        <v>1384</v>
      </c>
      <c r="G82" s="297" t="s">
        <v>1385</v>
      </c>
    </row>
    <row r="83" spans="1:7">
      <c r="A83" s="297">
        <v>429</v>
      </c>
      <c r="B83" s="297" t="s">
        <v>1646</v>
      </c>
      <c r="C83" s="297" t="s">
        <v>1386</v>
      </c>
      <c r="D83" s="297" t="s">
        <v>1647</v>
      </c>
      <c r="F83" s="297" t="s">
        <v>1387</v>
      </c>
      <c r="G83" s="297" t="s">
        <v>1388</v>
      </c>
    </row>
    <row r="84" spans="1:7">
      <c r="A84" s="297">
        <v>431</v>
      </c>
      <c r="B84" s="297" t="s">
        <v>1648</v>
      </c>
      <c r="C84" s="297" t="s">
        <v>1389</v>
      </c>
      <c r="D84" s="297" t="s">
        <v>1649</v>
      </c>
      <c r="F84" s="297" t="s">
        <v>1390</v>
      </c>
      <c r="G84" s="297" t="s">
        <v>1391</v>
      </c>
    </row>
    <row r="85" spans="1:7">
      <c r="A85" s="297">
        <v>432</v>
      </c>
      <c r="B85" s="297" t="s">
        <v>1650</v>
      </c>
      <c r="D85" s="297" t="s">
        <v>1554</v>
      </c>
    </row>
    <row r="86" spans="1:7">
      <c r="A86" s="297">
        <v>433</v>
      </c>
      <c r="B86" s="297" t="s">
        <v>1650</v>
      </c>
      <c r="D86" s="297" t="s">
        <v>1554</v>
      </c>
    </row>
    <row r="87" spans="1:7">
      <c r="A87" s="297">
        <v>436</v>
      </c>
      <c r="B87" s="297" t="s">
        <v>1651</v>
      </c>
      <c r="C87" s="297" t="s">
        <v>1392</v>
      </c>
      <c r="D87" s="297" t="s">
        <v>1652</v>
      </c>
      <c r="F87" s="297" t="s">
        <v>1393</v>
      </c>
    </row>
    <row r="88" spans="1:7">
      <c r="A88" s="297">
        <v>504</v>
      </c>
      <c r="B88" s="297" t="s">
        <v>1653</v>
      </c>
      <c r="C88" s="297" t="s">
        <v>1394</v>
      </c>
      <c r="D88" s="297" t="s">
        <v>1654</v>
      </c>
      <c r="F88" s="297" t="s">
        <v>1395</v>
      </c>
      <c r="G88" s="297" t="s">
        <v>1396</v>
      </c>
    </row>
    <row r="89" spans="1:7">
      <c r="A89" s="297">
        <v>507</v>
      </c>
      <c r="B89" s="297" t="s">
        <v>1655</v>
      </c>
      <c r="C89" s="297" t="s">
        <v>1397</v>
      </c>
      <c r="D89" s="297" t="s">
        <v>1656</v>
      </c>
      <c r="F89" s="297" t="s">
        <v>1398</v>
      </c>
      <c r="G89" s="297" t="s">
        <v>1399</v>
      </c>
    </row>
    <row r="90" spans="1:7">
      <c r="A90" s="297">
        <v>513</v>
      </c>
      <c r="B90" s="297" t="s">
        <v>1657</v>
      </c>
      <c r="C90" s="297" t="s">
        <v>1400</v>
      </c>
      <c r="D90" s="297" t="s">
        <v>1658</v>
      </c>
      <c r="F90" s="297" t="s">
        <v>1401</v>
      </c>
      <c r="G90" s="297" t="s">
        <v>1402</v>
      </c>
    </row>
    <row r="91" spans="1:7">
      <c r="A91" s="297">
        <v>516</v>
      </c>
      <c r="B91" s="297" t="s">
        <v>1659</v>
      </c>
      <c r="D91" s="297" t="s">
        <v>1554</v>
      </c>
    </row>
    <row r="92" spans="1:7">
      <c r="A92" s="297">
        <v>517</v>
      </c>
      <c r="B92" s="297" t="s">
        <v>1660</v>
      </c>
      <c r="C92" s="297" t="s">
        <v>1403</v>
      </c>
      <c r="D92" s="297" t="s">
        <v>1661</v>
      </c>
      <c r="F92" s="297" t="s">
        <v>1404</v>
      </c>
      <c r="G92" s="297" t="s">
        <v>1405</v>
      </c>
    </row>
    <row r="93" spans="1:7">
      <c r="A93" s="297">
        <v>518</v>
      </c>
      <c r="B93" s="297" t="s">
        <v>1662</v>
      </c>
      <c r="D93" s="297" t="s">
        <v>1554</v>
      </c>
    </row>
    <row r="94" spans="1:7">
      <c r="A94" s="297">
        <v>525</v>
      </c>
      <c r="B94" s="297" t="s">
        <v>1663</v>
      </c>
      <c r="C94" s="297" t="s">
        <v>1406</v>
      </c>
      <c r="D94" s="297" t="s">
        <v>1664</v>
      </c>
      <c r="F94" s="297" t="s">
        <v>1407</v>
      </c>
      <c r="G94" s="297" t="s">
        <v>1408</v>
      </c>
    </row>
    <row r="95" spans="1:7">
      <c r="A95" s="297">
        <v>532</v>
      </c>
      <c r="B95" s="297" t="s">
        <v>1665</v>
      </c>
      <c r="C95" s="297" t="s">
        <v>1409</v>
      </c>
      <c r="D95" s="297" t="s">
        <v>1666</v>
      </c>
      <c r="F95" s="297" t="s">
        <v>1410</v>
      </c>
      <c r="G95" s="297" t="s">
        <v>1411</v>
      </c>
    </row>
    <row r="96" spans="1:7">
      <c r="A96" s="297">
        <v>536</v>
      </c>
      <c r="B96" s="297" t="s">
        <v>1667</v>
      </c>
      <c r="C96" s="297" t="s">
        <v>1412</v>
      </c>
      <c r="D96" s="297" t="s">
        <v>1668</v>
      </c>
      <c r="F96" s="297" t="s">
        <v>1413</v>
      </c>
      <c r="G96" s="297" t="s">
        <v>1414</v>
      </c>
    </row>
    <row r="97" spans="1:7">
      <c r="A97" s="297">
        <v>537</v>
      </c>
      <c r="B97" s="297" t="s">
        <v>1667</v>
      </c>
      <c r="D97" s="297" t="s">
        <v>1554</v>
      </c>
    </row>
    <row r="98" spans="1:7">
      <c r="A98" s="297">
        <v>538</v>
      </c>
      <c r="B98" s="297" t="s">
        <v>1669</v>
      </c>
      <c r="C98" s="297" t="s">
        <v>1415</v>
      </c>
      <c r="D98" s="297" t="s">
        <v>1670</v>
      </c>
      <c r="F98" s="297" t="s">
        <v>1416</v>
      </c>
      <c r="G98" s="297" t="s">
        <v>1417</v>
      </c>
    </row>
    <row r="99" spans="1:7">
      <c r="A99" s="297">
        <v>549</v>
      </c>
      <c r="B99" s="297" t="s">
        <v>1671</v>
      </c>
      <c r="D99" s="297" t="s">
        <v>1554</v>
      </c>
    </row>
    <row r="100" spans="1:7">
      <c r="A100" s="297">
        <v>551</v>
      </c>
      <c r="B100" s="297" t="s">
        <v>1672</v>
      </c>
      <c r="C100" s="297" t="s">
        <v>1418</v>
      </c>
      <c r="D100" s="297" t="s">
        <v>1673</v>
      </c>
      <c r="F100" s="297" t="s">
        <v>1419</v>
      </c>
      <c r="G100" s="297" t="s">
        <v>1420</v>
      </c>
    </row>
    <row r="101" spans="1:7">
      <c r="A101" s="297">
        <v>552</v>
      </c>
      <c r="B101" s="297" t="s">
        <v>1674</v>
      </c>
      <c r="D101" s="297" t="s">
        <v>1554</v>
      </c>
    </row>
    <row r="102" spans="1:7">
      <c r="A102" s="297">
        <v>553</v>
      </c>
      <c r="B102" s="297" t="s">
        <v>1675</v>
      </c>
      <c r="C102" s="297" t="s">
        <v>1349</v>
      </c>
      <c r="D102" s="297" t="s">
        <v>1676</v>
      </c>
      <c r="F102" s="297" t="s">
        <v>1421</v>
      </c>
      <c r="G102" s="297" t="s">
        <v>1422</v>
      </c>
    </row>
    <row r="103" spans="1:7">
      <c r="A103" s="297">
        <v>554</v>
      </c>
      <c r="B103" s="297" t="s">
        <v>1677</v>
      </c>
      <c r="C103" s="297" t="s">
        <v>1264</v>
      </c>
      <c r="D103" s="297" t="s">
        <v>1678</v>
      </c>
      <c r="F103" s="297" t="s">
        <v>1423</v>
      </c>
      <c r="G103" s="297" t="s">
        <v>1424</v>
      </c>
    </row>
    <row r="104" spans="1:7">
      <c r="A104" s="297">
        <v>555</v>
      </c>
      <c r="B104" s="297" t="s">
        <v>1679</v>
      </c>
      <c r="C104" s="297" t="s">
        <v>1374</v>
      </c>
      <c r="D104" s="297" t="s">
        <v>1680</v>
      </c>
      <c r="F104" s="297" t="s">
        <v>1425</v>
      </c>
      <c r="G104" s="297" t="s">
        <v>1426</v>
      </c>
    </row>
    <row r="105" spans="1:7">
      <c r="A105" s="297">
        <v>558</v>
      </c>
      <c r="B105" s="297" t="s">
        <v>1681</v>
      </c>
      <c r="C105" s="297" t="s">
        <v>1427</v>
      </c>
      <c r="D105" s="297" t="s">
        <v>1682</v>
      </c>
      <c r="E105" s="297" t="s">
        <v>1683</v>
      </c>
      <c r="F105" s="297" t="s">
        <v>1428</v>
      </c>
      <c r="G105" s="297" t="s">
        <v>1429</v>
      </c>
    </row>
    <row r="106" spans="1:7">
      <c r="A106" s="297">
        <v>593</v>
      </c>
      <c r="B106" s="297" t="s">
        <v>1684</v>
      </c>
      <c r="D106" s="297" t="s">
        <v>1554</v>
      </c>
    </row>
    <row r="107" spans="1:7">
      <c r="A107" s="297">
        <v>595</v>
      </c>
      <c r="B107" s="297" t="s">
        <v>1685</v>
      </c>
      <c r="C107" s="297" t="s">
        <v>1430</v>
      </c>
      <c r="D107" s="297" t="s">
        <v>1686</v>
      </c>
      <c r="F107" s="297" t="s">
        <v>1431</v>
      </c>
      <c r="G107" s="297" t="s">
        <v>1432</v>
      </c>
    </row>
    <row r="108" spans="1:7">
      <c r="A108" s="297">
        <v>603</v>
      </c>
      <c r="B108" s="297" t="s">
        <v>1233</v>
      </c>
      <c r="C108" s="297" t="s">
        <v>1234</v>
      </c>
      <c r="D108" s="297" t="s">
        <v>1520</v>
      </c>
      <c r="F108" s="297" t="s">
        <v>1235</v>
      </c>
      <c r="G108" s="297" t="s">
        <v>1236</v>
      </c>
    </row>
    <row r="109" spans="1:7">
      <c r="A109" s="297">
        <v>623</v>
      </c>
      <c r="B109" s="297" t="s">
        <v>1687</v>
      </c>
      <c r="C109" s="297" t="s">
        <v>1433</v>
      </c>
      <c r="D109" s="297" t="s">
        <v>1688</v>
      </c>
      <c r="F109" s="297" t="s">
        <v>1434</v>
      </c>
      <c r="G109" s="297" t="s">
        <v>1435</v>
      </c>
    </row>
    <row r="110" spans="1:7">
      <c r="A110" s="297">
        <v>625</v>
      </c>
      <c r="B110" s="297" t="s">
        <v>1689</v>
      </c>
      <c r="C110" s="297" t="s">
        <v>1436</v>
      </c>
      <c r="D110" s="297" t="s">
        <v>1690</v>
      </c>
      <c r="F110" s="297" t="s">
        <v>1437</v>
      </c>
      <c r="G110" s="297" t="s">
        <v>1438</v>
      </c>
    </row>
    <row r="111" spans="1:7">
      <c r="A111" s="297">
        <v>629</v>
      </c>
      <c r="B111" s="297" t="s">
        <v>1691</v>
      </c>
      <c r="C111" s="297" t="s">
        <v>1439</v>
      </c>
      <c r="D111" s="297" t="s">
        <v>1692</v>
      </c>
      <c r="F111" s="297" t="s">
        <v>1440</v>
      </c>
      <c r="G111" s="297" t="s">
        <v>1441</v>
      </c>
    </row>
    <row r="112" spans="1:7">
      <c r="A112" s="297">
        <v>643</v>
      </c>
      <c r="B112" s="297" t="s">
        <v>1693</v>
      </c>
      <c r="C112" s="297" t="s">
        <v>1442</v>
      </c>
      <c r="D112" s="297" t="s">
        <v>1694</v>
      </c>
      <c r="F112" s="297" t="s">
        <v>1443</v>
      </c>
      <c r="G112" s="297" t="s">
        <v>1444</v>
      </c>
    </row>
    <row r="113" spans="1:7">
      <c r="A113" s="297">
        <v>644</v>
      </c>
      <c r="B113" s="297" t="s">
        <v>1695</v>
      </c>
      <c r="C113" s="297" t="s">
        <v>1445</v>
      </c>
      <c r="D113" s="297" t="s">
        <v>1696</v>
      </c>
      <c r="F113" s="297" t="s">
        <v>1446</v>
      </c>
      <c r="G113" s="297" t="s">
        <v>1447</v>
      </c>
    </row>
    <row r="114" spans="1:7">
      <c r="A114" s="297">
        <v>645</v>
      </c>
      <c r="B114" s="297" t="s">
        <v>1697</v>
      </c>
      <c r="C114" s="297" t="s">
        <v>1448</v>
      </c>
      <c r="D114" s="297" t="s">
        <v>1698</v>
      </c>
      <c r="F114" s="297" t="s">
        <v>1449</v>
      </c>
      <c r="G114" s="297" t="s">
        <v>1450</v>
      </c>
    </row>
    <row r="115" spans="1:7">
      <c r="A115" s="297">
        <v>649</v>
      </c>
      <c r="B115" s="297" t="s">
        <v>1699</v>
      </c>
      <c r="C115" s="297" t="s">
        <v>1451</v>
      </c>
      <c r="D115" s="297" t="s">
        <v>1700</v>
      </c>
      <c r="F115" s="297" t="s">
        <v>1452</v>
      </c>
      <c r="G115" s="297" t="s">
        <v>1453</v>
      </c>
    </row>
    <row r="116" spans="1:7">
      <c r="A116" s="297">
        <v>672</v>
      </c>
      <c r="B116" s="297" t="s">
        <v>1701</v>
      </c>
      <c r="C116" s="297" t="s">
        <v>1454</v>
      </c>
      <c r="D116" s="297" t="s">
        <v>1702</v>
      </c>
      <c r="F116" s="297" t="s">
        <v>1455</v>
      </c>
      <c r="G116" s="297" t="s">
        <v>1456</v>
      </c>
    </row>
    <row r="117" spans="1:7">
      <c r="A117" s="297">
        <v>674</v>
      </c>
      <c r="B117" s="297" t="s">
        <v>1703</v>
      </c>
      <c r="C117" s="297" t="s">
        <v>1457</v>
      </c>
      <c r="D117" s="297" t="s">
        <v>1704</v>
      </c>
      <c r="F117" s="297" t="s">
        <v>1458</v>
      </c>
      <c r="G117" s="297" t="s">
        <v>1459</v>
      </c>
    </row>
    <row r="118" spans="1:7">
      <c r="A118" s="297">
        <v>681</v>
      </c>
      <c r="B118" s="297" t="s">
        <v>1705</v>
      </c>
      <c r="C118" s="297" t="s">
        <v>1460</v>
      </c>
      <c r="D118" s="297" t="s">
        <v>1706</v>
      </c>
      <c r="F118" s="297" t="s">
        <v>1461</v>
      </c>
      <c r="G118" s="297" t="s">
        <v>1462</v>
      </c>
    </row>
    <row r="119" spans="1:7">
      <c r="A119" s="297">
        <v>686</v>
      </c>
      <c r="B119" s="297" t="s">
        <v>1707</v>
      </c>
      <c r="C119" s="297" t="s">
        <v>1463</v>
      </c>
      <c r="D119" s="297" t="s">
        <v>1708</v>
      </c>
      <c r="F119" s="297" t="s">
        <v>1464</v>
      </c>
      <c r="G119" s="297" t="s">
        <v>1465</v>
      </c>
    </row>
    <row r="120" spans="1:7">
      <c r="A120" s="297">
        <v>703</v>
      </c>
      <c r="B120" s="297" t="s">
        <v>1709</v>
      </c>
      <c r="C120" s="297" t="s">
        <v>1466</v>
      </c>
      <c r="D120" s="297" t="s">
        <v>1710</v>
      </c>
    </row>
    <row r="121" spans="1:7">
      <c r="A121" s="297">
        <v>706</v>
      </c>
      <c r="B121" s="297" t="s">
        <v>1711</v>
      </c>
      <c r="C121" s="297" t="s">
        <v>1467</v>
      </c>
      <c r="D121" s="297" t="s">
        <v>1712</v>
      </c>
      <c r="F121" s="297" t="s">
        <v>1468</v>
      </c>
      <c r="G121" s="297" t="s">
        <v>1469</v>
      </c>
    </row>
    <row r="122" spans="1:7">
      <c r="A122" s="297">
        <v>707</v>
      </c>
      <c r="B122" s="297" t="s">
        <v>1713</v>
      </c>
      <c r="C122" s="297" t="s">
        <v>1470</v>
      </c>
      <c r="D122" s="297" t="s">
        <v>1714</v>
      </c>
      <c r="F122" s="297" t="s">
        <v>1471</v>
      </c>
      <c r="G122" s="297" t="s">
        <v>1472</v>
      </c>
    </row>
    <row r="123" spans="1:7">
      <c r="A123" s="297">
        <v>708</v>
      </c>
      <c r="B123" s="297" t="s">
        <v>1715</v>
      </c>
      <c r="D123" s="297" t="s">
        <v>1554</v>
      </c>
    </row>
    <row r="124" spans="1:7">
      <c r="A124" s="297">
        <v>709</v>
      </c>
      <c r="B124" s="297" t="s">
        <v>1716</v>
      </c>
      <c r="C124" s="297" t="s">
        <v>1473</v>
      </c>
      <c r="D124" s="297" t="s">
        <v>1717</v>
      </c>
      <c r="F124" s="297" t="s">
        <v>1474</v>
      </c>
      <c r="G124" s="297" t="s">
        <v>1475</v>
      </c>
    </row>
    <row r="125" spans="1:7">
      <c r="A125" s="297">
        <v>713</v>
      </c>
      <c r="B125" s="297" t="s">
        <v>1718</v>
      </c>
      <c r="D125" s="297" t="s">
        <v>1554</v>
      </c>
    </row>
    <row r="126" spans="1:7">
      <c r="A126" s="297">
        <v>715</v>
      </c>
      <c r="B126" s="297" t="s">
        <v>1719</v>
      </c>
      <c r="C126" s="297" t="s">
        <v>1476</v>
      </c>
      <c r="D126" s="297" t="s">
        <v>1720</v>
      </c>
      <c r="F126" s="297" t="s">
        <v>1477</v>
      </c>
      <c r="G126" s="297" t="s">
        <v>1478</v>
      </c>
    </row>
    <row r="127" spans="1:7">
      <c r="A127" s="297">
        <v>716</v>
      </c>
      <c r="B127" s="297" t="s">
        <v>1721</v>
      </c>
      <c r="C127" s="297" t="s">
        <v>1479</v>
      </c>
      <c r="D127" s="297" t="s">
        <v>1722</v>
      </c>
      <c r="F127" s="297" t="s">
        <v>1480</v>
      </c>
      <c r="G127" s="297" t="s">
        <v>1481</v>
      </c>
    </row>
    <row r="128" spans="1:7">
      <c r="A128" s="297">
        <v>719</v>
      </c>
      <c r="B128" s="297" t="s">
        <v>1723</v>
      </c>
      <c r="C128" s="297" t="s">
        <v>1482</v>
      </c>
      <c r="D128" s="297" t="s">
        <v>1724</v>
      </c>
      <c r="F128" s="297" t="s">
        <v>1483</v>
      </c>
      <c r="G128" s="297" t="s">
        <v>1484</v>
      </c>
    </row>
    <row r="129" spans="1:7">
      <c r="A129" s="297">
        <v>731</v>
      </c>
      <c r="B129" s="297" t="s">
        <v>1725</v>
      </c>
      <c r="D129" s="297" t="s">
        <v>1554</v>
      </c>
      <c r="G129" s="297" t="s">
        <v>1485</v>
      </c>
    </row>
    <row r="130" spans="1:7">
      <c r="A130" s="297">
        <v>745</v>
      </c>
      <c r="B130" s="297" t="s">
        <v>1726</v>
      </c>
      <c r="C130" s="297" t="s">
        <v>1486</v>
      </c>
      <c r="D130" s="297" t="s">
        <v>1727</v>
      </c>
      <c r="F130" s="297" t="s">
        <v>1487</v>
      </c>
      <c r="G130" s="297" t="s">
        <v>1488</v>
      </c>
    </row>
    <row r="131" spans="1:7">
      <c r="A131" s="297">
        <v>746</v>
      </c>
      <c r="B131" s="297" t="s">
        <v>1728</v>
      </c>
      <c r="C131" s="297" t="s">
        <v>1349</v>
      </c>
      <c r="D131" s="297" t="s">
        <v>1729</v>
      </c>
      <c r="F131" s="297" t="s">
        <v>1489</v>
      </c>
      <c r="G131" s="297" t="s">
        <v>1490</v>
      </c>
    </row>
    <row r="132" spans="1:7">
      <c r="A132" s="297">
        <v>802</v>
      </c>
      <c r="B132" s="297" t="s">
        <v>1730</v>
      </c>
      <c r="C132" s="297" t="s">
        <v>1491</v>
      </c>
      <c r="D132" s="297" t="s">
        <v>1731</v>
      </c>
      <c r="F132" s="297" t="s">
        <v>1492</v>
      </c>
      <c r="G132" s="297" t="s">
        <v>1493</v>
      </c>
    </row>
    <row r="133" spans="1:7">
      <c r="A133" s="297">
        <v>906</v>
      </c>
      <c r="B133" s="297" t="s">
        <v>1732</v>
      </c>
      <c r="C133" s="297" t="s">
        <v>1494</v>
      </c>
      <c r="D133" s="297" t="s">
        <v>1733</v>
      </c>
      <c r="F133" s="297" t="s">
        <v>1495</v>
      </c>
      <c r="G133" s="297" t="s">
        <v>1496</v>
      </c>
    </row>
    <row r="134" spans="1:7">
      <c r="A134" s="297">
        <v>908</v>
      </c>
      <c r="B134" s="297" t="s">
        <v>1734</v>
      </c>
      <c r="C134" s="297" t="s">
        <v>1497</v>
      </c>
      <c r="D134" s="297" t="s">
        <v>1735</v>
      </c>
      <c r="F134" s="297" t="s">
        <v>1498</v>
      </c>
      <c r="G134" s="297" t="s">
        <v>1499</v>
      </c>
    </row>
    <row r="135" spans="1:7">
      <c r="A135" s="297">
        <v>959</v>
      </c>
      <c r="B135" s="297" t="s">
        <v>1736</v>
      </c>
      <c r="D135" s="297" t="s">
        <v>1554</v>
      </c>
    </row>
    <row r="136" spans="1:7">
      <c r="A136" s="297">
        <v>990</v>
      </c>
      <c r="B136" s="297" t="s">
        <v>1737</v>
      </c>
      <c r="D136" s="297" t="s">
        <v>1554</v>
      </c>
    </row>
    <row r="137" spans="1:7">
      <c r="A137" s="297">
        <v>992</v>
      </c>
      <c r="B137" s="297" t="s">
        <v>1738</v>
      </c>
      <c r="D137" s="297" t="s">
        <v>1554</v>
      </c>
    </row>
    <row r="138" spans="1:7">
      <c r="A138" s="297">
        <v>993</v>
      </c>
      <c r="B138" s="297" t="s">
        <v>1739</v>
      </c>
      <c r="D138" s="297" t="s">
        <v>1554</v>
      </c>
    </row>
    <row r="139" spans="1:7">
      <c r="A139" s="297">
        <v>1</v>
      </c>
      <c r="B139" s="297" t="s">
        <v>2999</v>
      </c>
      <c r="C139" s="297" t="s">
        <v>3000</v>
      </c>
      <c r="D139" s="885" t="s">
        <v>3001</v>
      </c>
      <c r="F139" s="297" t="s">
        <v>3002</v>
      </c>
      <c r="G139" s="297" t="s">
        <v>3003</v>
      </c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5"/>
    <pageSetUpPr fitToPage="1"/>
  </sheetPr>
  <dimension ref="A1:Q80"/>
  <sheetViews>
    <sheetView showGridLines="0" topLeftCell="A7" zoomScale="85" zoomScaleNormal="85" zoomScaleSheetLayoutView="85" workbookViewId="0">
      <selection activeCell="J27" sqref="J27"/>
    </sheetView>
  </sheetViews>
  <sheetFormatPr defaultColWidth="9" defaultRowHeight="18.75" customHeight="1" outlineLevelRow="1"/>
  <cols>
    <col min="1" max="1" width="16.75" style="438" bestFit="1" customWidth="1"/>
    <col min="2" max="2" width="25.375" style="381" customWidth="1"/>
    <col min="3" max="3" width="22.5" style="381" customWidth="1"/>
    <col min="4" max="4" width="12.375" style="381" customWidth="1"/>
    <col min="5" max="5" width="25" style="382" customWidth="1"/>
    <col min="6" max="8" width="12.375" style="381" customWidth="1"/>
    <col min="9" max="9" width="14.125" style="381" customWidth="1"/>
    <col min="10" max="10" width="12.375" style="381" customWidth="1"/>
    <col min="11" max="16" width="12.5" style="381" customWidth="1"/>
    <col min="17" max="16384" width="9" style="381"/>
  </cols>
  <sheetData>
    <row r="1" spans="1:17" ht="17.25" customHeight="1" thickBot="1">
      <c r="A1" s="361"/>
      <c r="D1" s="379"/>
      <c r="E1" s="380"/>
      <c r="F1" s="435"/>
      <c r="G1" s="379"/>
      <c r="H1" s="364">
        <v>1</v>
      </c>
      <c r="L1" s="379"/>
      <c r="M1" s="379"/>
      <c r="N1" s="379"/>
      <c r="O1" s="379"/>
      <c r="P1" s="379"/>
      <c r="Q1" s="379"/>
    </row>
    <row r="2" spans="1:17" ht="17.25" customHeight="1" thickBot="1">
      <c r="A2" s="484" t="s">
        <v>1825</v>
      </c>
      <c r="B2" s="485" t="s">
        <v>1046</v>
      </c>
      <c r="C2" s="486">
        <v>7689</v>
      </c>
      <c r="F2" s="436" t="s">
        <v>1826</v>
      </c>
      <c r="G2" s="379"/>
      <c r="J2" s="436" t="s">
        <v>1827</v>
      </c>
      <c r="L2" s="379"/>
      <c r="M2" s="379"/>
      <c r="N2" s="379"/>
      <c r="O2" s="379"/>
      <c r="P2" s="379"/>
      <c r="Q2" s="379"/>
    </row>
    <row r="3" spans="1:17" ht="17.25" customHeight="1">
      <c r="A3" s="484" t="s">
        <v>1828</v>
      </c>
      <c r="B3" s="487" t="s">
        <v>1047</v>
      </c>
      <c r="C3" s="488" t="s">
        <v>1049</v>
      </c>
      <c r="D3" s="1223" t="s">
        <v>1829</v>
      </c>
      <c r="E3" s="1224"/>
      <c r="G3" s="379"/>
      <c r="H3" s="379"/>
      <c r="J3" s="556" t="s">
        <v>1849</v>
      </c>
      <c r="K3" s="557"/>
      <c r="L3" s="556" t="s">
        <v>1850</v>
      </c>
      <c r="M3" s="557"/>
      <c r="N3" s="558" t="s">
        <v>1851</v>
      </c>
      <c r="O3" s="557"/>
      <c r="P3" s="379"/>
      <c r="Q3" s="379"/>
    </row>
    <row r="4" spans="1:17" ht="17.25" customHeight="1">
      <c r="A4" s="484" t="s">
        <v>1830</v>
      </c>
      <c r="B4" s="487" t="s">
        <v>1048</v>
      </c>
      <c r="C4" s="488" t="s">
        <v>1049</v>
      </c>
      <c r="D4" s="489" t="s">
        <v>1205</v>
      </c>
      <c r="E4" s="490" t="s">
        <v>2034</v>
      </c>
      <c r="G4" s="379"/>
      <c r="H4" s="379"/>
      <c r="J4" s="517"/>
      <c r="K4" s="518"/>
      <c r="L4" s="520"/>
      <c r="M4" s="518"/>
      <c r="N4" s="517"/>
      <c r="O4" s="518"/>
    </row>
    <row r="5" spans="1:17" ht="17.25" customHeight="1">
      <c r="A5" s="484" t="s">
        <v>1831</v>
      </c>
      <c r="B5" s="487" t="s">
        <v>1751</v>
      </c>
      <c r="C5" s="491">
        <v>5033</v>
      </c>
      <c r="D5" s="492" t="s">
        <v>1205</v>
      </c>
      <c r="E5" s="493" t="e">
        <f>MATCH(TEXT(E4,"@"),'NY BackOrder'!C:C,0)</f>
        <v>#N/A</v>
      </c>
      <c r="G5" s="379"/>
      <c r="H5" s="379"/>
      <c r="J5" s="517"/>
      <c r="K5" s="519"/>
      <c r="L5" s="520"/>
      <c r="M5" s="519"/>
      <c r="N5" s="520"/>
      <c r="O5" s="519"/>
      <c r="P5" s="379"/>
      <c r="Q5" s="379"/>
    </row>
    <row r="6" spans="1:17" ht="17.25" customHeight="1" thickBot="1">
      <c r="A6" s="484" t="s">
        <v>1832</v>
      </c>
      <c r="B6" s="487" t="s">
        <v>1752</v>
      </c>
      <c r="C6" s="491">
        <v>5037</v>
      </c>
      <c r="D6" s="494" t="s">
        <v>1185</v>
      </c>
      <c r="E6" s="495" t="e">
        <f>E5+COUNTIF('NY BackOrder'!C:C,TEXT(E4,"@"))-2</f>
        <v>#N/A</v>
      </c>
      <c r="F6" s="496"/>
      <c r="G6" s="437" t="s">
        <v>1833</v>
      </c>
      <c r="H6" s="379"/>
      <c r="J6" s="520"/>
      <c r="K6" s="519"/>
      <c r="L6" s="520"/>
      <c r="M6" s="519"/>
      <c r="N6" s="520"/>
      <c r="O6" s="519"/>
      <c r="P6" s="379"/>
      <c r="Q6" s="379"/>
    </row>
    <row r="7" spans="1:17" ht="17.25" customHeight="1" thickBot="1">
      <c r="A7" s="484" t="s">
        <v>1834</v>
      </c>
      <c r="B7" s="497" t="s">
        <v>1790</v>
      </c>
      <c r="C7" s="498">
        <v>36</v>
      </c>
      <c r="D7" s="499"/>
      <c r="E7" s="500"/>
      <c r="I7" s="379"/>
      <c r="J7" s="521"/>
      <c r="K7" s="522"/>
      <c r="L7" s="521"/>
      <c r="M7" s="522"/>
      <c r="N7" s="521"/>
      <c r="O7" s="522"/>
      <c r="P7" s="379"/>
      <c r="Q7" s="379"/>
    </row>
    <row r="8" spans="1:17" ht="17.25" hidden="1" customHeight="1" outlineLevel="1">
      <c r="A8" s="1225" t="s">
        <v>1835</v>
      </c>
      <c r="B8" s="501" t="s">
        <v>1753</v>
      </c>
      <c r="C8" s="502">
        <f>C6-C5+C7</f>
        <v>40</v>
      </c>
      <c r="D8" s="503" t="s">
        <v>1175</v>
      </c>
      <c r="E8" s="504" t="str">
        <f>IF(H1=1,"Invoice "&amp;C2&amp;" (NY)","Invoice "&amp;C2&amp;" (LA)")</f>
        <v>Invoice 7689 (NY)</v>
      </c>
      <c r="F8" s="306"/>
    </row>
    <row r="9" spans="1:17" ht="17.25" hidden="1" customHeight="1" outlineLevel="1">
      <c r="A9" s="1226"/>
      <c r="B9" s="505" t="s">
        <v>1791</v>
      </c>
      <c r="C9" s="506">
        <v>36</v>
      </c>
      <c r="D9" s="507" t="s">
        <v>1814</v>
      </c>
      <c r="E9" s="508" t="str" cm="1">
        <f t="array" aca="1" ref="E9" ca="1">RIGHT(CELL("filename",A1),LEN(CELL("filename",A1))-FIND("]",CELL("filename",A1)))</f>
        <v>Invoice(SF米国)</v>
      </c>
      <c r="F9" s="379"/>
      <c r="G9" s="379"/>
      <c r="H9" s="379"/>
    </row>
    <row r="10" spans="1:17" ht="17.25" hidden="1" customHeight="1" outlineLevel="1">
      <c r="A10" s="1226"/>
      <c r="B10" s="505" t="s">
        <v>1792</v>
      </c>
      <c r="C10" s="506">
        <v>68</v>
      </c>
      <c r="D10" s="507" t="s">
        <v>1815</v>
      </c>
      <c r="E10" s="509" t="str" cm="1">
        <f t="array" aca="1" ref="E10" ca="1">RIGHT(CELL("filename",'Invoice(SF大阪)'!A1),LEN(CELL("filename",'Invoice(SF大阪)'!A1))-FIND("]",CELL("filename",'Invoice(SF大阪)'!A1)))</f>
        <v>Invoice(SF大阪)</v>
      </c>
      <c r="F10" s="379"/>
      <c r="G10" s="379"/>
      <c r="H10" s="379"/>
      <c r="I10" s="379"/>
      <c r="J10" s="379"/>
      <c r="K10" s="379"/>
      <c r="L10" s="379"/>
      <c r="M10" s="379"/>
      <c r="N10" s="379"/>
      <c r="O10" s="379"/>
      <c r="P10" s="379"/>
      <c r="Q10" s="379"/>
    </row>
    <row r="11" spans="1:17" ht="17.25" hidden="1" customHeight="1" outlineLevel="1">
      <c r="A11" s="1226"/>
      <c r="B11" s="510" t="s">
        <v>1836</v>
      </c>
      <c r="C11" s="511">
        <f>ROW(A69)</f>
        <v>69</v>
      </c>
      <c r="D11" s="512" t="s">
        <v>1816</v>
      </c>
      <c r="E11" s="509" t="str" cm="1">
        <f t="array" aca="1" ref="E11" ca="1">RIGHT(CELL("filename",'NY BackOrder'!A1),LEN(CELL("filename",'NY BackOrder'!A1))-FIND("]",CELL("filename",'NY BackOrder'!A1)))</f>
        <v>NY BackOrder</v>
      </c>
      <c r="F11" s="379"/>
      <c r="G11" s="379"/>
      <c r="H11" s="379"/>
      <c r="I11" s="379"/>
      <c r="J11" s="379"/>
      <c r="K11" s="379"/>
      <c r="L11" s="379"/>
      <c r="M11" s="379"/>
      <c r="N11" s="379"/>
      <c r="O11" s="379"/>
      <c r="P11" s="379"/>
      <c r="Q11" s="379"/>
    </row>
    <row r="12" spans="1:17" ht="17.25" hidden="1" customHeight="1" outlineLevel="1" thickBot="1">
      <c r="A12" s="1227"/>
      <c r="B12" s="513" t="s">
        <v>1837</v>
      </c>
      <c r="C12" s="514" t="str" cm="1">
        <f t="array" aca="1" ref="C12" ca="1">LEFT(MID(CELL("filename",A2),10,99),FIND("B",MID(CELL("filename",A2),10,99))-2)</f>
        <v>chiba</v>
      </c>
      <c r="D12" s="515" t="s">
        <v>1838</v>
      </c>
      <c r="E12" s="516" t="str">
        <f>IF(H1=1,"NY","LA")</f>
        <v>NY</v>
      </c>
      <c r="F12" s="435"/>
      <c r="G12" s="379"/>
      <c r="H12" s="379"/>
      <c r="I12" s="379"/>
      <c r="J12" s="379"/>
      <c r="K12" s="379"/>
      <c r="L12" s="379"/>
      <c r="M12" s="379"/>
      <c r="N12" s="379"/>
      <c r="O12" s="379"/>
      <c r="P12" s="379"/>
      <c r="Q12" s="379"/>
    </row>
    <row r="13" spans="1:17" ht="17.25" customHeight="1" collapsed="1">
      <c r="A13" s="434"/>
      <c r="B13" s="434"/>
      <c r="C13" s="437"/>
      <c r="D13" s="379"/>
      <c r="E13" s="380"/>
      <c r="F13" s="435"/>
      <c r="G13" s="379"/>
      <c r="H13" s="379"/>
      <c r="I13" s="379"/>
      <c r="J13" s="379"/>
      <c r="K13" s="379"/>
      <c r="L13" s="379"/>
      <c r="M13" s="379"/>
      <c r="N13" s="379"/>
      <c r="O13" s="379"/>
      <c r="P13" s="379"/>
      <c r="Q13" s="379"/>
    </row>
    <row r="14" spans="1:17" ht="18.75" customHeight="1">
      <c r="B14" s="1230" t="s">
        <v>3903</v>
      </c>
      <c r="C14" s="1231"/>
      <c r="D14" s="1231"/>
      <c r="E14" s="1231"/>
      <c r="F14" s="1233" t="s">
        <v>406</v>
      </c>
      <c r="G14" s="1233"/>
      <c r="H14" s="1233"/>
      <c r="I14" s="1233"/>
      <c r="J14" s="1233"/>
      <c r="K14" s="1233"/>
    </row>
    <row r="15" spans="1:17" ht="18.75" customHeight="1">
      <c r="B15" s="1231"/>
      <c r="C15" s="1231"/>
      <c r="D15" s="1231"/>
      <c r="E15" s="1231"/>
      <c r="F15" s="1233"/>
      <c r="G15" s="1233"/>
      <c r="H15" s="1233"/>
      <c r="I15" s="1233"/>
      <c r="J15" s="1233"/>
      <c r="K15" s="1233"/>
    </row>
    <row r="16" spans="1:17" ht="18.75" customHeight="1">
      <c r="B16" s="1231"/>
      <c r="C16" s="1231"/>
      <c r="D16" s="1231"/>
      <c r="E16" s="1231"/>
      <c r="F16" s="439" t="s">
        <v>403</v>
      </c>
      <c r="G16" s="1234">
        <f>C2</f>
        <v>7689</v>
      </c>
      <c r="H16" s="1234"/>
      <c r="I16" s="1234"/>
      <c r="J16" s="1234"/>
      <c r="K16" s="1234"/>
    </row>
    <row r="17" spans="2:12" ht="18.75" customHeight="1">
      <c r="B17" s="1232"/>
      <c r="C17" s="1232"/>
      <c r="D17" s="1232"/>
      <c r="E17" s="1232"/>
      <c r="F17" s="440" t="s">
        <v>404</v>
      </c>
      <c r="G17" s="429" t="s">
        <v>1179</v>
      </c>
      <c r="H17" s="429" t="s">
        <v>1178</v>
      </c>
      <c r="I17" s="440" t="s">
        <v>405</v>
      </c>
      <c r="J17" s="1235">
        <f ca="1">TODAY()</f>
        <v>46114</v>
      </c>
      <c r="K17" s="1235"/>
      <c r="L17" s="441" t="s">
        <v>1183</v>
      </c>
    </row>
    <row r="18" spans="2:12" ht="18.75" customHeight="1">
      <c r="B18" s="442" t="s">
        <v>391</v>
      </c>
      <c r="C18" s="443" t="str">
        <f>C3</f>
        <v>(SELECT) - 顧客名</v>
      </c>
      <c r="D18" s="444"/>
      <c r="E18" s="445"/>
      <c r="F18" s="446" t="s">
        <v>397</v>
      </c>
      <c r="G18" s="447"/>
      <c r="H18" s="448"/>
      <c r="I18" s="446" t="s">
        <v>400</v>
      </c>
      <c r="J18" s="447"/>
      <c r="K18" s="448"/>
    </row>
    <row r="19" spans="2:12" ht="18.75" customHeight="1">
      <c r="B19" s="426"/>
      <c r="C19" s="449" t="str">
        <f>IFERROR(VLOOKUP(C3,取引先マスタ!C:E,3,FALSE),"")</f>
        <v>ADDRESS 1</v>
      </c>
      <c r="D19" s="387"/>
      <c r="E19" s="388"/>
      <c r="F19" s="383"/>
      <c r="G19" s="384"/>
      <c r="H19" s="385"/>
      <c r="I19" s="383"/>
      <c r="J19" s="384"/>
      <c r="K19" s="385"/>
    </row>
    <row r="20" spans="2:12" ht="18.75" customHeight="1">
      <c r="B20" s="426"/>
      <c r="C20" s="449" t="str">
        <f>IFERROR(VLOOKUP(C3,取引先マスタ!C:F,4,FALSE),"")</f>
        <v>ADDRESS 2</v>
      </c>
      <c r="D20" s="387"/>
      <c r="E20" s="388"/>
      <c r="F20" s="446" t="s">
        <v>398</v>
      </c>
      <c r="G20" s="447"/>
      <c r="H20" s="448"/>
      <c r="I20" s="446" t="s">
        <v>399</v>
      </c>
      <c r="J20" s="447"/>
      <c r="K20" s="448"/>
    </row>
    <row r="21" spans="2:12" ht="18.75" customHeight="1">
      <c r="B21" s="426"/>
      <c r="C21" s="450" t="str">
        <f>IFERROR(IF(VLOOKUP(C3,取引先マスタ!C:G,5,FALSE)=0,"Country: ","Country: "&amp;VLOOKUP(C3,取引先マスタ!C:G,5,FALSE)),"")</f>
        <v>Country: COUNTRY</v>
      </c>
      <c r="D21" s="387" t="str">
        <f>IFERROR(IF(VLOOKUP(C3,取引先マスタ!C:D,2,FALSE)=0,"Zip Code: ","Zip Code: "&amp;VLOOKUP(C3,取引先マスタ!C:D,2,FALSE)),"")</f>
        <v>Zip Code: ZIP CODE</v>
      </c>
      <c r="E21" s="388"/>
      <c r="F21" s="481"/>
      <c r="G21" s="384"/>
      <c r="H21" s="385"/>
      <c r="I21" s="383"/>
      <c r="J21" s="384"/>
      <c r="K21" s="385"/>
    </row>
    <row r="22" spans="2:12" ht="18.75" customHeight="1">
      <c r="B22" s="426"/>
      <c r="C22" s="450" t="str">
        <f>IFERROR(IF(VLOOKUP(C3,取引先マスタ!C:H,6,FALSE)=0,"Tel: ",VLOOKUP(C3,取引先マスタ!C:H,6,FALSE)),"")</f>
        <v>TEL</v>
      </c>
      <c r="D22" s="387" t="str">
        <f>IFERROR(IF(VLOOKUP(C3,取引先マスタ!C:I,7,FALSE)=0,"Attn: ","Attn: "&amp;VLOOKUP(C3,取引先マスタ!C:I,7,FALSE)),"")</f>
        <v>Attn: ATTENTION</v>
      </c>
      <c r="E22" s="388"/>
      <c r="F22" s="446" t="s">
        <v>393</v>
      </c>
      <c r="G22" s="447"/>
      <c r="H22" s="447"/>
      <c r="I22" s="447"/>
      <c r="J22" s="447"/>
      <c r="K22" s="448"/>
    </row>
    <row r="23" spans="2:12" ht="18.75" customHeight="1">
      <c r="B23" s="428"/>
      <c r="C23" s="432"/>
      <c r="D23" s="384"/>
      <c r="E23" s="385"/>
      <c r="F23" s="451" t="s">
        <v>394</v>
      </c>
      <c r="G23" s="386" t="s">
        <v>354</v>
      </c>
      <c r="H23" s="387"/>
      <c r="I23" s="387"/>
      <c r="J23" s="387"/>
      <c r="K23" s="388"/>
    </row>
    <row r="24" spans="2:12" ht="18.75" customHeight="1">
      <c r="B24" s="442" t="s">
        <v>390</v>
      </c>
      <c r="C24" s="443" t="str">
        <f>C4</f>
        <v>(SELECT) - 顧客名</v>
      </c>
      <c r="D24" s="444"/>
      <c r="E24" s="445"/>
      <c r="F24" s="451" t="s">
        <v>395</v>
      </c>
      <c r="G24" s="386" t="s">
        <v>407</v>
      </c>
      <c r="H24" s="387"/>
      <c r="I24" s="387"/>
      <c r="J24" s="387"/>
      <c r="K24" s="388"/>
    </row>
    <row r="25" spans="2:12" ht="18.75" customHeight="1">
      <c r="B25" s="426"/>
      <c r="C25" s="449" t="str">
        <f>IFERROR(VLOOKUP(C4,取引先マスタ!C:E,3,FALSE),"")</f>
        <v>ADDRESS 1</v>
      </c>
      <c r="D25" s="387"/>
      <c r="E25" s="388"/>
      <c r="F25" s="451" t="s">
        <v>352</v>
      </c>
      <c r="G25" s="386" t="s">
        <v>1187</v>
      </c>
      <c r="H25" s="387"/>
      <c r="I25" s="387"/>
      <c r="J25" s="387"/>
      <c r="K25" s="388"/>
    </row>
    <row r="26" spans="2:12" ht="18.75" customHeight="1">
      <c r="B26" s="426"/>
      <c r="C26" s="449" t="str">
        <f>IFERROR(VLOOKUP(C4,取引先マスタ!C:F,4,FALSE),"")</f>
        <v>ADDRESS 2</v>
      </c>
      <c r="D26" s="387"/>
      <c r="E26" s="388"/>
      <c r="F26" s="451" t="s">
        <v>396</v>
      </c>
      <c r="G26" s="386" t="s">
        <v>408</v>
      </c>
      <c r="H26" s="387"/>
      <c r="I26" s="387"/>
      <c r="J26" s="387"/>
      <c r="K26" s="388"/>
    </row>
    <row r="27" spans="2:12" ht="18.75" customHeight="1">
      <c r="B27" s="426"/>
      <c r="C27" s="450" t="str">
        <f>IFERROR(IF(VLOOKUP(C4,取引先マスタ!C:G,5,FALSE)=0,"Country: ","Country: "&amp;VLOOKUP(C4,取引先マスタ!C:G,5,FALSE)),"")</f>
        <v>Country: COUNTRY</v>
      </c>
      <c r="D27" s="387" t="str">
        <f>IFERROR(IF(VLOOKUP(C4,取引先マスタ!C:D,2,FALSE)=0,"Zip Code: ","Zip Code: "&amp;VLOOKUP(C4,取引先マスタ!C:D,2,FALSE)),"")</f>
        <v>Zip Code: ZIP CODE</v>
      </c>
      <c r="E27" s="388"/>
      <c r="F27" s="383" t="s">
        <v>402</v>
      </c>
      <c r="G27" s="389" t="s">
        <v>1824</v>
      </c>
      <c r="H27" s="384"/>
      <c r="I27" s="390" t="s">
        <v>401</v>
      </c>
      <c r="J27" s="390" t="s">
        <v>351</v>
      </c>
      <c r="K27" s="385"/>
    </row>
    <row r="28" spans="2:12" ht="18.75" customHeight="1">
      <c r="B28" s="426"/>
      <c r="C28" s="450" t="str">
        <f>IFERROR(IF(VLOOKUP(C4,取引先マスタ!C:H,6,FALSE)=0,"Tel: ",VLOOKUP(C4,取引先マスタ!C:H,6,FALSE)),"")</f>
        <v>TEL</v>
      </c>
      <c r="D28" s="387" t="str">
        <f>IFERROR(IF(VLOOKUP(C4,取引先マスタ!C:I,7,FALSE)=0,"Attn: ","Attn: "&amp;VLOOKUP(C4,取引先マスタ!C:I,7,FALSE)),"")</f>
        <v>Attn: ATTENTION</v>
      </c>
      <c r="E28" s="388"/>
      <c r="F28" s="446" t="s">
        <v>392</v>
      </c>
      <c r="G28" s="447"/>
      <c r="H28" s="447"/>
      <c r="I28" s="447"/>
      <c r="J28" s="446" t="s">
        <v>1819</v>
      </c>
      <c r="K28" s="448"/>
    </row>
    <row r="29" spans="2:12" ht="18.75" customHeight="1">
      <c r="B29" s="426"/>
      <c r="C29" s="432"/>
      <c r="D29" s="384"/>
      <c r="E29" s="385"/>
      <c r="F29" s="1256" t="s">
        <v>2803</v>
      </c>
      <c r="G29" s="1257"/>
      <c r="H29" s="1142" t="s">
        <v>3778</v>
      </c>
      <c r="I29" s="1143"/>
      <c r="J29" s="475">
        <f ca="1">J17+30</f>
        <v>46144</v>
      </c>
      <c r="K29" s="476"/>
    </row>
    <row r="30" spans="2:12" ht="18.75" customHeight="1">
      <c r="B30" s="446" t="s">
        <v>383</v>
      </c>
      <c r="C30" s="452"/>
      <c r="D30" s="446" t="s">
        <v>384</v>
      </c>
      <c r="E30" s="453"/>
      <c r="F30" s="446" t="s">
        <v>386</v>
      </c>
      <c r="G30" s="454"/>
      <c r="H30" s="452"/>
      <c r="I30" s="446" t="s">
        <v>388</v>
      </c>
      <c r="J30" s="455"/>
      <c r="K30" s="456"/>
    </row>
    <row r="31" spans="2:12" ht="18.75" customHeight="1">
      <c r="B31" s="477" t="s">
        <v>362</v>
      </c>
      <c r="C31" s="385"/>
      <c r="D31" s="1250" t="s">
        <v>1818</v>
      </c>
      <c r="E31" s="1249"/>
      <c r="F31" s="1247">
        <f ca="1">J17</f>
        <v>46114</v>
      </c>
      <c r="G31" s="1248"/>
      <c r="H31" s="1249"/>
      <c r="I31" s="457" t="s">
        <v>409</v>
      </c>
      <c r="J31" s="458"/>
      <c r="K31" s="459"/>
      <c r="L31" s="441" t="s">
        <v>1184</v>
      </c>
    </row>
    <row r="32" spans="2:12" ht="18.75" customHeight="1">
      <c r="B32" s="446" t="s">
        <v>382</v>
      </c>
      <c r="C32" s="452"/>
      <c r="D32" s="446" t="s">
        <v>385</v>
      </c>
      <c r="E32" s="453"/>
      <c r="F32" s="446" t="s">
        <v>387</v>
      </c>
      <c r="G32" s="454"/>
      <c r="H32" s="452"/>
      <c r="I32" s="428" t="str">
        <f>IFERROR(IF(VLOOKUP(C18,取引先マスタ!C:J,8,FALSE)=0,"",VLOOKUP(C18,取引先マスタ!C:J,8,FALSE)),"")</f>
        <v>Courier Account#</v>
      </c>
      <c r="J32" s="479" t="s">
        <v>2800</v>
      </c>
      <c r="K32" s="480"/>
      <c r="L32" s="435" t="s">
        <v>1839</v>
      </c>
    </row>
    <row r="33" spans="2:16" ht="18.75" customHeight="1" thickBot="1">
      <c r="B33" s="1228" t="s">
        <v>2801</v>
      </c>
      <c r="C33" s="1229"/>
      <c r="D33" s="1228" t="s">
        <v>2802</v>
      </c>
      <c r="E33" s="1229"/>
      <c r="F33" s="1238" t="s">
        <v>1822</v>
      </c>
      <c r="G33" s="1239"/>
      <c r="H33" s="1240"/>
      <c r="I33" s="460" t="s">
        <v>389</v>
      </c>
      <c r="J33" s="1236" t="s">
        <v>212</v>
      </c>
      <c r="K33" s="1237"/>
    </row>
    <row r="34" spans="2:16" ht="18.75" customHeight="1" thickTop="1">
      <c r="B34" s="1254" t="s">
        <v>376</v>
      </c>
      <c r="C34" s="1258" t="s">
        <v>410</v>
      </c>
      <c r="D34" s="1258"/>
      <c r="E34" s="1258"/>
      <c r="F34" s="1259" t="s">
        <v>411</v>
      </c>
      <c r="G34" s="1260"/>
      <c r="H34" s="1261"/>
      <c r="I34" s="1245" t="s">
        <v>380</v>
      </c>
      <c r="J34" s="1243" t="s">
        <v>381</v>
      </c>
      <c r="K34" s="1241" t="s">
        <v>269</v>
      </c>
    </row>
    <row r="35" spans="2:16" ht="18.75" customHeight="1" thickBot="1">
      <c r="B35" s="1255"/>
      <c r="C35" s="461" t="s">
        <v>273</v>
      </c>
      <c r="D35" s="461" t="s">
        <v>33</v>
      </c>
      <c r="E35" s="462" t="s">
        <v>34</v>
      </c>
      <c r="F35" s="461" t="s">
        <v>377</v>
      </c>
      <c r="G35" s="461" t="s">
        <v>378</v>
      </c>
      <c r="H35" s="461" t="s">
        <v>379</v>
      </c>
      <c r="I35" s="1246"/>
      <c r="J35" s="1244"/>
      <c r="K35" s="1242"/>
    </row>
    <row r="36" spans="2:16" ht="18.75" customHeight="1" thickTop="1">
      <c r="B36" s="391" t="s">
        <v>3769</v>
      </c>
      <c r="C36" s="392" t="s">
        <v>3770</v>
      </c>
      <c r="D36" s="1139"/>
      <c r="E36" s="393"/>
      <c r="F36" s="1140"/>
      <c r="G36" s="1138"/>
      <c r="H36" s="1140"/>
      <c r="I36" s="393" t="s">
        <v>97</v>
      </c>
      <c r="J36" s="1120"/>
      <c r="K36" s="1120"/>
      <c r="L36" s="463"/>
      <c r="M36" s="464"/>
      <c r="N36" s="465"/>
      <c r="O36" s="466"/>
      <c r="P36" s="466"/>
    </row>
    <row r="37" spans="2:16" ht="18.75" customHeight="1">
      <c r="B37" s="394" t="s">
        <v>3769</v>
      </c>
      <c r="C37" s="395" t="s">
        <v>3762</v>
      </c>
      <c r="D37" s="401" t="s">
        <v>3763</v>
      </c>
      <c r="E37" s="396" t="s">
        <v>3764</v>
      </c>
      <c r="F37" s="407">
        <v>50</v>
      </c>
      <c r="G37" s="406">
        <v>3</v>
      </c>
      <c r="H37" s="399">
        <v>150</v>
      </c>
      <c r="I37" s="398">
        <v>0.5</v>
      </c>
      <c r="J37" s="398">
        <v>75</v>
      </c>
      <c r="K37" s="398" t="s">
        <v>3756</v>
      </c>
      <c r="L37" s="463"/>
      <c r="M37" s="464"/>
      <c r="N37" s="467"/>
      <c r="O37" s="467"/>
      <c r="P37" s="467"/>
    </row>
    <row r="38" spans="2:16" ht="18.75" customHeight="1">
      <c r="B38" s="394" t="s">
        <v>3769</v>
      </c>
      <c r="C38" s="395" t="s">
        <v>3762</v>
      </c>
      <c r="D38" s="401" t="s">
        <v>3763</v>
      </c>
      <c r="E38" s="396" t="s">
        <v>3765</v>
      </c>
      <c r="F38" s="407">
        <v>50</v>
      </c>
      <c r="G38" s="406">
        <v>4</v>
      </c>
      <c r="H38" s="399">
        <v>200</v>
      </c>
      <c r="I38" s="398">
        <v>0.5</v>
      </c>
      <c r="J38" s="398">
        <v>100</v>
      </c>
      <c r="K38" s="398" t="s">
        <v>3756</v>
      </c>
      <c r="L38" s="463"/>
      <c r="M38" s="464"/>
      <c r="N38" s="467"/>
      <c r="O38" s="467"/>
      <c r="P38" s="467"/>
    </row>
    <row r="39" spans="2:16" ht="18.75" customHeight="1">
      <c r="B39" s="394" t="s">
        <v>3769</v>
      </c>
      <c r="C39" s="395" t="s">
        <v>3762</v>
      </c>
      <c r="D39" s="401" t="s">
        <v>3763</v>
      </c>
      <c r="E39" s="396" t="s">
        <v>3766</v>
      </c>
      <c r="F39" s="407">
        <v>50</v>
      </c>
      <c r="G39" s="406">
        <v>4</v>
      </c>
      <c r="H39" s="399">
        <v>200</v>
      </c>
      <c r="I39" s="398">
        <v>0.5</v>
      </c>
      <c r="J39" s="398">
        <v>100</v>
      </c>
      <c r="K39" s="398" t="s">
        <v>3756</v>
      </c>
      <c r="L39" s="463"/>
      <c r="M39" s="464"/>
      <c r="N39" s="467"/>
      <c r="O39" s="467"/>
      <c r="P39" s="467"/>
    </row>
    <row r="40" spans="2:16" ht="18.75" customHeight="1">
      <c r="B40" s="394" t="s">
        <v>3769</v>
      </c>
      <c r="C40" s="395"/>
      <c r="D40" s="401"/>
      <c r="E40" s="396" t="s">
        <v>299</v>
      </c>
      <c r="F40" s="399"/>
      <c r="G40" s="397"/>
      <c r="H40" s="403">
        <v>1</v>
      </c>
      <c r="I40" s="398">
        <v>12</v>
      </c>
      <c r="J40" s="398">
        <v>12</v>
      </c>
      <c r="K40" s="398"/>
      <c r="L40" s="463"/>
      <c r="M40" s="464"/>
      <c r="N40" s="467"/>
      <c r="O40" s="467"/>
      <c r="P40" s="467"/>
    </row>
    <row r="41" spans="2:16" ht="18.75" customHeight="1">
      <c r="B41" s="394"/>
      <c r="C41" s="395"/>
      <c r="D41" s="401"/>
      <c r="E41" s="402"/>
      <c r="F41" s="399"/>
      <c r="G41" s="397"/>
      <c r="H41" s="403"/>
      <c r="I41" s="398"/>
      <c r="J41" s="398"/>
      <c r="K41" s="398"/>
      <c r="L41" s="463"/>
      <c r="M41" s="464"/>
      <c r="N41" s="465"/>
      <c r="O41" s="467"/>
      <c r="P41" s="467"/>
    </row>
    <row r="42" spans="2:16" ht="18.75" customHeight="1">
      <c r="B42" s="394"/>
      <c r="C42" s="395"/>
      <c r="D42" s="401"/>
      <c r="E42" s="396"/>
      <c r="F42" s="399"/>
      <c r="G42" s="397"/>
      <c r="H42" s="403"/>
      <c r="I42" s="398"/>
      <c r="J42" s="398"/>
      <c r="K42" s="398"/>
    </row>
    <row r="43" spans="2:16" ht="18.75" customHeight="1">
      <c r="B43" s="394"/>
      <c r="C43" s="395"/>
      <c r="D43" s="401"/>
      <c r="E43" s="396"/>
      <c r="F43" s="399"/>
      <c r="G43" s="397"/>
      <c r="H43" s="403"/>
      <c r="I43" s="398"/>
      <c r="J43" s="398"/>
      <c r="K43" s="398"/>
    </row>
    <row r="44" spans="2:16" ht="18.75" customHeight="1">
      <c r="B44" s="394"/>
      <c r="C44" s="395"/>
      <c r="D44" s="401"/>
      <c r="E44" s="396"/>
      <c r="F44" s="399"/>
      <c r="G44" s="397"/>
      <c r="H44" s="403"/>
      <c r="I44" s="398"/>
      <c r="J44" s="398"/>
      <c r="K44" s="398"/>
    </row>
    <row r="45" spans="2:16" ht="18.75" customHeight="1">
      <c r="B45" s="394"/>
      <c r="C45" s="395"/>
      <c r="D45" s="402"/>
      <c r="E45" s="396"/>
      <c r="F45" s="399"/>
      <c r="G45" s="397"/>
      <c r="H45" s="407"/>
      <c r="I45" s="947"/>
      <c r="J45" s="398"/>
      <c r="K45" s="398"/>
    </row>
    <row r="46" spans="2:16" ht="18.75" customHeight="1">
      <c r="B46" s="394"/>
      <c r="C46" s="395"/>
      <c r="D46" s="402"/>
      <c r="E46" s="396"/>
      <c r="F46" s="399"/>
      <c r="G46" s="397"/>
      <c r="H46" s="407"/>
      <c r="I46" s="947"/>
      <c r="J46" s="398"/>
      <c r="K46" s="398"/>
    </row>
    <row r="47" spans="2:16" ht="18.75" customHeight="1">
      <c r="B47" s="394"/>
      <c r="C47" s="395"/>
      <c r="D47" s="402"/>
      <c r="E47" s="396"/>
      <c r="F47" s="399"/>
      <c r="G47" s="397"/>
      <c r="H47" s="407"/>
      <c r="I47" s="947"/>
      <c r="J47" s="398"/>
      <c r="K47" s="398"/>
    </row>
    <row r="48" spans="2:16" ht="18.75" customHeight="1">
      <c r="B48" s="394"/>
      <c r="C48" s="395"/>
      <c r="D48" s="402"/>
      <c r="E48" s="396"/>
      <c r="F48" s="399"/>
      <c r="G48" s="397"/>
      <c r="H48" s="407"/>
      <c r="I48" s="947"/>
      <c r="J48" s="398"/>
      <c r="K48" s="398"/>
    </row>
    <row r="49" spans="2:11" ht="18.75" customHeight="1">
      <c r="B49" s="394"/>
      <c r="C49" s="395"/>
      <c r="D49" s="401"/>
      <c r="E49" s="402"/>
      <c r="F49" s="399"/>
      <c r="G49" s="397"/>
      <c r="H49" s="403"/>
      <c r="I49" s="398"/>
      <c r="J49" s="398"/>
      <c r="K49" s="398"/>
    </row>
    <row r="50" spans="2:11" ht="18.75" customHeight="1">
      <c r="B50" s="394"/>
      <c r="C50" s="395"/>
      <c r="D50" s="404"/>
      <c r="E50" s="396"/>
      <c r="F50" s="407"/>
      <c r="G50" s="406"/>
      <c r="H50" s="407"/>
      <c r="I50" s="396"/>
      <c r="J50" s="400"/>
      <c r="K50" s="400"/>
    </row>
    <row r="51" spans="2:11" ht="18.75" customHeight="1">
      <c r="B51" s="394"/>
      <c r="C51" s="395"/>
      <c r="D51" s="404"/>
      <c r="E51" s="396"/>
      <c r="F51" s="399"/>
      <c r="G51" s="397"/>
      <c r="H51" s="399"/>
      <c r="I51" s="405"/>
      <c r="J51" s="398"/>
      <c r="K51" s="398"/>
    </row>
    <row r="52" spans="2:11" ht="18.75" customHeight="1">
      <c r="B52" s="394"/>
      <c r="C52" s="395"/>
      <c r="D52" s="404"/>
      <c r="E52" s="396"/>
      <c r="F52" s="407"/>
      <c r="G52" s="406"/>
      <c r="H52" s="407"/>
      <c r="I52" s="396"/>
      <c r="J52" s="400"/>
      <c r="K52" s="400"/>
    </row>
    <row r="53" spans="2:11" ht="18.75" customHeight="1">
      <c r="B53" s="394"/>
      <c r="C53" s="395"/>
      <c r="D53" s="404"/>
      <c r="E53" s="396"/>
      <c r="F53" s="399"/>
      <c r="G53" s="397"/>
      <c r="H53" s="399"/>
      <c r="I53" s="405"/>
      <c r="J53" s="398"/>
      <c r="K53" s="398"/>
    </row>
    <row r="54" spans="2:11" ht="18.75" customHeight="1">
      <c r="B54" s="394"/>
      <c r="C54" s="395"/>
      <c r="D54" s="401"/>
      <c r="E54" s="402"/>
      <c r="F54" s="399"/>
      <c r="G54" s="397"/>
      <c r="H54" s="399"/>
      <c r="I54" s="398"/>
      <c r="J54" s="398"/>
      <c r="K54" s="400"/>
    </row>
    <row r="55" spans="2:11" ht="18.75" customHeight="1">
      <c r="B55" s="394"/>
      <c r="C55" s="395"/>
      <c r="D55" s="401"/>
      <c r="E55" s="402"/>
      <c r="F55" s="399"/>
      <c r="G55" s="397"/>
      <c r="H55" s="403"/>
      <c r="I55" s="398"/>
      <c r="J55" s="398"/>
      <c r="K55" s="400"/>
    </row>
    <row r="56" spans="2:11" ht="18.75" customHeight="1">
      <c r="B56" s="394"/>
      <c r="C56" s="395"/>
      <c r="D56" s="402"/>
      <c r="E56" s="402"/>
      <c r="F56" s="408"/>
      <c r="G56" s="408"/>
      <c r="H56" s="409"/>
      <c r="I56" s="398"/>
      <c r="J56" s="398"/>
      <c r="K56" s="398"/>
    </row>
    <row r="57" spans="2:11" ht="18.75" customHeight="1">
      <c r="B57" s="410"/>
      <c r="C57" s="395"/>
      <c r="D57" s="396"/>
      <c r="E57" s="396"/>
      <c r="F57" s="396"/>
      <c r="G57" s="396"/>
      <c r="H57" s="396"/>
      <c r="I57" s="411"/>
      <c r="J57" s="411"/>
      <c r="K57" s="396"/>
    </row>
    <row r="58" spans="2:11" ht="18.75" customHeight="1">
      <c r="B58" s="410"/>
      <c r="C58" s="395"/>
      <c r="D58" s="396"/>
      <c r="E58" s="396"/>
      <c r="F58" s="396"/>
      <c r="G58" s="396"/>
      <c r="H58" s="396"/>
      <c r="I58" s="411"/>
      <c r="J58" s="411"/>
      <c r="K58" s="396"/>
    </row>
    <row r="59" spans="2:11" ht="18.75" customHeight="1">
      <c r="B59" s="410"/>
      <c r="C59" s="395"/>
      <c r="D59" s="396"/>
      <c r="E59" s="396"/>
      <c r="F59" s="396"/>
      <c r="G59" s="396"/>
      <c r="H59" s="396"/>
      <c r="I59" s="411"/>
      <c r="J59" s="411"/>
      <c r="K59" s="396"/>
    </row>
    <row r="60" spans="2:11" ht="18.75" customHeight="1">
      <c r="B60" s="410"/>
      <c r="C60" s="395"/>
      <c r="D60" s="396"/>
      <c r="E60" s="396"/>
      <c r="F60" s="396"/>
      <c r="G60" s="396"/>
      <c r="H60" s="396"/>
      <c r="I60" s="411"/>
      <c r="J60" s="411"/>
      <c r="K60" s="396"/>
    </row>
    <row r="61" spans="2:11" ht="18.75" customHeight="1">
      <c r="B61" s="410"/>
      <c r="C61" s="395"/>
      <c r="D61" s="396"/>
      <c r="E61" s="396"/>
      <c r="F61" s="396"/>
      <c r="G61" s="396"/>
      <c r="H61" s="396"/>
      <c r="I61" s="411"/>
      <c r="J61" s="411"/>
      <c r="K61" s="396"/>
    </row>
    <row r="62" spans="2:11" ht="18.75" customHeight="1">
      <c r="B62" s="410"/>
      <c r="C62" s="395"/>
      <c r="D62" s="396"/>
      <c r="E62" s="396"/>
      <c r="F62" s="396"/>
      <c r="G62" s="396"/>
      <c r="H62" s="396"/>
      <c r="I62" s="411"/>
      <c r="J62" s="411"/>
      <c r="K62" s="396"/>
    </row>
    <row r="63" spans="2:11" ht="18.75" customHeight="1">
      <c r="B63" s="410"/>
      <c r="C63" s="395"/>
      <c r="D63" s="396"/>
      <c r="E63" s="396"/>
      <c r="F63" s="396"/>
      <c r="G63" s="396"/>
      <c r="H63" s="396"/>
      <c r="I63" s="411"/>
      <c r="J63" s="411"/>
      <c r="K63" s="396"/>
    </row>
    <row r="64" spans="2:11" ht="18.75" customHeight="1">
      <c r="B64" s="410"/>
      <c r="C64" s="395"/>
      <c r="D64" s="396"/>
      <c r="E64" s="396"/>
      <c r="F64" s="396"/>
      <c r="G64" s="396"/>
      <c r="H64" s="396"/>
      <c r="I64" s="411"/>
      <c r="J64" s="411"/>
      <c r="K64" s="396"/>
    </row>
    <row r="65" spans="1:11" ht="18.75" customHeight="1">
      <c r="B65" s="410"/>
      <c r="C65" s="395"/>
      <c r="D65" s="396"/>
      <c r="E65" s="396"/>
      <c r="F65" s="396"/>
      <c r="G65" s="396"/>
      <c r="H65" s="396"/>
      <c r="I65" s="411"/>
      <c r="J65" s="411"/>
      <c r="K65" s="396"/>
    </row>
    <row r="66" spans="1:11" ht="18.75" customHeight="1">
      <c r="B66" s="410"/>
      <c r="C66" s="395"/>
      <c r="D66" s="396"/>
      <c r="E66" s="396"/>
      <c r="F66" s="396"/>
      <c r="G66" s="396"/>
      <c r="H66" s="396"/>
      <c r="I66" s="411"/>
      <c r="J66" s="411"/>
      <c r="K66" s="396"/>
    </row>
    <row r="67" spans="1:11" ht="18.75" customHeight="1">
      <c r="B67" s="410"/>
      <c r="C67" s="395"/>
      <c r="D67" s="396"/>
      <c r="E67" s="396"/>
      <c r="F67" s="396"/>
      <c r="G67" s="396"/>
      <c r="H67" s="396"/>
      <c r="I67" s="411"/>
      <c r="J67" s="411"/>
      <c r="K67" s="396"/>
    </row>
    <row r="68" spans="1:11" ht="18.75" customHeight="1">
      <c r="B68" s="412"/>
      <c r="C68" s="413"/>
      <c r="D68" s="414"/>
      <c r="E68" s="414"/>
      <c r="F68" s="414"/>
      <c r="G68" s="414"/>
      <c r="H68" s="414"/>
      <c r="I68" s="415"/>
      <c r="J68" s="415"/>
      <c r="K68" s="414"/>
    </row>
    <row r="69" spans="1:11" ht="18.75" customHeight="1">
      <c r="A69" s="523" t="s">
        <v>1840</v>
      </c>
      <c r="G69" s="468"/>
      <c r="H69" s="416" t="s">
        <v>1182</v>
      </c>
      <c r="I69" s="417" t="s">
        <v>3455</v>
      </c>
      <c r="J69" s="418">
        <f>IFERROR(SUMIF(K36:K68,I69,J36:J68),"")</f>
        <v>275</v>
      </c>
    </row>
    <row r="70" spans="1:11" ht="18.75" customHeight="1">
      <c r="B70" s="469" t="s">
        <v>366</v>
      </c>
      <c r="D70" s="440" t="s">
        <v>413</v>
      </c>
      <c r="G70" s="468"/>
      <c r="H70" s="419" t="str" cm="1">
        <f t="array" ref="H70">IF(OR(SUMPRODUCT((K36:K68&lt;&gt;"")/COUNTIF(K36:K68,K36:K68&amp;""))=1,SUMPRODUCT((K36:K68&lt;&gt;"")/COUNTIF(K36:K68,K36:K68&amp;""))=0),"","Made In")</f>
        <v/>
      </c>
      <c r="I70" s="388"/>
      <c r="J70" s="411" t="str">
        <f>IFERROR(IF(I70="","",SUMIF(K36:K68,I70,J36:J68)),"")</f>
        <v/>
      </c>
    </row>
    <row r="71" spans="1:11" ht="18.75" customHeight="1">
      <c r="B71" s="470" t="s">
        <v>367</v>
      </c>
      <c r="D71" s="468" t="s">
        <v>2776</v>
      </c>
      <c r="E71" s="382" t="s">
        <v>3090</v>
      </c>
      <c r="G71" s="468"/>
      <c r="H71" s="420" t="str" cm="1">
        <f t="array" ref="H71">IF(SUMPRODUCT((K36:K68&lt;&gt;"")/COUNTIF(K36:K68,K36:K68&amp;""))&lt;&gt;3,"","Made In")</f>
        <v/>
      </c>
      <c r="I71" s="385"/>
      <c r="J71" s="415" t="str">
        <f>IFERROR(IF(I71="","",SUMIF(K37:K69,I71,J37:J69)),"")</f>
        <v/>
      </c>
    </row>
    <row r="72" spans="1:11" ht="18.75" customHeight="1" thickBot="1">
      <c r="B72" s="470" t="s">
        <v>368</v>
      </c>
      <c r="D72" s="471" t="s">
        <v>416</v>
      </c>
      <c r="H72" s="1253" t="s">
        <v>1176</v>
      </c>
      <c r="I72" s="1253"/>
      <c r="J72" s="421" t="s">
        <v>2775</v>
      </c>
    </row>
    <row r="73" spans="1:11" ht="18.75" customHeight="1" thickBot="1">
      <c r="B73" s="470" t="s">
        <v>369</v>
      </c>
      <c r="D73" s="468" t="s">
        <v>414</v>
      </c>
      <c r="E73" s="382" t="s">
        <v>3091</v>
      </c>
      <c r="H73" s="1251" t="s">
        <v>412</v>
      </c>
      <c r="I73" s="1252"/>
      <c r="J73" s="482">
        <f>SUM(J36:J68,J72)</f>
        <v>287</v>
      </c>
    </row>
    <row r="74" spans="1:11" ht="18.75" customHeight="1">
      <c r="B74" s="470" t="s">
        <v>370</v>
      </c>
      <c r="D74" s="468" t="s">
        <v>1050</v>
      </c>
      <c r="E74" s="382" t="s">
        <v>3092</v>
      </c>
    </row>
    <row r="76" spans="1:11" ht="18.75" customHeight="1">
      <c r="B76" s="470" t="s">
        <v>1051</v>
      </c>
      <c r="H76" s="469" t="s">
        <v>374</v>
      </c>
    </row>
    <row r="77" spans="1:11" ht="18.75" customHeight="1">
      <c r="B77" s="422"/>
      <c r="C77" s="423"/>
      <c r="D77" s="423"/>
      <c r="E77" s="424"/>
      <c r="F77" s="425"/>
    </row>
    <row r="78" spans="1:11" ht="18.75" customHeight="1">
      <c r="B78" s="426"/>
      <c r="F78" s="427"/>
    </row>
    <row r="79" spans="1:11" ht="18.75" customHeight="1">
      <c r="B79" s="426"/>
      <c r="F79" s="427"/>
    </row>
    <row r="80" spans="1:11" ht="18.75" customHeight="1">
      <c r="B80" s="428"/>
      <c r="C80" s="429"/>
      <c r="D80" s="429"/>
      <c r="E80" s="430"/>
      <c r="F80" s="431"/>
      <c r="H80" s="429"/>
      <c r="I80" s="429"/>
      <c r="J80" s="429"/>
      <c r="K80" s="429"/>
    </row>
  </sheetData>
  <mergeCells count="21">
    <mergeCell ref="H73:I73"/>
    <mergeCell ref="H72:I72"/>
    <mergeCell ref="B34:B35"/>
    <mergeCell ref="F29:G29"/>
    <mergeCell ref="C34:E34"/>
    <mergeCell ref="F34:H34"/>
    <mergeCell ref="K34:K35"/>
    <mergeCell ref="J34:J35"/>
    <mergeCell ref="I34:I35"/>
    <mergeCell ref="F31:H31"/>
    <mergeCell ref="D31:E31"/>
    <mergeCell ref="D33:E33"/>
    <mergeCell ref="D3:E3"/>
    <mergeCell ref="A8:A12"/>
    <mergeCell ref="B33:C33"/>
    <mergeCell ref="B14:E17"/>
    <mergeCell ref="F14:K15"/>
    <mergeCell ref="G16:K16"/>
    <mergeCell ref="J17:K17"/>
    <mergeCell ref="J33:K33"/>
    <mergeCell ref="F33:H33"/>
  </mergeCells>
  <phoneticPr fontId="3"/>
  <conditionalFormatting sqref="B31">
    <cfRule type="expression" dxfId="99" priority="11" stopIfTrue="1">
      <formula>$B$31="(SELECT)"</formula>
    </cfRule>
  </conditionalFormatting>
  <conditionalFormatting sqref="F31:H31 C34 F34 B33:H33">
    <cfRule type="containsBlanks" dxfId="98" priority="14" stopIfTrue="1">
      <formula>LEN(TRIM(B31))=0</formula>
    </cfRule>
  </conditionalFormatting>
  <conditionalFormatting sqref="F29">
    <cfRule type="expression" dxfId="97" priority="10" stopIfTrue="1">
      <formula>$F$29="(SELECT)"</formula>
    </cfRule>
  </conditionalFormatting>
  <conditionalFormatting sqref="C18:C20 C24:C26 C21:D22 C27:D28">
    <cfRule type="containsBlanks" dxfId="96" priority="12" stopIfTrue="1">
      <formula>LEN(TRIM(C18))=0</formula>
    </cfRule>
  </conditionalFormatting>
  <conditionalFormatting sqref="C31">
    <cfRule type="expression" dxfId="95" priority="7" stopIfTrue="1">
      <formula>$B$31="Vessel"</formula>
    </cfRule>
    <cfRule type="expression" dxfId="94" priority="8" stopIfTrue="1">
      <formula>$B$31="AIR"</formula>
    </cfRule>
    <cfRule type="expression" dxfId="93" priority="9" stopIfTrue="1">
      <formula>$B$31="Other"</formula>
    </cfRule>
  </conditionalFormatting>
  <conditionalFormatting sqref="C36:K68">
    <cfRule type="expression" dxfId="92" priority="4" stopIfTrue="1">
      <formula>COUNTIF($I36,"*per*")</formula>
    </cfRule>
  </conditionalFormatting>
  <dataValidations count="2">
    <dataValidation type="list" allowBlank="1" showInputMessage="1" showErrorMessage="1" sqref="B31" xr:uid="{00000000-0002-0000-0200-000000000000}">
      <formula1>"(SELECT),FedEx,UPS,DHL,Other,Vessel,AIR"</formula1>
    </dataValidation>
    <dataValidation type="list" allowBlank="1" showInputMessage="1" showErrorMessage="1" sqref="F29:G29" xr:uid="{5C0A3626-5B10-4FE7-ACD1-A05D9D48494A}">
      <formula1>"(SELECT),　,Advanced Payment,NET 30days,NET 60days"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Option Button 1">
              <controlPr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228600</xdr:rowOff>
                  </from>
                  <to>
                    <xdr:col>6</xdr:col>
                    <xdr:colOff>333375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Option Button 2">
              <controlPr defaultSize="0" autoFill="0" autoLine="0" autoPict="0">
                <anchor moveWithCells="1">
                  <from>
                    <xdr:col>7</xdr:col>
                    <xdr:colOff>19050</xdr:colOff>
                    <xdr:row>15</xdr:row>
                    <xdr:rowOff>228600</xdr:rowOff>
                  </from>
                  <to>
                    <xdr:col>7</xdr:col>
                    <xdr:colOff>323850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DataCopy_Invoice_SFAmerica">
                <anchor moveWithCells="1" sizeWithCells="1">
                  <from>
                    <xdr:col>5</xdr:col>
                    <xdr:colOff>57150</xdr:colOff>
                    <xdr:row>2</xdr:row>
                    <xdr:rowOff>0</xdr:rowOff>
                  </from>
                  <to>
                    <xdr:col>5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DataCopy_Invoice_SFOsaka">
                <anchor moveWithCells="1" sizeWithCells="1">
                  <from>
                    <xdr:col>6</xdr:col>
                    <xdr:colOff>57150</xdr:colOff>
                    <xdr:row>2</xdr:row>
                    <xdr:rowOff>0</xdr:rowOff>
                  </from>
                  <to>
                    <xdr:col>6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INVOICE明細クリア">
                <anchor moveWithCells="1" sizeWithCells="1">
                  <from>
                    <xdr:col>7</xdr:col>
                    <xdr:colOff>57150</xdr:colOff>
                    <xdr:row>2</xdr:row>
                    <xdr:rowOff>0</xdr:rowOff>
                  </from>
                  <to>
                    <xdr:col>7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改行設定">
                <anchor moveWithCells="1" sizeWithCells="1">
                  <from>
                    <xdr:col>8</xdr:col>
                    <xdr:colOff>57150</xdr:colOff>
                    <xdr:row>2</xdr:row>
                    <xdr:rowOff>0</xdr:rowOff>
                  </from>
                  <to>
                    <xdr:col>8</xdr:col>
                    <xdr:colOff>895350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2000000}">
          <x14:formula1>
            <xm:f>取引先マスタ!$C:$C</xm:f>
          </x14:formula1>
          <xm:sqref>E5:E6 C3:C4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4"/>
    <pageSetUpPr fitToPage="1"/>
  </sheetPr>
  <dimension ref="A1:K80"/>
  <sheetViews>
    <sheetView showGridLines="0" topLeftCell="A22" zoomScale="85" zoomScaleNormal="85" zoomScaleSheetLayoutView="85" workbookViewId="0">
      <selection activeCell="K36" sqref="K36:K40"/>
    </sheetView>
  </sheetViews>
  <sheetFormatPr defaultColWidth="9" defaultRowHeight="18.75" customHeight="1" outlineLevelRow="1"/>
  <cols>
    <col min="1" max="1" width="16.75" style="438" bestFit="1" customWidth="1"/>
    <col min="2" max="2" width="15" style="381" customWidth="1"/>
    <col min="3" max="3" width="22.5" style="381" customWidth="1"/>
    <col min="4" max="4" width="12.375" style="381" customWidth="1"/>
    <col min="5" max="5" width="25" style="382" customWidth="1"/>
    <col min="6" max="10" width="12.375" style="381" customWidth="1"/>
    <col min="11" max="11" width="12.5" style="381" customWidth="1"/>
    <col min="12" max="16384" width="9" style="381"/>
  </cols>
  <sheetData>
    <row r="1" spans="1:11" s="379" customFormat="1" ht="17.25" customHeight="1" thickBot="1">
      <c r="A1" s="361"/>
      <c r="D1" s="306"/>
      <c r="E1" s="308"/>
      <c r="F1" s="307"/>
      <c r="G1" s="306"/>
      <c r="H1" s="306"/>
    </row>
    <row r="2" spans="1:11" s="379" customFormat="1" ht="17.25" customHeight="1" thickBot="1">
      <c r="A2" s="484" t="s">
        <v>1799</v>
      </c>
      <c r="B2" s="485" t="s">
        <v>1046</v>
      </c>
      <c r="C2" s="486">
        <f>'Invoice(SF米国)'!C2</f>
        <v>7689</v>
      </c>
      <c r="D2" s="381"/>
      <c r="E2" s="382"/>
      <c r="F2" s="434"/>
      <c r="H2" s="364" t="str">
        <f>'Invoice(SF米国)'!E12</f>
        <v>NY</v>
      </c>
    </row>
    <row r="3" spans="1:11" s="379" customFormat="1" ht="17.25" customHeight="1">
      <c r="A3" s="484" t="s">
        <v>1799</v>
      </c>
      <c r="B3" s="487" t="s">
        <v>1047</v>
      </c>
      <c r="C3" s="488" t="str">
        <f>'Invoice(SF米国)'!C3</f>
        <v>(SELECT) - 顧客名</v>
      </c>
      <c r="D3" s="1223" t="s">
        <v>1829</v>
      </c>
      <c r="E3" s="1224"/>
      <c r="H3" s="306"/>
    </row>
    <row r="4" spans="1:11" s="379" customFormat="1" ht="17.25" customHeight="1">
      <c r="A4" s="484" t="s">
        <v>1191</v>
      </c>
      <c r="B4" s="487" t="s">
        <v>1048</v>
      </c>
      <c r="C4" s="488" t="s">
        <v>1186</v>
      </c>
      <c r="D4" s="489" t="s">
        <v>1205</v>
      </c>
      <c r="E4" s="490" t="str">
        <f>'Invoice(SF米国)'!E4</f>
        <v>PO-02618 Punto Group</v>
      </c>
      <c r="H4" s="306"/>
    </row>
    <row r="5" spans="1:11" s="379" customFormat="1" ht="17.25" customHeight="1">
      <c r="A5" s="484" t="s">
        <v>1799</v>
      </c>
      <c r="B5" s="487" t="s">
        <v>1751</v>
      </c>
      <c r="C5" s="491">
        <f>'Invoice(SF米国)'!C5</f>
        <v>5033</v>
      </c>
      <c r="D5" s="492" t="s">
        <v>1205</v>
      </c>
      <c r="E5" s="493" t="e">
        <f>MATCH(TEXT(E4,"@"),'NY BackOrder'!C:C,0)</f>
        <v>#N/A</v>
      </c>
      <c r="H5" s="306"/>
      <c r="I5" s="306"/>
      <c r="J5" s="306"/>
      <c r="K5" s="306"/>
    </row>
    <row r="6" spans="1:11" s="379" customFormat="1" ht="17.25" customHeight="1" thickBot="1">
      <c r="A6" s="484" t="s">
        <v>1799</v>
      </c>
      <c r="B6" s="487" t="s">
        <v>1752</v>
      </c>
      <c r="C6" s="491">
        <f>'Invoice(SF米国)'!C6</f>
        <v>5037</v>
      </c>
      <c r="D6" s="494" t="s">
        <v>1185</v>
      </c>
      <c r="E6" s="495" t="e">
        <f>E5+COUNTIF('NY BackOrder'!C:C,TEXT(E4,"@"))-2</f>
        <v>#N/A</v>
      </c>
      <c r="H6" s="306"/>
      <c r="I6" s="306"/>
      <c r="J6" s="306"/>
      <c r="K6" s="306"/>
    </row>
    <row r="7" spans="1:11" s="379" customFormat="1" ht="17.25" customHeight="1" thickBot="1">
      <c r="A7" s="484" t="s">
        <v>1799</v>
      </c>
      <c r="B7" s="497" t="s">
        <v>1790</v>
      </c>
      <c r="C7" s="498">
        <f>'Invoice(SF米国)'!C7</f>
        <v>36</v>
      </c>
      <c r="D7" s="499"/>
      <c r="E7" s="500"/>
      <c r="F7" s="307"/>
      <c r="G7" s="306"/>
      <c r="H7" s="306"/>
      <c r="I7" s="306"/>
      <c r="J7" s="306"/>
      <c r="K7" s="306"/>
    </row>
    <row r="8" spans="1:11" s="379" customFormat="1" ht="17.25" hidden="1" customHeight="1" outlineLevel="1">
      <c r="A8" s="1225" t="s">
        <v>1835</v>
      </c>
      <c r="B8" s="501" t="s">
        <v>1753</v>
      </c>
      <c r="C8" s="502">
        <f>C6-C5+C7</f>
        <v>40</v>
      </c>
      <c r="D8" s="503" t="s">
        <v>1175</v>
      </c>
      <c r="E8" s="504" t="str">
        <f>"Invoice "&amp;C2&amp;" (OSAKA)"</f>
        <v>Invoice 7689 (OSAKA)</v>
      </c>
      <c r="F8" s="306"/>
      <c r="G8" s="306"/>
      <c r="H8" s="306"/>
      <c r="I8" s="306"/>
      <c r="J8" s="306"/>
      <c r="K8" s="306"/>
    </row>
    <row r="9" spans="1:11" s="379" customFormat="1" ht="17.25" hidden="1" customHeight="1" outlineLevel="1">
      <c r="A9" s="1226"/>
      <c r="B9" s="505" t="s">
        <v>1791</v>
      </c>
      <c r="C9" s="506">
        <f>'Invoice(SF米国)'!C9</f>
        <v>36</v>
      </c>
      <c r="D9" s="507" t="s">
        <v>1814</v>
      </c>
      <c r="E9" s="508" t="str">
        <f ca="1">'Invoice(SF米国)'!E9</f>
        <v>Invoice(SF米国)</v>
      </c>
      <c r="G9" s="306"/>
      <c r="H9" s="306"/>
      <c r="I9" s="306"/>
      <c r="J9" s="306"/>
      <c r="K9" s="306"/>
    </row>
    <row r="10" spans="1:11" s="379" customFormat="1" ht="17.25" hidden="1" customHeight="1" outlineLevel="1">
      <c r="A10" s="1226"/>
      <c r="B10" s="505" t="s">
        <v>1792</v>
      </c>
      <c r="C10" s="506">
        <f>'Invoice(SF米国)'!C10</f>
        <v>68</v>
      </c>
      <c r="D10" s="507" t="s">
        <v>1815</v>
      </c>
      <c r="E10" s="509" t="str">
        <f ca="1">'Invoice(SF米国)'!E10</f>
        <v>Invoice(SF大阪)</v>
      </c>
      <c r="G10" s="306"/>
      <c r="H10" s="306"/>
      <c r="I10" s="306"/>
      <c r="J10" s="306"/>
      <c r="K10" s="306"/>
    </row>
    <row r="11" spans="1:11" s="379" customFormat="1" ht="17.25" hidden="1" customHeight="1" outlineLevel="1">
      <c r="A11" s="1226"/>
      <c r="B11" s="510" t="s">
        <v>1836</v>
      </c>
      <c r="C11" s="511">
        <f>ROW(A69)</f>
        <v>69</v>
      </c>
      <c r="D11" s="512" t="s">
        <v>1816</v>
      </c>
      <c r="E11" s="509" t="str">
        <f ca="1">'Invoice(SF米国)'!E11</f>
        <v>NY BackOrder</v>
      </c>
    </row>
    <row r="12" spans="1:11" s="379" customFormat="1" ht="17.25" hidden="1" customHeight="1" outlineLevel="1" thickBot="1">
      <c r="A12" s="1227"/>
      <c r="B12" s="513" t="s">
        <v>1837</v>
      </c>
      <c r="C12" s="514" t="str" cm="1">
        <f t="array" aca="1" ref="C12" ca="1">LEFT(MID(CELL("filename",A2),10,99),FIND("B",MID(CELL("filename",A2),10,99))-2)</f>
        <v>chiba</v>
      </c>
      <c r="D12" s="515" t="s">
        <v>1838</v>
      </c>
      <c r="E12" s="516" t="str">
        <f>'Invoice(SF米国)'!E12</f>
        <v>NY</v>
      </c>
      <c r="F12" s="435"/>
    </row>
    <row r="13" spans="1:11" s="379" customFormat="1" ht="17.25" customHeight="1" collapsed="1">
      <c r="A13" s="434"/>
      <c r="B13" s="434"/>
      <c r="C13" s="437"/>
      <c r="E13" s="380"/>
      <c r="F13" s="435"/>
    </row>
    <row r="14" spans="1:11" ht="18.75" customHeight="1">
      <c r="B14" s="1230" t="s">
        <v>2799</v>
      </c>
      <c r="C14" s="1231"/>
      <c r="D14" s="1231"/>
      <c r="E14" s="1231"/>
      <c r="F14" s="1233" t="s">
        <v>1177</v>
      </c>
      <c r="G14" s="1233"/>
      <c r="H14" s="1233"/>
      <c r="I14" s="1233"/>
      <c r="J14" s="1233"/>
      <c r="K14" s="1233"/>
    </row>
    <row r="15" spans="1:11" ht="18.75" customHeight="1">
      <c r="B15" s="1231"/>
      <c r="C15" s="1231"/>
      <c r="D15" s="1231"/>
      <c r="E15" s="1231"/>
      <c r="F15" s="1233"/>
      <c r="G15" s="1233"/>
      <c r="H15" s="1233"/>
      <c r="I15" s="1233"/>
      <c r="J15" s="1233"/>
      <c r="K15" s="1233"/>
    </row>
    <row r="16" spans="1:11" ht="18.75" customHeight="1">
      <c r="B16" s="1231"/>
      <c r="C16" s="1231"/>
      <c r="D16" s="1231"/>
      <c r="E16" s="1231"/>
      <c r="F16" s="439" t="s">
        <v>403</v>
      </c>
      <c r="G16" s="1234">
        <f>C2</f>
        <v>7689</v>
      </c>
      <c r="H16" s="1234"/>
      <c r="I16" s="1234"/>
      <c r="J16" s="1234"/>
      <c r="K16" s="1234"/>
    </row>
    <row r="17" spans="2:11" ht="18.75" customHeight="1">
      <c r="B17" s="1232"/>
      <c r="C17" s="1232"/>
      <c r="D17" s="1232"/>
      <c r="E17" s="1232"/>
      <c r="F17" s="440" t="s">
        <v>404</v>
      </c>
      <c r="G17" s="429" t="s">
        <v>415</v>
      </c>
      <c r="H17" s="429" t="s">
        <v>1180</v>
      </c>
      <c r="I17" s="440" t="s">
        <v>405</v>
      </c>
      <c r="J17" s="1235">
        <f ca="1">IF('Invoice(SF米国)'!J17="","",'Invoice(SF米国)'!J17)</f>
        <v>46114</v>
      </c>
      <c r="K17" s="1235"/>
    </row>
    <row r="18" spans="2:11" ht="18.75" customHeight="1">
      <c r="B18" s="442" t="s">
        <v>391</v>
      </c>
      <c r="C18" s="443" t="str">
        <f>C3</f>
        <v>(SELECT) - 顧客名</v>
      </c>
      <c r="D18" s="444"/>
      <c r="E18" s="445"/>
      <c r="F18" s="446" t="s">
        <v>397</v>
      </c>
      <c r="G18" s="447"/>
      <c r="H18" s="448"/>
      <c r="I18" s="446" t="s">
        <v>400</v>
      </c>
      <c r="J18" s="447"/>
      <c r="K18" s="448"/>
    </row>
    <row r="19" spans="2:11" ht="18.75" customHeight="1">
      <c r="B19" s="426"/>
      <c r="C19" s="449" t="str">
        <f>IFERROR(VLOOKUP(C3,取引先マスタ!C:E,3,FALSE),"")</f>
        <v>ADDRESS 1</v>
      </c>
      <c r="D19" s="387"/>
      <c r="E19" s="388"/>
      <c r="F19" s="383"/>
      <c r="G19" s="384"/>
      <c r="H19" s="385"/>
      <c r="I19" s="383"/>
      <c r="J19" s="384"/>
      <c r="K19" s="385"/>
    </row>
    <row r="20" spans="2:11" ht="18.75" customHeight="1">
      <c r="B20" s="426"/>
      <c r="C20" s="449" t="str">
        <f>IFERROR(VLOOKUP(C3,取引先マスタ!C:F,4,FALSE),"")</f>
        <v>ADDRESS 2</v>
      </c>
      <c r="D20" s="387"/>
      <c r="E20" s="388"/>
      <c r="F20" s="446" t="s">
        <v>398</v>
      </c>
      <c r="G20" s="447"/>
      <c r="H20" s="448"/>
      <c r="I20" s="446" t="s">
        <v>399</v>
      </c>
      <c r="J20" s="447"/>
      <c r="K20" s="448"/>
    </row>
    <row r="21" spans="2:11" ht="18.75" customHeight="1">
      <c r="B21" s="426"/>
      <c r="C21" s="450" t="str">
        <f>IFERROR(IF(VLOOKUP(C3,取引先マスタ!C:G,5,FALSE)=0,"Country: ","Country: "&amp;VLOOKUP(C3,取引先マスタ!C:G,5,FALSE)),"")</f>
        <v>Country: COUNTRY</v>
      </c>
      <c r="D21" s="387" t="str">
        <f>IFERROR(IF(VLOOKUP(C3,取引先マスタ!C:D,2,FALSE)=0,"Zip Code: ","Zip Code: "&amp;VLOOKUP(C3,取引先マスタ!C:D,2,FALSE)),"")</f>
        <v>Zip Code: ZIP CODE</v>
      </c>
      <c r="E21" s="388"/>
      <c r="F21" s="383"/>
      <c r="G21" s="384"/>
      <c r="H21" s="385"/>
      <c r="I21" s="383"/>
      <c r="J21" s="384"/>
      <c r="K21" s="385"/>
    </row>
    <row r="22" spans="2:11" ht="18.75" customHeight="1">
      <c r="B22" s="426"/>
      <c r="C22" s="450" t="str">
        <f>IFERROR(IF(VLOOKUP(C3,取引先マスタ!C:H,6,FALSE)=0,"Tel: ",VLOOKUP(C3,取引先マスタ!C:H,6,FALSE)),"")</f>
        <v>TEL</v>
      </c>
      <c r="D22" s="387" t="str">
        <f>IFERROR(IF(VLOOKUP(C3,取引先マスタ!C:I,7,FALSE)=0,"Attn: ","Attn: "&amp;VLOOKUP(C3,取引先マスタ!C:I,7,FALSE)),"")</f>
        <v>Attn: ATTENTION</v>
      </c>
      <c r="E22" s="388"/>
      <c r="F22" s="446" t="s">
        <v>393</v>
      </c>
      <c r="G22" s="447"/>
      <c r="H22" s="447"/>
      <c r="I22" s="447"/>
      <c r="J22" s="447"/>
      <c r="K22" s="448"/>
    </row>
    <row r="23" spans="2:11" ht="18.75" customHeight="1">
      <c r="B23" s="428"/>
      <c r="C23" s="432"/>
      <c r="D23" s="384"/>
      <c r="E23" s="385"/>
      <c r="F23" s="451" t="s">
        <v>394</v>
      </c>
      <c r="G23" s="386" t="s">
        <v>1192</v>
      </c>
      <c r="H23" s="387"/>
      <c r="I23" s="387"/>
      <c r="J23" s="387"/>
      <c r="K23" s="388"/>
    </row>
    <row r="24" spans="2:11" ht="18.75" customHeight="1">
      <c r="B24" s="442" t="s">
        <v>390</v>
      </c>
      <c r="C24" s="443" t="str">
        <f>C4</f>
        <v>SUN FASHION AMERICA, INC.</v>
      </c>
      <c r="D24" s="444"/>
      <c r="E24" s="445"/>
      <c r="F24" s="451" t="s">
        <v>395</v>
      </c>
      <c r="G24" s="386" t="s">
        <v>1193</v>
      </c>
      <c r="H24" s="387"/>
      <c r="I24" s="387"/>
      <c r="J24" s="387"/>
      <c r="K24" s="388"/>
    </row>
    <row r="25" spans="2:11" ht="18.75" customHeight="1">
      <c r="B25" s="426"/>
      <c r="C25" s="449" t="str">
        <f>IFERROR(VLOOKUP(C4,取引先マスタ!C:E,3,FALSE),"")</f>
        <v>265 West 37th Street 7th Floor</v>
      </c>
      <c r="D25" s="387"/>
      <c r="E25" s="388"/>
      <c r="F25" s="451" t="s">
        <v>352</v>
      </c>
      <c r="G25" s="386" t="s">
        <v>1194</v>
      </c>
      <c r="H25" s="387"/>
      <c r="I25" s="387"/>
      <c r="J25" s="387"/>
      <c r="K25" s="388"/>
    </row>
    <row r="26" spans="2:11" ht="18.75" customHeight="1">
      <c r="B26" s="426"/>
      <c r="C26" s="449" t="str">
        <f>IFERROR(VLOOKUP(C4,取引先マスタ!C:F,4,FALSE),"")</f>
        <v>New York, NY</v>
      </c>
      <c r="D26" s="387"/>
      <c r="E26" s="388"/>
      <c r="F26" s="451" t="s">
        <v>396</v>
      </c>
      <c r="G26" s="386" t="s">
        <v>1195</v>
      </c>
      <c r="H26" s="387"/>
      <c r="I26" s="387"/>
      <c r="J26" s="387"/>
      <c r="K26" s="388"/>
    </row>
    <row r="27" spans="2:11" ht="18.75" customHeight="1">
      <c r="B27" s="426"/>
      <c r="C27" s="450" t="str">
        <f>IFERROR(IF(VLOOKUP(C4,取引先マスタ!C:G,5,FALSE)=0,"Country: ","Country: "&amp;VLOOKUP(C4,取引先マスタ!C:G,5,FALSE)),"")</f>
        <v>Country: U.S.A.</v>
      </c>
      <c r="D27" s="387" t="str">
        <f>IFERROR(IF(VLOOKUP(C4,取引先マスタ!C:D,2,FALSE)=0,"Zip Code: ","Zip Code: "&amp;VLOOKUP(C4,取引先マスタ!C:D,2,FALSE)),"")</f>
        <v>Zip Code: 10018</v>
      </c>
      <c r="E27" s="388"/>
      <c r="F27" s="383" t="s">
        <v>402</v>
      </c>
      <c r="G27" s="389" t="s">
        <v>1196</v>
      </c>
      <c r="H27" s="384"/>
      <c r="I27" s="390" t="s">
        <v>401</v>
      </c>
      <c r="J27" s="390" t="s">
        <v>1197</v>
      </c>
      <c r="K27" s="385"/>
    </row>
    <row r="28" spans="2:11" ht="18.75" customHeight="1">
      <c r="B28" s="426"/>
      <c r="C28" s="450" t="str">
        <f>IFERROR(IF(VLOOKUP(C4,取引先マスタ!C:H,6,FALSE)=0,"Tel: ",VLOOKUP(C4,取引先マスタ!C:H,6,FALSE)),"")</f>
        <v>Tel: 1-845-633-2131</v>
      </c>
      <c r="D28" s="387" t="str">
        <f>IFERROR(IF(VLOOKUP(C4,取引先マスタ!C:I,7,FALSE)=0,"Attn: ","Attn: "&amp;VLOOKUP(C4,取引先マスタ!C:I,7,FALSE)),"")</f>
        <v>Attn: Mie Kobayashi</v>
      </c>
      <c r="E28" s="388"/>
      <c r="F28" s="446" t="s">
        <v>392</v>
      </c>
      <c r="G28" s="447"/>
      <c r="H28" s="447"/>
      <c r="I28" s="447"/>
      <c r="J28" s="447"/>
      <c r="K28" s="448"/>
    </row>
    <row r="29" spans="2:11" ht="18.75" customHeight="1">
      <c r="B29" s="426"/>
      <c r="C29" s="432"/>
      <c r="D29" s="384"/>
      <c r="E29" s="385"/>
      <c r="F29" s="1264" t="s">
        <v>1198</v>
      </c>
      <c r="G29" s="1265"/>
      <c r="H29" s="472"/>
      <c r="I29" s="472"/>
      <c r="J29" s="472"/>
      <c r="K29" s="459"/>
    </row>
    <row r="30" spans="2:11" ht="18.75" customHeight="1">
      <c r="B30" s="446" t="s">
        <v>383</v>
      </c>
      <c r="C30" s="452"/>
      <c r="D30" s="446" t="s">
        <v>384</v>
      </c>
      <c r="E30" s="453"/>
      <c r="F30" s="446" t="s">
        <v>386</v>
      </c>
      <c r="G30" s="454"/>
      <c r="H30" s="452"/>
      <c r="I30" s="446" t="s">
        <v>388</v>
      </c>
      <c r="J30" s="455"/>
      <c r="K30" s="456"/>
    </row>
    <row r="31" spans="2:11" ht="18.75" customHeight="1">
      <c r="B31" s="477" t="str">
        <f>'Invoice(SF米国)'!B31</f>
        <v>(SELECT)</v>
      </c>
      <c r="C31" s="385"/>
      <c r="D31" s="1250" t="str">
        <f>IF('Invoice(SF米国)'!D31="","",'Invoice(SF米国)'!D31)</f>
        <v>Osaka, Japan</v>
      </c>
      <c r="E31" s="1249"/>
      <c r="F31" s="1247">
        <f ca="1">J17</f>
        <v>46114</v>
      </c>
      <c r="G31" s="1248"/>
      <c r="H31" s="1249"/>
      <c r="I31" s="457" t="s">
        <v>409</v>
      </c>
      <c r="J31" s="458" t="str">
        <f>IF('Invoice(SF米国)'!J31="","",'Invoice(SF米国)'!J31)</f>
        <v/>
      </c>
      <c r="K31" s="459"/>
    </row>
    <row r="32" spans="2:11" ht="18.75" customHeight="1">
      <c r="B32" s="446" t="s">
        <v>382</v>
      </c>
      <c r="C32" s="452"/>
      <c r="D32" s="446" t="s">
        <v>385</v>
      </c>
      <c r="E32" s="453"/>
      <c r="F32" s="446" t="s">
        <v>387</v>
      </c>
      <c r="G32" s="454"/>
      <c r="H32" s="452"/>
      <c r="I32" s="478"/>
      <c r="J32" s="479"/>
      <c r="K32" s="480"/>
    </row>
    <row r="33" spans="2:11" ht="18.75" customHeight="1" thickBot="1">
      <c r="B33" s="1228" t="str">
        <f>IF('Invoice(SF米国)'!B33="","",'Invoice(SF米国)'!B33)</f>
        <v>New York, U.S.A</v>
      </c>
      <c r="C33" s="1229"/>
      <c r="D33" s="1228" t="str">
        <f>IF('Invoice(SF米国)'!D33="","",'Invoice(SF米国)'!D33)</f>
        <v>New York, U.S.A</v>
      </c>
      <c r="E33" s="1229"/>
      <c r="F33" s="1238" t="str">
        <f>IF('Invoice(SF米国)'!F33="","",'Invoice(SF米国)'!F33)</f>
        <v>-</v>
      </c>
      <c r="G33" s="1239"/>
      <c r="H33" s="1240"/>
      <c r="I33" s="460" t="s">
        <v>389</v>
      </c>
      <c r="J33" s="1236" t="s">
        <v>1199</v>
      </c>
      <c r="K33" s="1237"/>
    </row>
    <row r="34" spans="2:11" ht="18.75" customHeight="1" thickTop="1">
      <c r="B34" s="1267" t="s">
        <v>376</v>
      </c>
      <c r="C34" s="1258" t="s">
        <v>410</v>
      </c>
      <c r="D34" s="1258"/>
      <c r="E34" s="1258"/>
      <c r="F34" s="1259" t="s">
        <v>411</v>
      </c>
      <c r="G34" s="1260"/>
      <c r="H34" s="1261"/>
      <c r="I34" s="1268" t="s">
        <v>380</v>
      </c>
      <c r="J34" s="1269" t="s">
        <v>381</v>
      </c>
      <c r="K34" s="1266" t="s">
        <v>269</v>
      </c>
    </row>
    <row r="35" spans="2:11" ht="18.75" customHeight="1" thickBot="1">
      <c r="B35" s="1255"/>
      <c r="C35" s="461" t="s">
        <v>273</v>
      </c>
      <c r="D35" s="461" t="s">
        <v>33</v>
      </c>
      <c r="E35" s="462" t="s">
        <v>34</v>
      </c>
      <c r="F35" s="461" t="s">
        <v>377</v>
      </c>
      <c r="G35" s="461" t="s">
        <v>378</v>
      </c>
      <c r="H35" s="461" t="s">
        <v>379</v>
      </c>
      <c r="I35" s="1246"/>
      <c r="J35" s="1244"/>
      <c r="K35" s="1242"/>
    </row>
    <row r="36" spans="2:11" ht="18.75" customHeight="1" thickTop="1">
      <c r="B36" s="391" t="s">
        <v>3769</v>
      </c>
      <c r="C36" s="392" t="s">
        <v>3770</v>
      </c>
      <c r="D36" s="1139"/>
      <c r="E36" s="393"/>
      <c r="F36" s="1140"/>
      <c r="G36" s="1138"/>
      <c r="H36" s="1140"/>
      <c r="I36" s="1141"/>
      <c r="J36" s="393"/>
      <c r="K36" s="1120"/>
    </row>
    <row r="37" spans="2:11" ht="18.75" customHeight="1">
      <c r="B37" s="394" t="s">
        <v>3769</v>
      </c>
      <c r="C37" s="395" t="s">
        <v>3762</v>
      </c>
      <c r="D37" s="401" t="s">
        <v>3763</v>
      </c>
      <c r="E37" s="396" t="s">
        <v>3764</v>
      </c>
      <c r="F37" s="407">
        <v>50</v>
      </c>
      <c r="G37" s="406">
        <v>3</v>
      </c>
      <c r="H37" s="399">
        <v>150</v>
      </c>
      <c r="I37" s="405">
        <v>0.35</v>
      </c>
      <c r="J37" s="405">
        <v>52.5</v>
      </c>
      <c r="K37" s="398" t="s">
        <v>3756</v>
      </c>
    </row>
    <row r="38" spans="2:11" ht="18.75" customHeight="1">
      <c r="B38" s="394" t="s">
        <v>3769</v>
      </c>
      <c r="C38" s="395" t="s">
        <v>3762</v>
      </c>
      <c r="D38" s="401" t="s">
        <v>3763</v>
      </c>
      <c r="E38" s="396" t="s">
        <v>3765</v>
      </c>
      <c r="F38" s="407">
        <v>50</v>
      </c>
      <c r="G38" s="406">
        <v>4</v>
      </c>
      <c r="H38" s="399">
        <v>200</v>
      </c>
      <c r="I38" s="405">
        <v>0.35</v>
      </c>
      <c r="J38" s="405">
        <v>70</v>
      </c>
      <c r="K38" s="398" t="s">
        <v>3756</v>
      </c>
    </row>
    <row r="39" spans="2:11" ht="18.75" customHeight="1">
      <c r="B39" s="394" t="s">
        <v>3769</v>
      </c>
      <c r="C39" s="395" t="s">
        <v>3762</v>
      </c>
      <c r="D39" s="401" t="s">
        <v>3763</v>
      </c>
      <c r="E39" s="396" t="s">
        <v>3766</v>
      </c>
      <c r="F39" s="407">
        <v>50</v>
      </c>
      <c r="G39" s="406">
        <v>4</v>
      </c>
      <c r="H39" s="399">
        <v>200</v>
      </c>
      <c r="I39" s="405">
        <v>0.35</v>
      </c>
      <c r="J39" s="405">
        <v>70</v>
      </c>
      <c r="K39" s="398" t="s">
        <v>3756</v>
      </c>
    </row>
    <row r="40" spans="2:11" ht="18.75" customHeight="1">
      <c r="B40" s="394" t="s">
        <v>3769</v>
      </c>
      <c r="C40" s="395"/>
      <c r="D40" s="401"/>
      <c r="E40" s="396" t="s">
        <v>299</v>
      </c>
      <c r="F40" s="399"/>
      <c r="G40" s="397"/>
      <c r="H40" s="403">
        <v>1</v>
      </c>
      <c r="I40" s="405">
        <v>12</v>
      </c>
      <c r="J40" s="405">
        <v>12</v>
      </c>
      <c r="K40" s="398"/>
    </row>
    <row r="41" spans="2:11" ht="18.75" customHeight="1">
      <c r="B41" s="394"/>
      <c r="C41" s="395"/>
      <c r="D41" s="401"/>
      <c r="E41" s="402"/>
      <c r="F41" s="399"/>
      <c r="G41" s="397"/>
      <c r="H41" s="403"/>
      <c r="I41" s="405"/>
      <c r="J41" s="405"/>
      <c r="K41" s="398"/>
    </row>
    <row r="42" spans="2:11" ht="18.75" customHeight="1">
      <c r="B42" s="394"/>
      <c r="C42" s="395"/>
      <c r="D42" s="401"/>
      <c r="E42" s="396"/>
      <c r="F42" s="399"/>
      <c r="G42" s="397"/>
      <c r="H42" s="403"/>
      <c r="I42" s="405"/>
      <c r="J42" s="405"/>
      <c r="K42" s="398"/>
    </row>
    <row r="43" spans="2:11" ht="18.75" customHeight="1">
      <c r="B43" s="394"/>
      <c r="C43" s="395"/>
      <c r="D43" s="401"/>
      <c r="E43" s="396"/>
      <c r="F43" s="399"/>
      <c r="G43" s="397"/>
      <c r="H43" s="403"/>
      <c r="I43" s="398"/>
      <c r="J43" s="405"/>
      <c r="K43" s="398"/>
    </row>
    <row r="44" spans="2:11" ht="18.75" customHeight="1">
      <c r="B44" s="394"/>
      <c r="C44" s="395"/>
      <c r="D44" s="401"/>
      <c r="E44" s="396"/>
      <c r="F44" s="399"/>
      <c r="G44" s="397"/>
      <c r="H44" s="403"/>
      <c r="I44" s="398"/>
      <c r="J44" s="405"/>
      <c r="K44" s="398"/>
    </row>
    <row r="45" spans="2:11" ht="18.75" customHeight="1">
      <c r="B45" s="394"/>
      <c r="C45" s="395"/>
      <c r="D45" s="402"/>
      <c r="E45" s="396"/>
      <c r="F45" s="399"/>
      <c r="G45" s="397"/>
      <c r="H45" s="407"/>
      <c r="I45" s="405"/>
      <c r="J45" s="405"/>
      <c r="K45" s="398"/>
    </row>
    <row r="46" spans="2:11" ht="18.75" customHeight="1">
      <c r="B46" s="394"/>
      <c r="C46" s="395"/>
      <c r="D46" s="402"/>
      <c r="E46" s="396"/>
      <c r="F46" s="399"/>
      <c r="G46" s="397"/>
      <c r="H46" s="407"/>
      <c r="I46" s="405"/>
      <c r="J46" s="405"/>
      <c r="K46" s="398"/>
    </row>
    <row r="47" spans="2:11" ht="18.75" customHeight="1">
      <c r="B47" s="394"/>
      <c r="C47" s="395"/>
      <c r="D47" s="402"/>
      <c r="E47" s="396"/>
      <c r="F47" s="399"/>
      <c r="G47" s="397"/>
      <c r="H47" s="407"/>
      <c r="I47" s="405"/>
      <c r="J47" s="405"/>
      <c r="K47" s="398"/>
    </row>
    <row r="48" spans="2:11" ht="18.75" customHeight="1">
      <c r="B48" s="394"/>
      <c r="C48" s="395"/>
      <c r="D48" s="402"/>
      <c r="E48" s="396"/>
      <c r="F48" s="399"/>
      <c r="G48" s="397"/>
      <c r="H48" s="407"/>
      <c r="I48" s="405"/>
      <c r="J48" s="405"/>
      <c r="K48" s="398"/>
    </row>
    <row r="49" spans="2:11" ht="18.75" customHeight="1">
      <c r="B49" s="394"/>
      <c r="C49" s="395"/>
      <c r="D49" s="401"/>
      <c r="E49" s="402"/>
      <c r="F49" s="399"/>
      <c r="G49" s="397"/>
      <c r="H49" s="403"/>
      <c r="I49" s="405"/>
      <c r="J49" s="473"/>
      <c r="K49" s="398"/>
    </row>
    <row r="50" spans="2:11" ht="18.75" customHeight="1">
      <c r="B50" s="394"/>
      <c r="C50" s="395"/>
      <c r="D50" s="402"/>
      <c r="E50" s="402"/>
      <c r="F50" s="399"/>
      <c r="G50" s="397"/>
      <c r="H50" s="399"/>
      <c r="I50" s="398"/>
      <c r="J50" s="473"/>
      <c r="K50" s="398"/>
    </row>
    <row r="51" spans="2:11" ht="18.75" customHeight="1">
      <c r="B51" s="394"/>
      <c r="C51" s="395"/>
      <c r="D51" s="402"/>
      <c r="E51" s="402"/>
      <c r="F51" s="399"/>
      <c r="G51" s="397"/>
      <c r="H51" s="399"/>
      <c r="I51" s="398"/>
      <c r="J51" s="473"/>
      <c r="K51" s="398"/>
    </row>
    <row r="52" spans="2:11" ht="18.75" customHeight="1">
      <c r="B52" s="394"/>
      <c r="C52" s="395"/>
      <c r="D52" s="402"/>
      <c r="E52" s="402"/>
      <c r="F52" s="399"/>
      <c r="G52" s="397"/>
      <c r="H52" s="399"/>
      <c r="I52" s="398"/>
      <c r="J52" s="473"/>
      <c r="K52" s="398"/>
    </row>
    <row r="53" spans="2:11" ht="18.75" customHeight="1">
      <c r="B53" s="394"/>
      <c r="C53" s="395"/>
      <c r="D53" s="401"/>
      <c r="E53" s="402"/>
      <c r="F53" s="399"/>
      <c r="G53" s="397"/>
      <c r="H53" s="403"/>
      <c r="I53" s="398"/>
      <c r="J53" s="473"/>
      <c r="K53" s="398"/>
    </row>
    <row r="54" spans="2:11" ht="18.75" customHeight="1">
      <c r="B54" s="394"/>
      <c r="C54" s="395"/>
      <c r="D54" s="402"/>
      <c r="E54" s="402"/>
      <c r="F54" s="403"/>
      <c r="G54" s="406"/>
      <c r="H54" s="407"/>
      <c r="I54" s="398"/>
      <c r="J54" s="396"/>
      <c r="K54" s="400"/>
    </row>
    <row r="55" spans="2:11" ht="18.75" customHeight="1">
      <c r="B55" s="394"/>
      <c r="C55" s="395"/>
      <c r="D55" s="402"/>
      <c r="E55" s="402"/>
      <c r="F55" s="407"/>
      <c r="G55" s="407"/>
      <c r="H55" s="407"/>
      <c r="I55" s="398"/>
      <c r="J55" s="396"/>
      <c r="K55" s="400"/>
    </row>
    <row r="56" spans="2:11" ht="18.75" customHeight="1">
      <c r="B56" s="394"/>
      <c r="C56" s="395"/>
      <c r="D56" s="402"/>
      <c r="E56" s="402"/>
      <c r="F56" s="408"/>
      <c r="G56" s="408"/>
      <c r="H56" s="409"/>
      <c r="I56" s="398"/>
      <c r="J56" s="473"/>
      <c r="K56" s="398"/>
    </row>
    <row r="57" spans="2:11" ht="18.75" customHeight="1">
      <c r="B57" s="410"/>
      <c r="C57" s="395"/>
      <c r="D57" s="396"/>
      <c r="E57" s="396"/>
      <c r="F57" s="396"/>
      <c r="G57" s="396"/>
      <c r="H57" s="396"/>
      <c r="I57" s="411"/>
      <c r="J57" s="411"/>
      <c r="K57" s="396"/>
    </row>
    <row r="58" spans="2:11" ht="18.75" customHeight="1">
      <c r="B58" s="410"/>
      <c r="C58" s="395"/>
      <c r="D58" s="396"/>
      <c r="E58" s="396"/>
      <c r="F58" s="396"/>
      <c r="G58" s="396"/>
      <c r="H58" s="396"/>
      <c r="I58" s="411"/>
      <c r="J58" s="411"/>
      <c r="K58" s="396"/>
    </row>
    <row r="59" spans="2:11" ht="18.75" customHeight="1">
      <c r="B59" s="410"/>
      <c r="C59" s="395"/>
      <c r="D59" s="396"/>
      <c r="E59" s="396"/>
      <c r="F59" s="396"/>
      <c r="G59" s="396"/>
      <c r="H59" s="396"/>
      <c r="I59" s="411"/>
      <c r="J59" s="411"/>
      <c r="K59" s="396"/>
    </row>
    <row r="60" spans="2:11" ht="18.75" customHeight="1">
      <c r="B60" s="410"/>
      <c r="C60" s="395"/>
      <c r="D60" s="396"/>
      <c r="E60" s="396"/>
      <c r="F60" s="396"/>
      <c r="G60" s="396"/>
      <c r="H60" s="396"/>
      <c r="I60" s="411"/>
      <c r="J60" s="411"/>
      <c r="K60" s="396"/>
    </row>
    <row r="61" spans="2:11" ht="18.75" customHeight="1">
      <c r="B61" s="410"/>
      <c r="C61" s="395"/>
      <c r="D61" s="396"/>
      <c r="E61" s="396"/>
      <c r="F61" s="396"/>
      <c r="G61" s="396"/>
      <c r="H61" s="396"/>
      <c r="I61" s="411"/>
      <c r="J61" s="411"/>
      <c r="K61" s="396"/>
    </row>
    <row r="62" spans="2:11" ht="18.75" customHeight="1">
      <c r="B62" s="410"/>
      <c r="C62" s="395"/>
      <c r="D62" s="396"/>
      <c r="E62" s="396"/>
      <c r="F62" s="396"/>
      <c r="G62" s="396"/>
      <c r="H62" s="396"/>
      <c r="I62" s="411"/>
      <c r="J62" s="411"/>
      <c r="K62" s="396"/>
    </row>
    <row r="63" spans="2:11" ht="18.75" customHeight="1">
      <c r="B63" s="410"/>
      <c r="C63" s="395"/>
      <c r="D63" s="396"/>
      <c r="E63" s="396"/>
      <c r="F63" s="396"/>
      <c r="G63" s="396"/>
      <c r="H63" s="396"/>
      <c r="I63" s="411"/>
      <c r="J63" s="411"/>
      <c r="K63" s="396"/>
    </row>
    <row r="64" spans="2:11" ht="18.75" customHeight="1">
      <c r="B64" s="410"/>
      <c r="C64" s="395"/>
      <c r="D64" s="396"/>
      <c r="E64" s="396"/>
      <c r="F64" s="396"/>
      <c r="G64" s="396"/>
      <c r="H64" s="396"/>
      <c r="I64" s="411"/>
      <c r="J64" s="411"/>
      <c r="K64" s="396"/>
    </row>
    <row r="65" spans="1:11" ht="18.75" customHeight="1">
      <c r="B65" s="410"/>
      <c r="C65" s="395"/>
      <c r="D65" s="396"/>
      <c r="E65" s="396"/>
      <c r="F65" s="396"/>
      <c r="G65" s="396"/>
      <c r="H65" s="396"/>
      <c r="I65" s="411"/>
      <c r="J65" s="411"/>
      <c r="K65" s="396"/>
    </row>
    <row r="66" spans="1:11" ht="18.75" customHeight="1">
      <c r="B66" s="410"/>
      <c r="C66" s="395"/>
      <c r="D66" s="396"/>
      <c r="E66" s="396"/>
      <c r="F66" s="396"/>
      <c r="G66" s="396"/>
      <c r="H66" s="396"/>
      <c r="I66" s="411"/>
      <c r="J66" s="411"/>
      <c r="K66" s="396"/>
    </row>
    <row r="67" spans="1:11" ht="18.75" customHeight="1">
      <c r="B67" s="410"/>
      <c r="C67" s="395"/>
      <c r="D67" s="396"/>
      <c r="E67" s="396"/>
      <c r="F67" s="396"/>
      <c r="G67" s="396"/>
      <c r="H67" s="396"/>
      <c r="I67" s="411"/>
      <c r="J67" s="411"/>
      <c r="K67" s="396"/>
    </row>
    <row r="68" spans="1:11" ht="18.75" customHeight="1">
      <c r="B68" s="412"/>
      <c r="C68" s="413"/>
      <c r="D68" s="414"/>
      <c r="E68" s="414"/>
      <c r="F68" s="414"/>
      <c r="G68" s="414"/>
      <c r="H68" s="414"/>
      <c r="I68" s="415"/>
      <c r="J68" s="415"/>
      <c r="K68" s="414"/>
    </row>
    <row r="69" spans="1:11" ht="18.75" customHeight="1">
      <c r="A69" s="523" t="s">
        <v>1840</v>
      </c>
      <c r="G69" s="468"/>
      <c r="H69" s="416" t="s">
        <v>1182</v>
      </c>
      <c r="I69" s="417" t="s">
        <v>3456</v>
      </c>
      <c r="J69" s="418">
        <f>IFERROR(SUMIF(K36:K68,I69,J36:J68),"")</f>
        <v>192.5</v>
      </c>
    </row>
    <row r="70" spans="1:11" ht="18.75" customHeight="1">
      <c r="B70" s="469" t="s">
        <v>366</v>
      </c>
      <c r="D70" s="440" t="s">
        <v>413</v>
      </c>
      <c r="G70" s="468"/>
      <c r="H70" s="419" t="str" cm="1">
        <f t="array" ref="H70">IF(OR(SUMPRODUCT((K36:K68&lt;&gt;"")/COUNTIF(K36:K68,K36:K68&amp;""))=1,SUMPRODUCT((K36:K68&lt;&gt;"")/COUNTIF(K36:K68,K36:K68&amp;""))=0),"","Made In")</f>
        <v/>
      </c>
      <c r="I70" s="388"/>
      <c r="J70" s="411" t="str">
        <f>IFERROR(IF(I70="","",SUMIF(K36:K68,I70,J36:J68)),"")</f>
        <v/>
      </c>
    </row>
    <row r="71" spans="1:11" ht="18.75" customHeight="1">
      <c r="B71" s="470" t="s">
        <v>367</v>
      </c>
      <c r="D71" s="468" t="s">
        <v>2776</v>
      </c>
      <c r="E71" s="382" t="s">
        <v>3090</v>
      </c>
      <c r="G71" s="468"/>
      <c r="H71" s="420" t="str" cm="1">
        <f t="array" ref="H71">IF(SUMPRODUCT((K36:K68&lt;&gt;"")/COUNTIF(K36:K68,K36:K68&amp;""))&lt;&gt;3,"","Made In")</f>
        <v/>
      </c>
      <c r="I71" s="385"/>
      <c r="J71" s="415" t="str">
        <f>IFERROR(IF(I71="","",SUMIF(K37:K69,I71,J37:J69)),"")</f>
        <v/>
      </c>
    </row>
    <row r="72" spans="1:11" ht="18.75" customHeight="1" thickBot="1">
      <c r="B72" s="470" t="s">
        <v>368</v>
      </c>
      <c r="D72" s="471" t="s">
        <v>416</v>
      </c>
      <c r="H72" s="1253" t="s">
        <v>1176</v>
      </c>
      <c r="I72" s="1253"/>
      <c r="J72" s="421" t="str">
        <f>'Invoice(SF米国)'!J72</f>
        <v>Collect</v>
      </c>
    </row>
    <row r="73" spans="1:11" ht="18.75" customHeight="1" thickBot="1">
      <c r="B73" s="470" t="s">
        <v>369</v>
      </c>
      <c r="D73" s="468" t="s">
        <v>414</v>
      </c>
      <c r="E73" s="382" t="s">
        <v>3091</v>
      </c>
      <c r="H73" s="1262" t="s">
        <v>412</v>
      </c>
      <c r="I73" s="1263"/>
      <c r="J73" s="482">
        <f>SUM(J36:J68,J72)</f>
        <v>204.5</v>
      </c>
    </row>
    <row r="74" spans="1:11" ht="18.75" customHeight="1">
      <c r="B74" s="470" t="s">
        <v>370</v>
      </c>
      <c r="D74" s="468" t="s">
        <v>1050</v>
      </c>
      <c r="E74" s="382" t="s">
        <v>3092</v>
      </c>
    </row>
    <row r="76" spans="1:11" ht="18.75" customHeight="1">
      <c r="B76" s="470" t="s">
        <v>1051</v>
      </c>
      <c r="H76" s="469" t="s">
        <v>1181</v>
      </c>
    </row>
    <row r="77" spans="1:11" ht="18.75" customHeight="1">
      <c r="B77" s="422"/>
      <c r="C77" s="423"/>
      <c r="D77" s="423"/>
      <c r="E77" s="424"/>
      <c r="F77" s="425"/>
    </row>
    <row r="78" spans="1:11" ht="18.75" customHeight="1">
      <c r="B78" s="426"/>
      <c r="F78" s="427"/>
    </row>
    <row r="79" spans="1:11" ht="18.75" customHeight="1">
      <c r="B79" s="426"/>
      <c r="F79" s="427"/>
    </row>
    <row r="80" spans="1:11" ht="18.75" customHeight="1">
      <c r="B80" s="428"/>
      <c r="C80" s="429"/>
      <c r="D80" s="429"/>
      <c r="E80" s="430"/>
      <c r="F80" s="431"/>
      <c r="H80" s="429"/>
      <c r="I80" s="429"/>
      <c r="J80" s="429"/>
      <c r="K80" s="429"/>
    </row>
  </sheetData>
  <mergeCells count="21">
    <mergeCell ref="B14:E17"/>
    <mergeCell ref="F14:K15"/>
    <mergeCell ref="G16:K16"/>
    <mergeCell ref="J17:K17"/>
    <mergeCell ref="D3:E3"/>
    <mergeCell ref="A8:A12"/>
    <mergeCell ref="H72:I72"/>
    <mergeCell ref="H73:I73"/>
    <mergeCell ref="F29:G29"/>
    <mergeCell ref="K34:K35"/>
    <mergeCell ref="D31:E31"/>
    <mergeCell ref="F31:H31"/>
    <mergeCell ref="B33:C33"/>
    <mergeCell ref="D33:E33"/>
    <mergeCell ref="F33:H33"/>
    <mergeCell ref="J33:K33"/>
    <mergeCell ref="B34:B35"/>
    <mergeCell ref="C34:E34"/>
    <mergeCell ref="F34:H34"/>
    <mergeCell ref="I34:I35"/>
    <mergeCell ref="J34:J35"/>
  </mergeCells>
  <phoneticPr fontId="3"/>
  <conditionalFormatting sqref="B31">
    <cfRule type="expression" dxfId="91" priority="13" stopIfTrue="1">
      <formula>$B$31="(SELECT)"</formula>
    </cfRule>
  </conditionalFormatting>
  <conditionalFormatting sqref="J33:K33 B33:H33 D31:E31 C34 F34">
    <cfRule type="containsBlanks" dxfId="90" priority="16" stopIfTrue="1">
      <formula>LEN(TRIM(B31))=0</formula>
    </cfRule>
  </conditionalFormatting>
  <conditionalFormatting sqref="C31">
    <cfRule type="expression" dxfId="89" priority="9" stopIfTrue="1">
      <formula>$B$31="Vessel"</formula>
    </cfRule>
    <cfRule type="expression" dxfId="88" priority="10" stopIfTrue="1">
      <formula>$B$31="AIR"</formula>
    </cfRule>
    <cfRule type="expression" dxfId="87" priority="11" stopIfTrue="1">
      <formula>$B$31="Other"</formula>
    </cfRule>
  </conditionalFormatting>
  <conditionalFormatting sqref="J17:K17">
    <cfRule type="containsBlanks" dxfId="86" priority="6" stopIfTrue="1">
      <formula>LEN(TRIM(J17))=0</formula>
    </cfRule>
  </conditionalFormatting>
  <conditionalFormatting sqref="C18:C20 C24:C26 C21:D22 C27:D28">
    <cfRule type="containsBlanks" dxfId="85" priority="5" stopIfTrue="1">
      <formula>LEN(TRIM(C18))=0</formula>
    </cfRule>
  </conditionalFormatting>
  <conditionalFormatting sqref="F29">
    <cfRule type="expression" dxfId="84" priority="4" stopIfTrue="1">
      <formula>$F$29="(SELECT)"</formula>
    </cfRule>
  </conditionalFormatting>
  <conditionalFormatting sqref="F31:H31">
    <cfRule type="containsBlanks" dxfId="83" priority="3" stopIfTrue="1">
      <formula>LEN(TRIM(F31))=0</formula>
    </cfRule>
  </conditionalFormatting>
  <conditionalFormatting sqref="I36">
    <cfRule type="expression" dxfId="82" priority="1" stopIfTrue="1">
      <formula>COUNTIF($I36,"*per*")</formula>
    </cfRule>
  </conditionalFormatting>
  <dataValidations count="1">
    <dataValidation type="list" allowBlank="1" showInputMessage="1" showErrorMessage="1" sqref="B31" xr:uid="{00000000-0002-0000-0300-000001000000}">
      <formula1>"(SELECT),FedEx,UPS,DHL,Other,Vessel,AIR"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4" name="Option Button 3">
              <controlPr defaultSize="0" autoFill="0" autoLine="0" autoPict="0">
                <anchor moveWithCells="1">
                  <from>
                    <xdr:col>6</xdr:col>
                    <xdr:colOff>19050</xdr:colOff>
                    <xdr:row>15</xdr:row>
                    <xdr:rowOff>228600</xdr:rowOff>
                  </from>
                  <to>
                    <xdr:col>6</xdr:col>
                    <xdr:colOff>323850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Option Button 4">
              <controlPr defaultSize="0" autoFill="0" autoLine="0" autoPict="0">
                <anchor moveWithCells="1">
                  <from>
                    <xdr:col>6</xdr:col>
                    <xdr:colOff>914400</xdr:colOff>
                    <xdr:row>15</xdr:row>
                    <xdr:rowOff>228600</xdr:rowOff>
                  </from>
                  <to>
                    <xdr:col>7</xdr:col>
                    <xdr:colOff>285750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6" name="Button 11">
              <controlPr defaultSize="0" print="0" autoFill="0" autoPict="0" macro="[0]!DataCopy_Invoice_SFAmerica">
                <anchor moveWithCells="1" sizeWithCells="1">
                  <from>
                    <xdr:col>5</xdr:col>
                    <xdr:colOff>57150</xdr:colOff>
                    <xdr:row>2</xdr:row>
                    <xdr:rowOff>0</xdr:rowOff>
                  </from>
                  <to>
                    <xdr:col>5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7" name="Button 12">
              <controlPr defaultSize="0" print="0" autoFill="0" autoPict="0" macro="[0]!DataCopy_Invoice_SFOsaka">
                <anchor moveWithCells="1" sizeWithCells="1">
                  <from>
                    <xdr:col>6</xdr:col>
                    <xdr:colOff>57150</xdr:colOff>
                    <xdr:row>2</xdr:row>
                    <xdr:rowOff>0</xdr:rowOff>
                  </from>
                  <to>
                    <xdr:col>6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8" name="Button 13">
              <controlPr defaultSize="0" print="0" autoFill="0" autoPict="0" macro="[0]!INVOICE明細クリア">
                <anchor moveWithCells="1" sizeWithCells="1">
                  <from>
                    <xdr:col>7</xdr:col>
                    <xdr:colOff>57150</xdr:colOff>
                    <xdr:row>2</xdr:row>
                    <xdr:rowOff>0</xdr:rowOff>
                  </from>
                  <to>
                    <xdr:col>7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9" name="Button 14">
              <controlPr defaultSize="0" print="0" autoFill="0" autoPict="0" macro="[0]!改行設定大阪">
                <anchor moveWithCells="1" sizeWithCells="1">
                  <from>
                    <xdr:col>8</xdr:col>
                    <xdr:colOff>57150</xdr:colOff>
                    <xdr:row>2</xdr:row>
                    <xdr:rowOff>0</xdr:rowOff>
                  </from>
                  <to>
                    <xdr:col>8</xdr:col>
                    <xdr:colOff>895350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00000000-000E-0000-0400-000005000000}">
            <xm:f>COUNTIF('Invoice(SF米国)'!$I47,"*per*")</xm:f>
            <x14:dxf>
              <font>
                <b/>
                <i val="0"/>
              </font>
            </x14:dxf>
          </x14:cfRule>
          <xm:sqref>C42:K52</xm:sqref>
        </x14:conditionalFormatting>
        <x14:conditionalFormatting xmlns:xm="http://schemas.microsoft.com/office/excel/2006/main">
          <x14:cfRule type="expression" priority="23" stopIfTrue="1" id="{00000000-000E-0000-0400-000005000000}">
            <xm:f>COUNTIF('Invoice(SF米国)'!$I36,"*per*")</xm:f>
            <x14:dxf>
              <font>
                <b/>
                <i val="0"/>
              </font>
            </x14:dxf>
          </x14:cfRule>
          <xm:sqref>C68:K68 C40:K41 C37:K38 C53:K64 C36:H36 J36:K36</xm:sqref>
        </x14:conditionalFormatting>
        <x14:conditionalFormatting xmlns:xm="http://schemas.microsoft.com/office/excel/2006/main">
          <x14:cfRule type="expression" priority="24" stopIfTrue="1" id="{00000000-000E-0000-0400-000005000000}">
            <xm:f>COUNTIF('Invoice(SF米国)'!#REF!,"*per*")</xm:f>
            <x14:dxf>
              <font>
                <b/>
                <i val="0"/>
              </font>
            </x14:dxf>
          </x14:cfRule>
          <xm:sqref>C67:K67</xm:sqref>
        </x14:conditionalFormatting>
        <x14:conditionalFormatting xmlns:xm="http://schemas.microsoft.com/office/excel/2006/main">
          <x14:cfRule type="expression" priority="33" stopIfTrue="1" id="{00000000-000E-0000-0400-000005000000}">
            <xm:f>COUNTIF('Invoice(SF米国)'!$I66,"*per*")</xm:f>
            <x14:dxf>
              <font>
                <b/>
                <i val="0"/>
              </font>
            </x14:dxf>
          </x14:cfRule>
          <xm:sqref>C65:K66</xm:sqref>
        </x14:conditionalFormatting>
        <x14:conditionalFormatting xmlns:xm="http://schemas.microsoft.com/office/excel/2006/main">
          <x14:cfRule type="expression" priority="36" stopIfTrue="1" id="{00000000-000E-0000-0400-000005000000}">
            <xm:f>COUNTIF('Invoice(SF米国)'!#REF!,"*per*")</xm:f>
            <x14:dxf>
              <font>
                <b/>
                <i val="0"/>
              </font>
            </x14:dxf>
          </x14:cfRule>
          <xm:sqref>C39:K39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579FC8-0D16-496A-A644-5AE2F2DD5362}">
          <x14:formula1>
            <xm:f>取引先マスタ!$C:$C</xm:f>
          </x14:formula1>
          <xm:sqref>C3:C4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00B050"/>
    <pageSetUpPr fitToPage="1"/>
  </sheetPr>
  <dimension ref="A1:N70"/>
  <sheetViews>
    <sheetView showGridLines="0" topLeftCell="A3" zoomScale="85" zoomScaleNormal="85" workbookViewId="0">
      <selection activeCell="M38" sqref="M38"/>
    </sheetView>
  </sheetViews>
  <sheetFormatPr defaultColWidth="9" defaultRowHeight="13.5" outlineLevelRow="1"/>
  <cols>
    <col min="1" max="1" width="16.75" style="307" customWidth="1"/>
    <col min="2" max="2" width="12.5" style="306" customWidth="1"/>
    <col min="3" max="3" width="22.5" style="306" customWidth="1"/>
    <col min="4" max="4" width="12.5" style="306" customWidth="1"/>
    <col min="5" max="5" width="27.625" style="306" customWidth="1"/>
    <col min="6" max="10" width="12.5" style="306" customWidth="1"/>
    <col min="11" max="13" width="22.5" style="306" customWidth="1"/>
    <col min="14" max="16384" width="9" style="306"/>
  </cols>
  <sheetData>
    <row r="1" spans="1:13" ht="14.25" thickBot="1"/>
    <row r="2" spans="1:13">
      <c r="A2" s="433" t="s">
        <v>1825</v>
      </c>
      <c r="B2" s="528" t="s">
        <v>1749</v>
      </c>
      <c r="C2" s="529" t="s">
        <v>3761</v>
      </c>
      <c r="D2" s="1223" t="s">
        <v>1829</v>
      </c>
      <c r="E2" s="1224"/>
      <c r="F2" s="433" t="s">
        <v>1845</v>
      </c>
      <c r="J2" s="433" t="s">
        <v>1846</v>
      </c>
    </row>
    <row r="3" spans="1:13">
      <c r="A3" s="433" t="s">
        <v>1848</v>
      </c>
      <c r="B3" s="530" t="s">
        <v>1798</v>
      </c>
      <c r="C3" s="531">
        <v>395</v>
      </c>
      <c r="D3" s="530" t="s">
        <v>1205</v>
      </c>
      <c r="E3" s="532" t="s">
        <v>1823</v>
      </c>
    </row>
    <row r="4" spans="1:13">
      <c r="A4" s="433" t="s">
        <v>1844</v>
      </c>
      <c r="B4" s="530" t="s">
        <v>1751</v>
      </c>
      <c r="C4" s="531">
        <v>5034</v>
      </c>
      <c r="D4" s="533" t="s">
        <v>1205</v>
      </c>
      <c r="E4" s="534" t="e">
        <f>MATCH(TEXT(E3,"@"),'NY BackOrder'!C:C,0)</f>
        <v>#N/A</v>
      </c>
    </row>
    <row r="5" spans="1:13" ht="14.25" thickBot="1">
      <c r="A5" s="433" t="s">
        <v>1831</v>
      </c>
      <c r="B5" s="530" t="s">
        <v>1752</v>
      </c>
      <c r="C5" s="531">
        <v>5036</v>
      </c>
      <c r="D5" s="535" t="s">
        <v>1750</v>
      </c>
      <c r="E5" s="536" t="e">
        <f>E4+COUNTIF('NY BackOrder'!C:C,E3)-2</f>
        <v>#N/A</v>
      </c>
    </row>
    <row r="6" spans="1:13" ht="14.25" thickBot="1">
      <c r="A6" s="433" t="s">
        <v>1832</v>
      </c>
      <c r="B6" s="537" t="s">
        <v>1793</v>
      </c>
      <c r="C6" s="538">
        <v>38</v>
      </c>
      <c r="D6" s="307"/>
    </row>
    <row r="7" spans="1:13" hidden="1" outlineLevel="1">
      <c r="A7" s="1225" t="s">
        <v>1835</v>
      </c>
      <c r="B7" s="539" t="s">
        <v>1753</v>
      </c>
      <c r="C7" s="540">
        <f>C5-C4+C6</f>
        <v>40</v>
      </c>
      <c r="D7" s="541" t="s">
        <v>1748</v>
      </c>
      <c r="E7" s="542" t="str">
        <f>"(発注書) "&amp;C3&amp;" ("&amp;C2&amp;")"</f>
        <v>(発注書) 395 (こるどん 株式会社)</v>
      </c>
    </row>
    <row r="8" spans="1:13" hidden="1" outlineLevel="1">
      <c r="A8" s="1226"/>
      <c r="B8" s="543" t="s">
        <v>1791</v>
      </c>
      <c r="C8" s="544">
        <v>38</v>
      </c>
      <c r="D8" s="524" t="s">
        <v>1817</v>
      </c>
      <c r="E8" s="545" t="str" cm="1">
        <f t="array" aca="1" ref="E8" ca="1">RIGHT(CELL("filename",A1),LEN(CELL("filename",A1))-FIND("]",CELL("filename",A1)))</f>
        <v>発注書</v>
      </c>
    </row>
    <row r="9" spans="1:13" hidden="1" outlineLevel="1">
      <c r="A9" s="1226"/>
      <c r="B9" s="543" t="s">
        <v>1792</v>
      </c>
      <c r="C9" s="544">
        <v>62</v>
      </c>
      <c r="D9" s="524" t="s">
        <v>1816</v>
      </c>
      <c r="E9" s="545" t="str">
        <f ca="1">'Invoice(SF米国)'!E11</f>
        <v>NY BackOrder</v>
      </c>
    </row>
    <row r="10" spans="1:13" hidden="1" outlineLevel="1">
      <c r="A10" s="1226"/>
      <c r="B10" s="543" t="s">
        <v>1794</v>
      </c>
      <c r="C10" s="546">
        <f>C9+3</f>
        <v>65</v>
      </c>
      <c r="D10" s="524" t="s">
        <v>1837</v>
      </c>
      <c r="E10" s="545" t="str" cm="1">
        <f t="array" aca="1" ref="E10" ca="1">LEFT(MID(CELL("filename",A1),10,99),FIND("B",MID(CELL("filename",A1),10,99))-2)</f>
        <v>chiba</v>
      </c>
    </row>
    <row r="11" spans="1:13" hidden="1" outlineLevel="1">
      <c r="A11" s="1226"/>
      <c r="B11" s="543" t="s">
        <v>1795</v>
      </c>
      <c r="C11" s="546">
        <f>C10+4</f>
        <v>69</v>
      </c>
      <c r="D11" s="524" t="s">
        <v>1841</v>
      </c>
      <c r="E11" s="525">
        <f>ROW(N63)</f>
        <v>63</v>
      </c>
    </row>
    <row r="12" spans="1:13" hidden="1" outlineLevel="1">
      <c r="A12" s="1226"/>
      <c r="B12" s="543" t="s">
        <v>1796</v>
      </c>
      <c r="C12" s="546">
        <f>C10</f>
        <v>65</v>
      </c>
      <c r="D12" s="524" t="s">
        <v>1842</v>
      </c>
      <c r="E12" s="526"/>
    </row>
    <row r="13" spans="1:13" ht="14.25" hidden="1" outlineLevel="1" thickBot="1">
      <c r="A13" s="1227"/>
      <c r="B13" s="547" t="s">
        <v>1797</v>
      </c>
      <c r="C13" s="548">
        <f>C11</f>
        <v>69</v>
      </c>
      <c r="D13" s="527" t="s">
        <v>1843</v>
      </c>
      <c r="E13" s="516"/>
    </row>
    <row r="14" spans="1:13" collapsed="1">
      <c r="A14" s="317"/>
      <c r="B14" s="317"/>
      <c r="C14" s="317"/>
      <c r="D14" s="362"/>
      <c r="E14" s="363"/>
      <c r="F14" s="317"/>
      <c r="G14" s="317"/>
      <c r="H14" s="317"/>
      <c r="I14" s="317"/>
      <c r="J14" s="317"/>
      <c r="K14" s="317"/>
      <c r="L14" s="317"/>
      <c r="M14" s="317"/>
    </row>
    <row r="15" spans="1:13">
      <c r="A15" s="306"/>
      <c r="E15" s="308"/>
    </row>
    <row r="16" spans="1:13">
      <c r="A16" s="309" t="s">
        <v>1754</v>
      </c>
      <c r="B16" s="310" t="s">
        <v>1755</v>
      </c>
      <c r="C16" s="311"/>
      <c r="E16" s="308"/>
    </row>
    <row r="17" spans="1:13">
      <c r="A17" s="307" t="s">
        <v>1756</v>
      </c>
      <c r="B17" s="306" t="s">
        <v>1757</v>
      </c>
    </row>
    <row r="18" spans="1:13">
      <c r="A18" s="307" t="s">
        <v>1758</v>
      </c>
      <c r="B18" s="306" t="str">
        <f ca="1">IF(J18="","上記商品、"&amp;TEXT(F18,"mm/dd")&amp;"出荷、"&amp;TEXT(H18,"mm/dd")&amp;"必着でお手配お願い致します。","上記商品、"&amp;TEXT(F18,"mm/dd")&amp;"出荷、"&amp;TEXT(H18,"mm/dd")&amp;J18&amp;"必着でお手配お願い致します。")</f>
        <v>上記商品、04/02出荷、04/03AM必着でお手配お願い致します。</v>
      </c>
      <c r="E18" s="312" t="s">
        <v>1759</v>
      </c>
      <c r="F18" s="313">
        <f ca="1">TODAY()</f>
        <v>46114</v>
      </c>
      <c r="G18" s="312" t="s">
        <v>1760</v>
      </c>
      <c r="H18" s="313">
        <f ca="1">F18+1</f>
        <v>46115</v>
      </c>
      <c r="I18" s="312" t="s">
        <v>1761</v>
      </c>
      <c r="J18" s="314" t="s">
        <v>1204</v>
      </c>
    </row>
    <row r="19" spans="1:13">
      <c r="A19" s="307" t="s">
        <v>1762</v>
      </c>
      <c r="B19" s="306" t="str">
        <f>IF(F19="","上記商品、最短納期でお手配お願い致します。","上記商品、最短納期でお手配お願い致します。 ("&amp;F19&amp;")")</f>
        <v>上記商品、最短納期でお手配お願い致します。</v>
      </c>
      <c r="E19" s="312" t="s">
        <v>1763</v>
      </c>
      <c r="F19" s="315"/>
    </row>
    <row r="20" spans="1:13">
      <c r="A20" s="307" t="s">
        <v>1764</v>
      </c>
      <c r="B20" s="306" t="str">
        <f>"上記商品、"&amp;F20&amp;"にて出荷をお願い致します。"</f>
        <v>上記商品、ヤマト便にて出荷をお願い致します。</v>
      </c>
      <c r="E20" s="312" t="s">
        <v>1765</v>
      </c>
      <c r="F20" s="314" t="s">
        <v>1766</v>
      </c>
    </row>
    <row r="21" spans="1:13">
      <c r="A21" s="307" t="s">
        <v>1767</v>
      </c>
      <c r="B21" s="306" t="s">
        <v>1768</v>
      </c>
    </row>
    <row r="22" spans="1:13">
      <c r="A22" s="307" t="s">
        <v>1769</v>
      </c>
      <c r="B22" s="306" t="s">
        <v>1770</v>
      </c>
    </row>
    <row r="23" spans="1:13">
      <c r="A23" s="307" t="s">
        <v>1771</v>
      </c>
      <c r="B23" s="306" t="s">
        <v>1772</v>
      </c>
    </row>
    <row r="24" spans="1:13">
      <c r="A24" s="307" t="s">
        <v>1773</v>
      </c>
      <c r="B24" s="306" t="s">
        <v>1774</v>
      </c>
    </row>
    <row r="25" spans="1:13">
      <c r="A25" s="307" t="s">
        <v>1775</v>
      </c>
      <c r="B25" s="306" t="str">
        <f>"上記商品、"&amp;F25&amp;"でお手配お願い致します。"</f>
        <v>上記商品、あいうえおでお手配お願い致します。</v>
      </c>
      <c r="E25" s="312" t="s">
        <v>1776</v>
      </c>
      <c r="F25" s="314" t="s">
        <v>1777</v>
      </c>
      <c r="G25" s="314"/>
      <c r="H25" s="314"/>
      <c r="I25" s="314"/>
      <c r="J25" s="314"/>
    </row>
    <row r="26" spans="1:13">
      <c r="A26" s="316"/>
      <c r="B26" s="317"/>
      <c r="C26" s="317"/>
      <c r="D26" s="317"/>
      <c r="E26" s="317"/>
      <c r="F26" s="317"/>
      <c r="G26" s="317"/>
      <c r="H26" s="317"/>
      <c r="I26" s="317"/>
      <c r="J26" s="317"/>
      <c r="K26" s="317"/>
      <c r="L26" s="317"/>
      <c r="M26" s="317"/>
    </row>
    <row r="27" spans="1:13" ht="14.25" thickBot="1"/>
    <row r="28" spans="1:13" ht="17.25">
      <c r="G28" s="1275" t="s">
        <v>1778</v>
      </c>
      <c r="H28" s="1275"/>
      <c r="I28" s="1275"/>
      <c r="L28" s="318" t="s">
        <v>1203</v>
      </c>
      <c r="M28" s="554">
        <f>C3</f>
        <v>395</v>
      </c>
    </row>
    <row r="29" spans="1:13" ht="18" thickBot="1">
      <c r="G29" s="1275"/>
      <c r="H29" s="1275"/>
      <c r="I29" s="1275"/>
      <c r="L29" s="319" t="s">
        <v>1779</v>
      </c>
      <c r="M29" s="553">
        <f ca="1">TODAY()</f>
        <v>46114</v>
      </c>
    </row>
    <row r="30" spans="1:13" ht="5.25" customHeight="1">
      <c r="L30" s="312"/>
      <c r="M30" s="320"/>
    </row>
    <row r="31" spans="1:13" ht="18.75">
      <c r="B31" s="312" t="s">
        <v>1780</v>
      </c>
      <c r="C31" s="305" t="str">
        <f>C2</f>
        <v>こるどん 株式会社</v>
      </c>
      <c r="L31" s="1274" t="s">
        <v>1781</v>
      </c>
      <c r="M31" s="1274"/>
    </row>
    <row r="32" spans="1:13">
      <c r="B32" s="312" t="s">
        <v>1782</v>
      </c>
      <c r="C32" s="306" t="str">
        <f>IFERROR(IF(VLOOKUP(C2,仕入先マスタ!B:C,2,FALSE)="",VLOOKUP(C2,仕入先マスタ!B:D,3,FALSE)&amp;" "&amp;VLOOKUP(C2,仕入先マスタ!B:E,4,FALSE),"〒"&amp;VLOOKUP(C2,仕入先マスタ!B:C,2,FALSE)&amp;" "&amp;VLOOKUP(C2,仕入先マスタ!B:D,3,FALSE)&amp;" "&amp;VLOOKUP(C2,仕入先マスタ!B:E,4,FALSE)),"")</f>
        <v xml:space="preserve">〒417-0821 静岡県富士市神谷819 </v>
      </c>
      <c r="L32" s="1273" t="s">
        <v>1783</v>
      </c>
      <c r="M32" s="1273"/>
    </row>
    <row r="33" spans="1:13">
      <c r="B33" s="312" t="s">
        <v>1789</v>
      </c>
      <c r="C33" s="306" t="str">
        <f>IFERROR(IF(VLOOKUP(C2,仕入先マスタ!B:F,5,FALSE)="","",VLOOKUP(C2,仕入先マスタ!B:F,5,FALSE)),"")</f>
        <v>0545-38-2311</v>
      </c>
      <c r="L33" s="311" t="s">
        <v>1784</v>
      </c>
      <c r="M33" s="311" t="s">
        <v>1201</v>
      </c>
    </row>
    <row r="34" spans="1:13">
      <c r="B34" s="312" t="s">
        <v>1785</v>
      </c>
      <c r="L34" s="312" t="s">
        <v>1785</v>
      </c>
      <c r="M34" s="311" t="s">
        <v>1786</v>
      </c>
    </row>
    <row r="35" spans="1:13">
      <c r="B35" s="312" t="s">
        <v>1787</v>
      </c>
      <c r="D35" s="365"/>
      <c r="F35" s="366"/>
      <c r="G35" s="367"/>
      <c r="H35" s="366"/>
      <c r="L35" s="312"/>
      <c r="M35" s="311" t="s">
        <v>3080</v>
      </c>
    </row>
    <row r="36" spans="1:13" ht="5.25" customHeight="1" thickBot="1">
      <c r="D36" s="365"/>
      <c r="F36" s="368"/>
      <c r="G36" s="369"/>
      <c r="H36" s="368"/>
    </row>
    <row r="37" spans="1:13" ht="15" thickBot="1">
      <c r="B37" s="321" t="s">
        <v>1800</v>
      </c>
      <c r="C37" s="322" t="s">
        <v>1801</v>
      </c>
      <c r="D37" s="370" t="s">
        <v>1802</v>
      </c>
      <c r="E37" s="322" t="s">
        <v>1803</v>
      </c>
      <c r="F37" s="371" t="s">
        <v>1804</v>
      </c>
      <c r="G37" s="372" t="s">
        <v>1805</v>
      </c>
      <c r="H37" s="371" t="s">
        <v>1806</v>
      </c>
      <c r="I37" s="322" t="s">
        <v>1807</v>
      </c>
      <c r="J37" s="322" t="s">
        <v>1808</v>
      </c>
      <c r="K37" s="322" t="s">
        <v>1809</v>
      </c>
      <c r="L37" s="322" t="s">
        <v>1810</v>
      </c>
      <c r="M37" s="323" t="s">
        <v>1811</v>
      </c>
    </row>
    <row r="38" spans="1:13" ht="21" customHeight="1" thickTop="1">
      <c r="A38" s="549">
        <f t="shared" ref="A38:A62" si="0">IF(C38="",0,1)</f>
        <v>1</v>
      </c>
      <c r="B38" s="324">
        <f>IF(C38&lt;&gt;"",1,0)</f>
        <v>1</v>
      </c>
      <c r="C38" s="325" t="s">
        <v>3762</v>
      </c>
      <c r="D38" s="1135" t="s">
        <v>3763</v>
      </c>
      <c r="E38" s="1028" t="s">
        <v>3764</v>
      </c>
      <c r="F38" s="1133">
        <v>50</v>
      </c>
      <c r="G38" s="1053">
        <v>3</v>
      </c>
      <c r="H38" s="1134">
        <v>150</v>
      </c>
      <c r="I38" s="326">
        <v>29.3</v>
      </c>
      <c r="J38" s="326">
        <v>4395</v>
      </c>
      <c r="K38" s="1136" t="s">
        <v>3768</v>
      </c>
      <c r="L38" s="327"/>
      <c r="M38" s="873"/>
    </row>
    <row r="39" spans="1:13" ht="21" customHeight="1">
      <c r="A39" s="549">
        <f t="shared" si="0"/>
        <v>1</v>
      </c>
      <c r="B39" s="324">
        <f>IF(C39="","",COUNTIF($A$38:$A39,1))</f>
        <v>2</v>
      </c>
      <c r="C39" s="329" t="s">
        <v>3762</v>
      </c>
      <c r="D39" s="1037" t="s">
        <v>3763</v>
      </c>
      <c r="E39" s="331" t="s">
        <v>3765</v>
      </c>
      <c r="F39" s="337">
        <v>50</v>
      </c>
      <c r="G39" s="338">
        <v>4</v>
      </c>
      <c r="H39" s="332">
        <v>200</v>
      </c>
      <c r="I39" s="334">
        <v>29.3</v>
      </c>
      <c r="J39" s="334">
        <v>5860</v>
      </c>
      <c r="K39" s="327"/>
      <c r="L39" s="335"/>
      <c r="M39" s="934"/>
    </row>
    <row r="40" spans="1:13" ht="21" customHeight="1">
      <c r="A40" s="549">
        <f t="shared" si="0"/>
        <v>1</v>
      </c>
      <c r="B40" s="328">
        <f>IF(C40="","",COUNTIF($A$38:$A40,1))</f>
        <v>3</v>
      </c>
      <c r="C40" s="329" t="s">
        <v>3762</v>
      </c>
      <c r="D40" s="1037" t="s">
        <v>3763</v>
      </c>
      <c r="E40" s="331" t="s">
        <v>3766</v>
      </c>
      <c r="F40" s="337">
        <v>50</v>
      </c>
      <c r="G40" s="338">
        <v>4</v>
      </c>
      <c r="H40" s="332">
        <v>200</v>
      </c>
      <c r="I40" s="334">
        <v>29.3</v>
      </c>
      <c r="J40" s="334">
        <v>5860</v>
      </c>
      <c r="K40" s="335"/>
      <c r="L40" s="335"/>
      <c r="M40" s="336"/>
    </row>
    <row r="41" spans="1:13" ht="21" customHeight="1">
      <c r="A41" s="549">
        <f t="shared" si="0"/>
        <v>0</v>
      </c>
      <c r="B41" s="328" t="str">
        <f>IF(C41="","",COUNTIF($A$38:$A41,1))</f>
        <v/>
      </c>
      <c r="C41" s="329"/>
      <c r="D41" s="1054"/>
      <c r="E41" s="331"/>
      <c r="F41" s="337"/>
      <c r="G41" s="1055"/>
      <c r="H41" s="332"/>
      <c r="I41" s="334"/>
      <c r="J41" s="334"/>
      <c r="K41" s="335"/>
      <c r="L41" s="335"/>
      <c r="M41" s="934"/>
    </row>
    <row r="42" spans="1:13" ht="21" customHeight="1">
      <c r="A42" s="549">
        <f t="shared" si="0"/>
        <v>0</v>
      </c>
      <c r="B42" s="328" t="str">
        <f>IF(C42="","",COUNTIF($A$38:$A42,1))</f>
        <v/>
      </c>
      <c r="C42" s="329"/>
      <c r="D42" s="330"/>
      <c r="E42" s="331"/>
      <c r="F42" s="332"/>
      <c r="G42" s="333"/>
      <c r="H42" s="332"/>
      <c r="I42" s="334"/>
      <c r="J42" s="334"/>
      <c r="K42" s="335"/>
      <c r="L42" s="335"/>
      <c r="M42" s="934"/>
    </row>
    <row r="43" spans="1:13" ht="21" customHeight="1">
      <c r="A43" s="549">
        <f t="shared" si="0"/>
        <v>0</v>
      </c>
      <c r="B43" s="328" t="str">
        <f>IF(C43="","",COUNTIF($A$38:$A43,1))</f>
        <v/>
      </c>
      <c r="C43" s="329"/>
      <c r="D43" s="1037"/>
      <c r="E43" s="331"/>
      <c r="F43" s="332"/>
      <c r="G43" s="333"/>
      <c r="H43" s="1038"/>
      <c r="I43" s="334"/>
      <c r="J43" s="334"/>
      <c r="K43" s="335"/>
      <c r="L43" s="335"/>
      <c r="M43" s="336"/>
    </row>
    <row r="44" spans="1:13" ht="21" customHeight="1">
      <c r="A44" s="549">
        <f t="shared" si="0"/>
        <v>0</v>
      </c>
      <c r="B44" s="328" t="str">
        <f>IF(C44="","",COUNTIF($A$38:$A44,1))</f>
        <v/>
      </c>
      <c r="C44" s="329"/>
      <c r="D44" s="1032"/>
      <c r="E44" s="331"/>
      <c r="F44" s="332"/>
      <c r="G44" s="333"/>
      <c r="H44" s="332"/>
      <c r="I44" s="334"/>
      <c r="J44" s="334"/>
      <c r="K44" s="335"/>
      <c r="L44" s="335"/>
      <c r="M44" s="336"/>
    </row>
    <row r="45" spans="1:13" ht="21" customHeight="1">
      <c r="A45" s="549">
        <f t="shared" si="0"/>
        <v>0</v>
      </c>
      <c r="B45" s="328" t="str">
        <f>IF(C45="","",COUNTIF($A$38:$A45,1))</f>
        <v/>
      </c>
      <c r="C45" s="329"/>
      <c r="D45" s="1032"/>
      <c r="E45" s="331"/>
      <c r="F45" s="337"/>
      <c r="G45" s="338"/>
      <c r="H45" s="332"/>
      <c r="I45" s="334"/>
      <c r="J45" s="334"/>
      <c r="K45" s="335"/>
      <c r="L45" s="335"/>
      <c r="M45" s="336"/>
    </row>
    <row r="46" spans="1:13" ht="21" customHeight="1">
      <c r="A46" s="549">
        <f t="shared" si="0"/>
        <v>0</v>
      </c>
      <c r="B46" s="328" t="str">
        <f>IF(C46="","",COUNTIF($A$38:$A46,1))</f>
        <v/>
      </c>
      <c r="C46" s="329"/>
      <c r="D46" s="1032"/>
      <c r="E46" s="331"/>
      <c r="F46" s="332"/>
      <c r="G46" s="333"/>
      <c r="H46" s="332"/>
      <c r="I46" s="334"/>
      <c r="J46" s="334"/>
      <c r="K46" s="335"/>
      <c r="L46" s="335"/>
      <c r="M46" s="336"/>
    </row>
    <row r="47" spans="1:13" ht="21" customHeight="1">
      <c r="A47" s="549">
        <f t="shared" si="0"/>
        <v>0</v>
      </c>
      <c r="B47" s="328" t="str">
        <f>IF(C47="","",COUNTIF($A$38:$A47,1))</f>
        <v/>
      </c>
      <c r="C47" s="329"/>
      <c r="D47" s="1032"/>
      <c r="E47" s="331"/>
      <c r="F47" s="1017"/>
      <c r="G47" s="338"/>
      <c r="H47" s="1017"/>
      <c r="I47" s="334"/>
      <c r="J47" s="334"/>
      <c r="K47" s="335"/>
      <c r="L47" s="335"/>
      <c r="M47" s="336"/>
    </row>
    <row r="48" spans="1:13" ht="21" customHeight="1">
      <c r="A48" s="549">
        <f t="shared" si="0"/>
        <v>0</v>
      </c>
      <c r="B48" s="328" t="str">
        <f>IF(C48="","",COUNTIF($A$38:$A48,1))</f>
        <v/>
      </c>
      <c r="C48" s="329"/>
      <c r="D48" s="1032"/>
      <c r="E48" s="331"/>
      <c r="F48" s="337"/>
      <c r="G48" s="338"/>
      <c r="H48" s="332"/>
      <c r="I48" s="334"/>
      <c r="J48" s="334"/>
      <c r="K48" s="335"/>
      <c r="L48" s="335"/>
      <c r="M48" s="336"/>
    </row>
    <row r="49" spans="1:14" ht="21" customHeight="1">
      <c r="A49" s="549">
        <f t="shared" si="0"/>
        <v>0</v>
      </c>
      <c r="B49" s="328" t="str">
        <f>IF(C49="","",COUNTIF($A$38:$A49,1))</f>
        <v/>
      </c>
      <c r="C49" s="329"/>
      <c r="D49" s="1032"/>
      <c r="E49" s="331"/>
      <c r="F49" s="337"/>
      <c r="G49" s="338"/>
      <c r="H49" s="332"/>
      <c r="I49" s="334"/>
      <c r="J49" s="334"/>
      <c r="K49" s="335"/>
      <c r="L49" s="335"/>
      <c r="M49" s="336"/>
    </row>
    <row r="50" spans="1:14" ht="21" customHeight="1">
      <c r="A50" s="549">
        <f t="shared" si="0"/>
        <v>0</v>
      </c>
      <c r="B50" s="328" t="str">
        <f>IF(C50="","",COUNTIF($A$38:$A50,1))</f>
        <v/>
      </c>
      <c r="C50" s="329"/>
      <c r="D50" s="330"/>
      <c r="E50" s="331"/>
      <c r="F50" s="332"/>
      <c r="G50" s="333"/>
      <c r="H50" s="332"/>
      <c r="I50" s="334"/>
      <c r="J50" s="334"/>
      <c r="K50" s="335"/>
      <c r="L50" s="335"/>
      <c r="M50" s="336"/>
    </row>
    <row r="51" spans="1:14" ht="21" customHeight="1">
      <c r="A51" s="549">
        <f t="shared" si="0"/>
        <v>0</v>
      </c>
      <c r="B51" s="328" t="str">
        <f>IF(C51="","",COUNTIF($A$38:$A51,1))</f>
        <v/>
      </c>
      <c r="C51" s="329"/>
      <c r="D51" s="330"/>
      <c r="E51" s="331"/>
      <c r="F51" s="332"/>
      <c r="G51" s="333"/>
      <c r="H51" s="332"/>
      <c r="I51" s="334"/>
      <c r="J51" s="334"/>
      <c r="K51" s="335"/>
      <c r="L51" s="335"/>
      <c r="M51" s="336"/>
    </row>
    <row r="52" spans="1:14" ht="21" customHeight="1">
      <c r="A52" s="549">
        <f t="shared" si="0"/>
        <v>0</v>
      </c>
      <c r="B52" s="328" t="str">
        <f>IF(C52="","",COUNTIF($A$38:$A52,1))</f>
        <v/>
      </c>
      <c r="C52" s="329"/>
      <c r="D52" s="330"/>
      <c r="E52" s="331"/>
      <c r="F52" s="337"/>
      <c r="G52" s="338"/>
      <c r="H52" s="337"/>
      <c r="I52" s="334"/>
      <c r="J52" s="334"/>
      <c r="K52" s="335"/>
      <c r="L52" s="335"/>
      <c r="M52" s="336"/>
    </row>
    <row r="53" spans="1:14" ht="21" customHeight="1">
      <c r="A53" s="549">
        <f t="shared" si="0"/>
        <v>0</v>
      </c>
      <c r="B53" s="328" t="str">
        <f>IF(C53="","",COUNTIF($A$38:$A53,1))</f>
        <v/>
      </c>
      <c r="C53" s="329"/>
      <c r="D53" s="330"/>
      <c r="E53" s="331"/>
      <c r="F53" s="332"/>
      <c r="G53" s="333"/>
      <c r="H53" s="332"/>
      <c r="I53" s="334"/>
      <c r="J53" s="334"/>
      <c r="K53" s="335"/>
      <c r="L53" s="335"/>
      <c r="M53" s="336"/>
    </row>
    <row r="54" spans="1:14" ht="21" customHeight="1">
      <c r="A54" s="549">
        <f t="shared" si="0"/>
        <v>0</v>
      </c>
      <c r="B54" s="328" t="str">
        <f>IF(C54="","",COUNTIF($A$38:$A54,1))</f>
        <v/>
      </c>
      <c r="C54" s="329"/>
      <c r="D54" s="330"/>
      <c r="E54" s="331"/>
      <c r="F54" s="332"/>
      <c r="G54" s="333"/>
      <c r="H54" s="332"/>
      <c r="I54" s="334"/>
      <c r="J54" s="334"/>
      <c r="K54" s="335"/>
      <c r="L54" s="335"/>
      <c r="M54" s="336"/>
    </row>
    <row r="55" spans="1:14" ht="21" customHeight="1">
      <c r="A55" s="549">
        <f t="shared" si="0"/>
        <v>0</v>
      </c>
      <c r="B55" s="328" t="str">
        <f>IF(C55="","",COUNTIF($A$38:$A55,1))</f>
        <v/>
      </c>
      <c r="C55" s="329"/>
      <c r="D55" s="330"/>
      <c r="E55" s="331"/>
      <c r="F55" s="337"/>
      <c r="G55" s="338"/>
      <c r="H55" s="337"/>
      <c r="I55" s="334"/>
      <c r="J55" s="334"/>
      <c r="K55" s="335"/>
      <c r="L55" s="335"/>
      <c r="M55" s="336"/>
    </row>
    <row r="56" spans="1:14" ht="21" customHeight="1">
      <c r="A56" s="549">
        <f t="shared" si="0"/>
        <v>0</v>
      </c>
      <c r="B56" s="328" t="str">
        <f>IF(C56="","",COUNTIF($A$38:$A56,1))</f>
        <v/>
      </c>
      <c r="C56" s="329"/>
      <c r="D56" s="330"/>
      <c r="E56" s="331"/>
      <c r="F56" s="332"/>
      <c r="G56" s="333"/>
      <c r="H56" s="332"/>
      <c r="I56" s="334"/>
      <c r="J56" s="334"/>
      <c r="K56" s="335"/>
      <c r="L56" s="335"/>
      <c r="M56" s="336"/>
    </row>
    <row r="57" spans="1:14" ht="21" customHeight="1">
      <c r="A57" s="549">
        <f t="shared" si="0"/>
        <v>0</v>
      </c>
      <c r="B57" s="328" t="str">
        <f>IF(C57="","",COUNTIF($A$38:$A57,1))</f>
        <v/>
      </c>
      <c r="C57" s="356"/>
      <c r="D57" s="377"/>
      <c r="E57" s="357"/>
      <c r="F57" s="374"/>
      <c r="G57" s="375"/>
      <c r="H57" s="374"/>
      <c r="I57" s="358"/>
      <c r="J57" s="358"/>
      <c r="K57" s="359"/>
      <c r="L57" s="359"/>
      <c r="M57" s="360"/>
    </row>
    <row r="58" spans="1:14" ht="21" customHeight="1">
      <c r="A58" s="549">
        <f t="shared" si="0"/>
        <v>0</v>
      </c>
      <c r="B58" s="328" t="str">
        <f>IF(C58="","",COUNTIF($A$38:$A58,1))</f>
        <v/>
      </c>
      <c r="C58" s="356"/>
      <c r="D58" s="373"/>
      <c r="E58" s="357"/>
      <c r="F58" s="374"/>
      <c r="G58" s="375"/>
      <c r="H58" s="376"/>
      <c r="I58" s="358"/>
      <c r="J58" s="358"/>
      <c r="K58" s="359"/>
      <c r="L58" s="359"/>
      <c r="M58" s="360"/>
    </row>
    <row r="59" spans="1:14" ht="21" customHeight="1">
      <c r="A59" s="549">
        <f t="shared" si="0"/>
        <v>0</v>
      </c>
      <c r="B59" s="328" t="str">
        <f>IF(C59="","",COUNTIF($A$38:$A59,1))</f>
        <v/>
      </c>
      <c r="C59" s="356"/>
      <c r="D59" s="357"/>
      <c r="E59" s="357"/>
      <c r="F59" s="357"/>
      <c r="G59" s="357"/>
      <c r="H59" s="357"/>
      <c r="I59" s="358"/>
      <c r="J59" s="358"/>
      <c r="K59" s="359"/>
      <c r="L59" s="359"/>
      <c r="M59" s="360"/>
    </row>
    <row r="60" spans="1:14" ht="21" customHeight="1">
      <c r="A60" s="549">
        <f t="shared" si="0"/>
        <v>0</v>
      </c>
      <c r="B60" s="328" t="str">
        <f>IF(C60="","",COUNTIF($A$38:$A60,1))</f>
        <v/>
      </c>
      <c r="C60" s="356"/>
      <c r="D60" s="357"/>
      <c r="E60" s="357"/>
      <c r="F60" s="357"/>
      <c r="G60" s="357"/>
      <c r="H60" s="357"/>
      <c r="I60" s="358"/>
      <c r="J60" s="358"/>
      <c r="K60" s="359"/>
      <c r="L60" s="359"/>
      <c r="M60" s="360"/>
    </row>
    <row r="61" spans="1:14" ht="21" customHeight="1">
      <c r="A61" s="549">
        <f t="shared" si="0"/>
        <v>0</v>
      </c>
      <c r="B61" s="328" t="str">
        <f>IF(C61="","",COUNTIF($A$38:$A61,1))</f>
        <v/>
      </c>
      <c r="C61" s="356"/>
      <c r="D61" s="357"/>
      <c r="E61" s="357"/>
      <c r="F61" s="357"/>
      <c r="G61" s="357"/>
      <c r="H61" s="357"/>
      <c r="I61" s="358"/>
      <c r="J61" s="358"/>
      <c r="K61" s="359"/>
      <c r="L61" s="359"/>
      <c r="M61" s="360"/>
    </row>
    <row r="62" spans="1:14" ht="21" customHeight="1" thickBot="1">
      <c r="A62" s="549">
        <f t="shared" si="0"/>
        <v>0</v>
      </c>
      <c r="B62" s="339" t="str">
        <f>IF(C62="","",COUNTIF($A$38:$A62,1))</f>
        <v/>
      </c>
      <c r="C62" s="340"/>
      <c r="D62" s="341"/>
      <c r="E62" s="341"/>
      <c r="F62" s="341"/>
      <c r="G62" s="341"/>
      <c r="H62" s="341"/>
      <c r="I62" s="342"/>
      <c r="J62" s="342"/>
      <c r="K62" s="343"/>
      <c r="L62" s="343"/>
      <c r="M62" s="344"/>
    </row>
    <row r="63" spans="1:14" ht="21" customHeight="1" thickBot="1">
      <c r="I63" s="345" t="s">
        <v>1747</v>
      </c>
      <c r="J63" s="346">
        <f>SUM(J38:J62)</f>
        <v>16115</v>
      </c>
      <c r="N63" s="555" t="s">
        <v>1847</v>
      </c>
    </row>
    <row r="64" spans="1:14" ht="6" customHeight="1" thickBot="1"/>
    <row r="65" spans="1:11" ht="21" customHeight="1">
      <c r="A65" s="378" t="s">
        <v>1756</v>
      </c>
      <c r="B65" s="347" t="str">
        <f>IF(A65="","","注記(1)")</f>
        <v>注記(1)</v>
      </c>
      <c r="C65" s="1276" t="str">
        <f>IFERROR(IF(OR(A65="",A65="0"),"",VLOOKUP(A65,A17:B29,2,FALSE)),"")</f>
        <v>上記商品、同一ロットでお手配お願い致します。</v>
      </c>
      <c r="D65" s="1277"/>
      <c r="E65" s="1277"/>
      <c r="F65" s="1278"/>
      <c r="G65" s="550" t="s">
        <v>1788</v>
      </c>
      <c r="H65" s="982" t="s">
        <v>3767</v>
      </c>
      <c r="I65" s="350"/>
      <c r="J65" s="350"/>
      <c r="K65" s="351"/>
    </row>
    <row r="66" spans="1:11" ht="21" customHeight="1">
      <c r="A66" s="378" t="s">
        <v>1762</v>
      </c>
      <c r="B66" s="348" t="str">
        <f>IF(A66="","","注記(2)")</f>
        <v>注記(2)</v>
      </c>
      <c r="C66" s="1279" t="str">
        <f>IFERROR(IF(OR(A66="",A66="0"),"",VLOOKUP(A66,A17:B29,2,FALSE)),"")</f>
        <v>上記商品、最短納期でお手配お願い致します。</v>
      </c>
      <c r="D66" s="1280"/>
      <c r="E66" s="1280"/>
      <c r="F66" s="1281"/>
      <c r="G66" s="551"/>
      <c r="H66" s="352"/>
      <c r="I66" s="352"/>
      <c r="J66" s="352"/>
      <c r="K66" s="353"/>
    </row>
    <row r="67" spans="1:11" ht="21" customHeight="1">
      <c r="A67" s="378" t="s">
        <v>1767</v>
      </c>
      <c r="B67" s="348" t="str">
        <f>IF(A67="","","注記(3)")</f>
        <v>注記(3)</v>
      </c>
      <c r="C67" s="1282" t="str">
        <f>IFERROR(IF(OR(A67="",A67="0"),"",VLOOKUP(A67,A18:B30,2,FALSE)),"")</f>
        <v>在庫有無、納期のご回答をお願い致します。</v>
      </c>
      <c r="D67" s="1283"/>
      <c r="E67" s="1283"/>
      <c r="F67" s="1284"/>
      <c r="G67" s="551"/>
      <c r="H67" s="352"/>
      <c r="I67" s="352"/>
      <c r="J67" s="352"/>
      <c r="K67" s="353"/>
    </row>
    <row r="68" spans="1:11" ht="21" customHeight="1">
      <c r="A68" s="378"/>
      <c r="B68" s="348" t="str">
        <f>IF(A68="","","注記(4)")</f>
        <v/>
      </c>
      <c r="C68" s="1279" t="str">
        <f>IFERROR(IF(OR(A68="",A68="0"),"",VLOOKUP(A68,A17:B29,2,FALSE)),"")</f>
        <v/>
      </c>
      <c r="D68" s="1280"/>
      <c r="E68" s="1280"/>
      <c r="F68" s="1281"/>
      <c r="G68" s="551"/>
      <c r="H68" s="352"/>
      <c r="I68" s="352"/>
      <c r="J68" s="352"/>
      <c r="K68" s="353"/>
    </row>
    <row r="69" spans="1:11" ht="21" customHeight="1" thickBot="1">
      <c r="A69" s="378"/>
      <c r="B69" s="349" t="str">
        <f>IF(A69="","","注記(5)")</f>
        <v/>
      </c>
      <c r="C69" s="1270" t="str">
        <f>IFERROR(IF(OR(A69="",A69="0"),"",VLOOKUP(A69,A21:B33,2,FALSE)),"")</f>
        <v/>
      </c>
      <c r="D69" s="1271"/>
      <c r="E69" s="1271"/>
      <c r="F69" s="1272"/>
      <c r="G69" s="552"/>
      <c r="H69" s="354"/>
      <c r="I69" s="354"/>
      <c r="J69" s="354"/>
      <c r="K69" s="355"/>
    </row>
    <row r="70" spans="1:11" ht="5.25" customHeight="1"/>
  </sheetData>
  <mergeCells count="10">
    <mergeCell ref="D2:E2"/>
    <mergeCell ref="A7:A13"/>
    <mergeCell ref="C69:F69"/>
    <mergeCell ref="L32:M32"/>
    <mergeCell ref="L31:M31"/>
    <mergeCell ref="G28:I29"/>
    <mergeCell ref="C65:F65"/>
    <mergeCell ref="C66:F66"/>
    <mergeCell ref="C67:F67"/>
    <mergeCell ref="C68:F68"/>
  </mergeCells>
  <phoneticPr fontId="3"/>
  <conditionalFormatting sqref="B38:B62">
    <cfRule type="cellIs" dxfId="76" priority="1" operator="equal">
      <formula>0</formula>
    </cfRule>
  </conditionalFormatting>
  <dataValidations count="1">
    <dataValidation type="list" allowBlank="1" showInputMessage="1" showErrorMessage="1" sqref="A65:A69" xr:uid="{C7D50E80-AF4D-47FD-9397-5ED721E9F6F0}">
      <formula1>$A$17:$A$28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7" r:id="rId4" name="Button 11">
              <controlPr defaultSize="0" print="0" autoFill="0" autoPict="0" macro="[0]!発注書明細クリア">
                <anchor moveWithCells="1" sizeWithCells="1">
                  <from>
                    <xdr:col>5</xdr:col>
                    <xdr:colOff>95250</xdr:colOff>
                    <xdr:row>4</xdr:row>
                    <xdr:rowOff>38100</xdr:rowOff>
                  </from>
                  <to>
                    <xdr:col>5</xdr:col>
                    <xdr:colOff>942975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5" name="Button 12">
              <controlPr defaultSize="0" print="0" autoFill="0" autoPict="0" macro="[0]!DataCopy_発注書">
                <anchor moveWithCells="1" sizeWithCells="1">
                  <from>
                    <xdr:col>5</xdr:col>
                    <xdr:colOff>104775</xdr:colOff>
                    <xdr:row>2</xdr:row>
                    <xdr:rowOff>19050</xdr:rowOff>
                  </from>
                  <to>
                    <xdr:col>8</xdr:col>
                    <xdr:colOff>876300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6" name="Button 13">
              <controlPr defaultSize="0" print="0" autoFill="0" autoPict="0" macro="[0]!発注書注記クリア">
                <anchor moveWithCells="1" sizeWithCells="1">
                  <from>
                    <xdr:col>6</xdr:col>
                    <xdr:colOff>76200</xdr:colOff>
                    <xdr:row>4</xdr:row>
                    <xdr:rowOff>38100</xdr:rowOff>
                  </from>
                  <to>
                    <xdr:col>6</xdr:col>
                    <xdr:colOff>914400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7" name="Button 14">
              <controlPr defaultSize="0" print="0" autoFill="0" autoPict="0" macro="[0]!発注書メモクリア">
                <anchor moveWithCells="1" sizeWithCells="1">
                  <from>
                    <xdr:col>7</xdr:col>
                    <xdr:colOff>38100</xdr:colOff>
                    <xdr:row>4</xdr:row>
                    <xdr:rowOff>38100</xdr:rowOff>
                  </from>
                  <to>
                    <xdr:col>7</xdr:col>
                    <xdr:colOff>895350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8" name="Button 15">
              <controlPr defaultSize="0" print="0" autoFill="0" autoPict="0" macro="[0]!改行設定発注書">
                <anchor moveWithCells="1" sizeWithCells="1">
                  <from>
                    <xdr:col>8</xdr:col>
                    <xdr:colOff>28575</xdr:colOff>
                    <xdr:row>4</xdr:row>
                    <xdr:rowOff>38100</xdr:rowOff>
                  </from>
                  <to>
                    <xdr:col>8</xdr:col>
                    <xdr:colOff>876300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BD8EF6-45ED-4A10-B5FB-8BCF265B1609}">
          <x14:formula1>
            <xm:f>仕入先マスタ!$B:$B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E293D-7C3A-4CEA-BC20-C5265FED750C}">
  <sheetPr codeName="Sheet13"/>
  <dimension ref="A1:J51"/>
  <sheetViews>
    <sheetView topLeftCell="A7" zoomScaleNormal="100" workbookViewId="0">
      <selection activeCell="A10" sqref="A10:H10"/>
    </sheetView>
  </sheetViews>
  <sheetFormatPr defaultRowHeight="14.25"/>
  <cols>
    <col min="1" max="2" width="8.625" style="974" customWidth="1"/>
    <col min="3" max="3" width="11.875" style="974" customWidth="1"/>
    <col min="4" max="4" width="10.625" style="974" customWidth="1"/>
    <col min="5" max="5" width="8.625" style="974" customWidth="1"/>
    <col min="6" max="6" width="12.625" style="974" customWidth="1"/>
    <col min="7" max="8" width="10.625" style="974" customWidth="1"/>
    <col min="9" max="9" width="15.625" style="971" customWidth="1"/>
    <col min="10" max="10" width="15.625" style="972" customWidth="1"/>
    <col min="11" max="256" width="9" style="974"/>
    <col min="257" max="258" width="8.625" style="974" customWidth="1"/>
    <col min="259" max="259" width="11.875" style="974" customWidth="1"/>
    <col min="260" max="260" width="10.625" style="974" customWidth="1"/>
    <col min="261" max="261" width="8.625" style="974" customWidth="1"/>
    <col min="262" max="262" width="12.625" style="974" customWidth="1"/>
    <col min="263" max="264" width="10.625" style="974" customWidth="1"/>
    <col min="265" max="266" width="15.625" style="974" customWidth="1"/>
    <col min="267" max="512" width="9" style="974"/>
    <col min="513" max="514" width="8.625" style="974" customWidth="1"/>
    <col min="515" max="515" width="11.875" style="974" customWidth="1"/>
    <col min="516" max="516" width="10.625" style="974" customWidth="1"/>
    <col min="517" max="517" width="8.625" style="974" customWidth="1"/>
    <col min="518" max="518" width="12.625" style="974" customWidth="1"/>
    <col min="519" max="520" width="10.625" style="974" customWidth="1"/>
    <col min="521" max="522" width="15.625" style="974" customWidth="1"/>
    <col min="523" max="768" width="9" style="974"/>
    <col min="769" max="770" width="8.625" style="974" customWidth="1"/>
    <col min="771" max="771" width="11.875" style="974" customWidth="1"/>
    <col min="772" max="772" width="10.625" style="974" customWidth="1"/>
    <col min="773" max="773" width="8.625" style="974" customWidth="1"/>
    <col min="774" max="774" width="12.625" style="974" customWidth="1"/>
    <col min="775" max="776" width="10.625" style="974" customWidth="1"/>
    <col min="777" max="778" width="15.625" style="974" customWidth="1"/>
    <col min="779" max="1024" width="9" style="974"/>
    <col min="1025" max="1026" width="8.625" style="974" customWidth="1"/>
    <col min="1027" max="1027" width="11.875" style="974" customWidth="1"/>
    <col min="1028" max="1028" width="10.625" style="974" customWidth="1"/>
    <col min="1029" max="1029" width="8.625" style="974" customWidth="1"/>
    <col min="1030" max="1030" width="12.625" style="974" customWidth="1"/>
    <col min="1031" max="1032" width="10.625" style="974" customWidth="1"/>
    <col min="1033" max="1034" width="15.625" style="974" customWidth="1"/>
    <col min="1035" max="1280" width="9" style="974"/>
    <col min="1281" max="1282" width="8.625" style="974" customWidth="1"/>
    <col min="1283" max="1283" width="11.875" style="974" customWidth="1"/>
    <col min="1284" max="1284" width="10.625" style="974" customWidth="1"/>
    <col min="1285" max="1285" width="8.625" style="974" customWidth="1"/>
    <col min="1286" max="1286" width="12.625" style="974" customWidth="1"/>
    <col min="1287" max="1288" width="10.625" style="974" customWidth="1"/>
    <col min="1289" max="1290" width="15.625" style="974" customWidth="1"/>
    <col min="1291" max="1536" width="9" style="974"/>
    <col min="1537" max="1538" width="8.625" style="974" customWidth="1"/>
    <col min="1539" max="1539" width="11.875" style="974" customWidth="1"/>
    <col min="1540" max="1540" width="10.625" style="974" customWidth="1"/>
    <col min="1541" max="1541" width="8.625" style="974" customWidth="1"/>
    <col min="1542" max="1542" width="12.625" style="974" customWidth="1"/>
    <col min="1543" max="1544" width="10.625" style="974" customWidth="1"/>
    <col min="1545" max="1546" width="15.625" style="974" customWidth="1"/>
    <col min="1547" max="1792" width="9" style="974"/>
    <col min="1793" max="1794" width="8.625" style="974" customWidth="1"/>
    <col min="1795" max="1795" width="11.875" style="974" customWidth="1"/>
    <col min="1796" max="1796" width="10.625" style="974" customWidth="1"/>
    <col min="1797" max="1797" width="8.625" style="974" customWidth="1"/>
    <col min="1798" max="1798" width="12.625" style="974" customWidth="1"/>
    <col min="1799" max="1800" width="10.625" style="974" customWidth="1"/>
    <col min="1801" max="1802" width="15.625" style="974" customWidth="1"/>
    <col min="1803" max="2048" width="9" style="974"/>
    <col min="2049" max="2050" width="8.625" style="974" customWidth="1"/>
    <col min="2051" max="2051" width="11.875" style="974" customWidth="1"/>
    <col min="2052" max="2052" width="10.625" style="974" customWidth="1"/>
    <col min="2053" max="2053" width="8.625" style="974" customWidth="1"/>
    <col min="2054" max="2054" width="12.625" style="974" customWidth="1"/>
    <col min="2055" max="2056" width="10.625" style="974" customWidth="1"/>
    <col min="2057" max="2058" width="15.625" style="974" customWidth="1"/>
    <col min="2059" max="2304" width="9" style="974"/>
    <col min="2305" max="2306" width="8.625" style="974" customWidth="1"/>
    <col min="2307" max="2307" width="11.875" style="974" customWidth="1"/>
    <col min="2308" max="2308" width="10.625" style="974" customWidth="1"/>
    <col min="2309" max="2309" width="8.625" style="974" customWidth="1"/>
    <col min="2310" max="2310" width="12.625" style="974" customWidth="1"/>
    <col min="2311" max="2312" width="10.625" style="974" customWidth="1"/>
    <col min="2313" max="2314" width="15.625" style="974" customWidth="1"/>
    <col min="2315" max="2560" width="9" style="974"/>
    <col min="2561" max="2562" width="8.625" style="974" customWidth="1"/>
    <col min="2563" max="2563" width="11.875" style="974" customWidth="1"/>
    <col min="2564" max="2564" width="10.625" style="974" customWidth="1"/>
    <col min="2565" max="2565" width="8.625" style="974" customWidth="1"/>
    <col min="2566" max="2566" width="12.625" style="974" customWidth="1"/>
    <col min="2567" max="2568" width="10.625" style="974" customWidth="1"/>
    <col min="2569" max="2570" width="15.625" style="974" customWidth="1"/>
    <col min="2571" max="2816" width="9" style="974"/>
    <col min="2817" max="2818" width="8.625" style="974" customWidth="1"/>
    <col min="2819" max="2819" width="11.875" style="974" customWidth="1"/>
    <col min="2820" max="2820" width="10.625" style="974" customWidth="1"/>
    <col min="2821" max="2821" width="8.625" style="974" customWidth="1"/>
    <col min="2822" max="2822" width="12.625" style="974" customWidth="1"/>
    <col min="2823" max="2824" width="10.625" style="974" customWidth="1"/>
    <col min="2825" max="2826" width="15.625" style="974" customWidth="1"/>
    <col min="2827" max="3072" width="9" style="974"/>
    <col min="3073" max="3074" width="8.625" style="974" customWidth="1"/>
    <col min="3075" max="3075" width="11.875" style="974" customWidth="1"/>
    <col min="3076" max="3076" width="10.625" style="974" customWidth="1"/>
    <col min="3077" max="3077" width="8.625" style="974" customWidth="1"/>
    <col min="3078" max="3078" width="12.625" style="974" customWidth="1"/>
    <col min="3079" max="3080" width="10.625" style="974" customWidth="1"/>
    <col min="3081" max="3082" width="15.625" style="974" customWidth="1"/>
    <col min="3083" max="3328" width="9" style="974"/>
    <col min="3329" max="3330" width="8.625" style="974" customWidth="1"/>
    <col min="3331" max="3331" width="11.875" style="974" customWidth="1"/>
    <col min="3332" max="3332" width="10.625" style="974" customWidth="1"/>
    <col min="3333" max="3333" width="8.625" style="974" customWidth="1"/>
    <col min="3334" max="3334" width="12.625" style="974" customWidth="1"/>
    <col min="3335" max="3336" width="10.625" style="974" customWidth="1"/>
    <col min="3337" max="3338" width="15.625" style="974" customWidth="1"/>
    <col min="3339" max="3584" width="9" style="974"/>
    <col min="3585" max="3586" width="8.625" style="974" customWidth="1"/>
    <col min="3587" max="3587" width="11.875" style="974" customWidth="1"/>
    <col min="3588" max="3588" width="10.625" style="974" customWidth="1"/>
    <col min="3589" max="3589" width="8.625" style="974" customWidth="1"/>
    <col min="3590" max="3590" width="12.625" style="974" customWidth="1"/>
    <col min="3591" max="3592" width="10.625" style="974" customWidth="1"/>
    <col min="3593" max="3594" width="15.625" style="974" customWidth="1"/>
    <col min="3595" max="3840" width="9" style="974"/>
    <col min="3841" max="3842" width="8.625" style="974" customWidth="1"/>
    <col min="3843" max="3843" width="11.875" style="974" customWidth="1"/>
    <col min="3844" max="3844" width="10.625" style="974" customWidth="1"/>
    <col min="3845" max="3845" width="8.625" style="974" customWidth="1"/>
    <col min="3846" max="3846" width="12.625" style="974" customWidth="1"/>
    <col min="3847" max="3848" width="10.625" style="974" customWidth="1"/>
    <col min="3849" max="3850" width="15.625" style="974" customWidth="1"/>
    <col min="3851" max="4096" width="9" style="974"/>
    <col min="4097" max="4098" width="8.625" style="974" customWidth="1"/>
    <col min="4099" max="4099" width="11.875" style="974" customWidth="1"/>
    <col min="4100" max="4100" width="10.625" style="974" customWidth="1"/>
    <col min="4101" max="4101" width="8.625" style="974" customWidth="1"/>
    <col min="4102" max="4102" width="12.625" style="974" customWidth="1"/>
    <col min="4103" max="4104" width="10.625" style="974" customWidth="1"/>
    <col min="4105" max="4106" width="15.625" style="974" customWidth="1"/>
    <col min="4107" max="4352" width="9" style="974"/>
    <col min="4353" max="4354" width="8.625" style="974" customWidth="1"/>
    <col min="4355" max="4355" width="11.875" style="974" customWidth="1"/>
    <col min="4356" max="4356" width="10.625" style="974" customWidth="1"/>
    <col min="4357" max="4357" width="8.625" style="974" customWidth="1"/>
    <col min="4358" max="4358" width="12.625" style="974" customWidth="1"/>
    <col min="4359" max="4360" width="10.625" style="974" customWidth="1"/>
    <col min="4361" max="4362" width="15.625" style="974" customWidth="1"/>
    <col min="4363" max="4608" width="9" style="974"/>
    <col min="4609" max="4610" width="8.625" style="974" customWidth="1"/>
    <col min="4611" max="4611" width="11.875" style="974" customWidth="1"/>
    <col min="4612" max="4612" width="10.625" style="974" customWidth="1"/>
    <col min="4613" max="4613" width="8.625" style="974" customWidth="1"/>
    <col min="4614" max="4614" width="12.625" style="974" customWidth="1"/>
    <col min="4615" max="4616" width="10.625" style="974" customWidth="1"/>
    <col min="4617" max="4618" width="15.625" style="974" customWidth="1"/>
    <col min="4619" max="4864" width="9" style="974"/>
    <col min="4865" max="4866" width="8.625" style="974" customWidth="1"/>
    <col min="4867" max="4867" width="11.875" style="974" customWidth="1"/>
    <col min="4868" max="4868" width="10.625" style="974" customWidth="1"/>
    <col min="4869" max="4869" width="8.625" style="974" customWidth="1"/>
    <col min="4870" max="4870" width="12.625" style="974" customWidth="1"/>
    <col min="4871" max="4872" width="10.625" style="974" customWidth="1"/>
    <col min="4873" max="4874" width="15.625" style="974" customWidth="1"/>
    <col min="4875" max="5120" width="9" style="974"/>
    <col min="5121" max="5122" width="8.625" style="974" customWidth="1"/>
    <col min="5123" max="5123" width="11.875" style="974" customWidth="1"/>
    <col min="5124" max="5124" width="10.625" style="974" customWidth="1"/>
    <col min="5125" max="5125" width="8.625" style="974" customWidth="1"/>
    <col min="5126" max="5126" width="12.625" style="974" customWidth="1"/>
    <col min="5127" max="5128" width="10.625" style="974" customWidth="1"/>
    <col min="5129" max="5130" width="15.625" style="974" customWidth="1"/>
    <col min="5131" max="5376" width="9" style="974"/>
    <col min="5377" max="5378" width="8.625" style="974" customWidth="1"/>
    <col min="5379" max="5379" width="11.875" style="974" customWidth="1"/>
    <col min="5380" max="5380" width="10.625" style="974" customWidth="1"/>
    <col min="5381" max="5381" width="8.625" style="974" customWidth="1"/>
    <col min="5382" max="5382" width="12.625" style="974" customWidth="1"/>
    <col min="5383" max="5384" width="10.625" style="974" customWidth="1"/>
    <col min="5385" max="5386" width="15.625" style="974" customWidth="1"/>
    <col min="5387" max="5632" width="9" style="974"/>
    <col min="5633" max="5634" width="8.625" style="974" customWidth="1"/>
    <col min="5635" max="5635" width="11.875" style="974" customWidth="1"/>
    <col min="5636" max="5636" width="10.625" style="974" customWidth="1"/>
    <col min="5637" max="5637" width="8.625" style="974" customWidth="1"/>
    <col min="5638" max="5638" width="12.625" style="974" customWidth="1"/>
    <col min="5639" max="5640" width="10.625" style="974" customWidth="1"/>
    <col min="5641" max="5642" width="15.625" style="974" customWidth="1"/>
    <col min="5643" max="5888" width="9" style="974"/>
    <col min="5889" max="5890" width="8.625" style="974" customWidth="1"/>
    <col min="5891" max="5891" width="11.875" style="974" customWidth="1"/>
    <col min="5892" max="5892" width="10.625" style="974" customWidth="1"/>
    <col min="5893" max="5893" width="8.625" style="974" customWidth="1"/>
    <col min="5894" max="5894" width="12.625" style="974" customWidth="1"/>
    <col min="5895" max="5896" width="10.625" style="974" customWidth="1"/>
    <col min="5897" max="5898" width="15.625" style="974" customWidth="1"/>
    <col min="5899" max="6144" width="9" style="974"/>
    <col min="6145" max="6146" width="8.625" style="974" customWidth="1"/>
    <col min="6147" max="6147" width="11.875" style="974" customWidth="1"/>
    <col min="6148" max="6148" width="10.625" style="974" customWidth="1"/>
    <col min="6149" max="6149" width="8.625" style="974" customWidth="1"/>
    <col min="6150" max="6150" width="12.625" style="974" customWidth="1"/>
    <col min="6151" max="6152" width="10.625" style="974" customWidth="1"/>
    <col min="6153" max="6154" width="15.625" style="974" customWidth="1"/>
    <col min="6155" max="6400" width="9" style="974"/>
    <col min="6401" max="6402" width="8.625" style="974" customWidth="1"/>
    <col min="6403" max="6403" width="11.875" style="974" customWidth="1"/>
    <col min="6404" max="6404" width="10.625" style="974" customWidth="1"/>
    <col min="6405" max="6405" width="8.625" style="974" customWidth="1"/>
    <col min="6406" max="6406" width="12.625" style="974" customWidth="1"/>
    <col min="6407" max="6408" width="10.625" style="974" customWidth="1"/>
    <col min="6409" max="6410" width="15.625" style="974" customWidth="1"/>
    <col min="6411" max="6656" width="9" style="974"/>
    <col min="6657" max="6658" width="8.625" style="974" customWidth="1"/>
    <col min="6659" max="6659" width="11.875" style="974" customWidth="1"/>
    <col min="6660" max="6660" width="10.625" style="974" customWidth="1"/>
    <col min="6661" max="6661" width="8.625" style="974" customWidth="1"/>
    <col min="6662" max="6662" width="12.625" style="974" customWidth="1"/>
    <col min="6663" max="6664" width="10.625" style="974" customWidth="1"/>
    <col min="6665" max="6666" width="15.625" style="974" customWidth="1"/>
    <col min="6667" max="6912" width="9" style="974"/>
    <col min="6913" max="6914" width="8.625" style="974" customWidth="1"/>
    <col min="6915" max="6915" width="11.875" style="974" customWidth="1"/>
    <col min="6916" max="6916" width="10.625" style="974" customWidth="1"/>
    <col min="6917" max="6917" width="8.625" style="974" customWidth="1"/>
    <col min="6918" max="6918" width="12.625" style="974" customWidth="1"/>
    <col min="6919" max="6920" width="10.625" style="974" customWidth="1"/>
    <col min="6921" max="6922" width="15.625" style="974" customWidth="1"/>
    <col min="6923" max="7168" width="9" style="974"/>
    <col min="7169" max="7170" width="8.625" style="974" customWidth="1"/>
    <col min="7171" max="7171" width="11.875" style="974" customWidth="1"/>
    <col min="7172" max="7172" width="10.625" style="974" customWidth="1"/>
    <col min="7173" max="7173" width="8.625" style="974" customWidth="1"/>
    <col min="7174" max="7174" width="12.625" style="974" customWidth="1"/>
    <col min="7175" max="7176" width="10.625" style="974" customWidth="1"/>
    <col min="7177" max="7178" width="15.625" style="974" customWidth="1"/>
    <col min="7179" max="7424" width="9" style="974"/>
    <col min="7425" max="7426" width="8.625" style="974" customWidth="1"/>
    <col min="7427" max="7427" width="11.875" style="974" customWidth="1"/>
    <col min="7428" max="7428" width="10.625" style="974" customWidth="1"/>
    <col min="7429" max="7429" width="8.625" style="974" customWidth="1"/>
    <col min="7430" max="7430" width="12.625" style="974" customWidth="1"/>
    <col min="7431" max="7432" width="10.625" style="974" customWidth="1"/>
    <col min="7433" max="7434" width="15.625" style="974" customWidth="1"/>
    <col min="7435" max="7680" width="9" style="974"/>
    <col min="7681" max="7682" width="8.625" style="974" customWidth="1"/>
    <col min="7683" max="7683" width="11.875" style="974" customWidth="1"/>
    <col min="7684" max="7684" width="10.625" style="974" customWidth="1"/>
    <col min="7685" max="7685" width="8.625" style="974" customWidth="1"/>
    <col min="7686" max="7686" width="12.625" style="974" customWidth="1"/>
    <col min="7687" max="7688" width="10.625" style="974" customWidth="1"/>
    <col min="7689" max="7690" width="15.625" style="974" customWidth="1"/>
    <col min="7691" max="7936" width="9" style="974"/>
    <col min="7937" max="7938" width="8.625" style="974" customWidth="1"/>
    <col min="7939" max="7939" width="11.875" style="974" customWidth="1"/>
    <col min="7940" max="7940" width="10.625" style="974" customWidth="1"/>
    <col min="7941" max="7941" width="8.625" style="974" customWidth="1"/>
    <col min="7942" max="7942" width="12.625" style="974" customWidth="1"/>
    <col min="7943" max="7944" width="10.625" style="974" customWidth="1"/>
    <col min="7945" max="7946" width="15.625" style="974" customWidth="1"/>
    <col min="7947" max="8192" width="9" style="974"/>
    <col min="8193" max="8194" width="8.625" style="974" customWidth="1"/>
    <col min="8195" max="8195" width="11.875" style="974" customWidth="1"/>
    <col min="8196" max="8196" width="10.625" style="974" customWidth="1"/>
    <col min="8197" max="8197" width="8.625" style="974" customWidth="1"/>
    <col min="8198" max="8198" width="12.625" style="974" customWidth="1"/>
    <col min="8199" max="8200" width="10.625" style="974" customWidth="1"/>
    <col min="8201" max="8202" width="15.625" style="974" customWidth="1"/>
    <col min="8203" max="8448" width="9" style="974"/>
    <col min="8449" max="8450" width="8.625" style="974" customWidth="1"/>
    <col min="8451" max="8451" width="11.875" style="974" customWidth="1"/>
    <col min="8452" max="8452" width="10.625" style="974" customWidth="1"/>
    <col min="8453" max="8453" width="8.625" style="974" customWidth="1"/>
    <col min="8454" max="8454" width="12.625" style="974" customWidth="1"/>
    <col min="8455" max="8456" width="10.625" style="974" customWidth="1"/>
    <col min="8457" max="8458" width="15.625" style="974" customWidth="1"/>
    <col min="8459" max="8704" width="9" style="974"/>
    <col min="8705" max="8706" width="8.625" style="974" customWidth="1"/>
    <col min="8707" max="8707" width="11.875" style="974" customWidth="1"/>
    <col min="8708" max="8708" width="10.625" style="974" customWidth="1"/>
    <col min="8709" max="8709" width="8.625" style="974" customWidth="1"/>
    <col min="8710" max="8710" width="12.625" style="974" customWidth="1"/>
    <col min="8711" max="8712" width="10.625" style="974" customWidth="1"/>
    <col min="8713" max="8714" width="15.625" style="974" customWidth="1"/>
    <col min="8715" max="8960" width="9" style="974"/>
    <col min="8961" max="8962" width="8.625" style="974" customWidth="1"/>
    <col min="8963" max="8963" width="11.875" style="974" customWidth="1"/>
    <col min="8964" max="8964" width="10.625" style="974" customWidth="1"/>
    <col min="8965" max="8965" width="8.625" style="974" customWidth="1"/>
    <col min="8966" max="8966" width="12.625" style="974" customWidth="1"/>
    <col min="8967" max="8968" width="10.625" style="974" customWidth="1"/>
    <col min="8969" max="8970" width="15.625" style="974" customWidth="1"/>
    <col min="8971" max="9216" width="9" style="974"/>
    <col min="9217" max="9218" width="8.625" style="974" customWidth="1"/>
    <col min="9219" max="9219" width="11.875" style="974" customWidth="1"/>
    <col min="9220" max="9220" width="10.625" style="974" customWidth="1"/>
    <col min="9221" max="9221" width="8.625" style="974" customWidth="1"/>
    <col min="9222" max="9222" width="12.625" style="974" customWidth="1"/>
    <col min="9223" max="9224" width="10.625" style="974" customWidth="1"/>
    <col min="9225" max="9226" width="15.625" style="974" customWidth="1"/>
    <col min="9227" max="9472" width="9" style="974"/>
    <col min="9473" max="9474" width="8.625" style="974" customWidth="1"/>
    <col min="9475" max="9475" width="11.875" style="974" customWidth="1"/>
    <col min="9476" max="9476" width="10.625" style="974" customWidth="1"/>
    <col min="9477" max="9477" width="8.625" style="974" customWidth="1"/>
    <col min="9478" max="9478" width="12.625" style="974" customWidth="1"/>
    <col min="9479" max="9480" width="10.625" style="974" customWidth="1"/>
    <col min="9481" max="9482" width="15.625" style="974" customWidth="1"/>
    <col min="9483" max="9728" width="9" style="974"/>
    <col min="9729" max="9730" width="8.625" style="974" customWidth="1"/>
    <col min="9731" max="9731" width="11.875" style="974" customWidth="1"/>
    <col min="9732" max="9732" width="10.625" style="974" customWidth="1"/>
    <col min="9733" max="9733" width="8.625" style="974" customWidth="1"/>
    <col min="9734" max="9734" width="12.625" style="974" customWidth="1"/>
    <col min="9735" max="9736" width="10.625" style="974" customWidth="1"/>
    <col min="9737" max="9738" width="15.625" style="974" customWidth="1"/>
    <col min="9739" max="9984" width="9" style="974"/>
    <col min="9985" max="9986" width="8.625" style="974" customWidth="1"/>
    <col min="9987" max="9987" width="11.875" style="974" customWidth="1"/>
    <col min="9988" max="9988" width="10.625" style="974" customWidth="1"/>
    <col min="9989" max="9989" width="8.625" style="974" customWidth="1"/>
    <col min="9990" max="9990" width="12.625" style="974" customWidth="1"/>
    <col min="9991" max="9992" width="10.625" style="974" customWidth="1"/>
    <col min="9993" max="9994" width="15.625" style="974" customWidth="1"/>
    <col min="9995" max="10240" width="9" style="974"/>
    <col min="10241" max="10242" width="8.625" style="974" customWidth="1"/>
    <col min="10243" max="10243" width="11.875" style="974" customWidth="1"/>
    <col min="10244" max="10244" width="10.625" style="974" customWidth="1"/>
    <col min="10245" max="10245" width="8.625" style="974" customWidth="1"/>
    <col min="10246" max="10246" width="12.625" style="974" customWidth="1"/>
    <col min="10247" max="10248" width="10.625" style="974" customWidth="1"/>
    <col min="10249" max="10250" width="15.625" style="974" customWidth="1"/>
    <col min="10251" max="10496" width="9" style="974"/>
    <col min="10497" max="10498" width="8.625" style="974" customWidth="1"/>
    <col min="10499" max="10499" width="11.875" style="974" customWidth="1"/>
    <col min="10500" max="10500" width="10.625" style="974" customWidth="1"/>
    <col min="10501" max="10501" width="8.625" style="974" customWidth="1"/>
    <col min="10502" max="10502" width="12.625" style="974" customWidth="1"/>
    <col min="10503" max="10504" width="10.625" style="974" customWidth="1"/>
    <col min="10505" max="10506" width="15.625" style="974" customWidth="1"/>
    <col min="10507" max="10752" width="9" style="974"/>
    <col min="10753" max="10754" width="8.625" style="974" customWidth="1"/>
    <col min="10755" max="10755" width="11.875" style="974" customWidth="1"/>
    <col min="10756" max="10756" width="10.625" style="974" customWidth="1"/>
    <col min="10757" max="10757" width="8.625" style="974" customWidth="1"/>
    <col min="10758" max="10758" width="12.625" style="974" customWidth="1"/>
    <col min="10759" max="10760" width="10.625" style="974" customWidth="1"/>
    <col min="10761" max="10762" width="15.625" style="974" customWidth="1"/>
    <col min="10763" max="11008" width="9" style="974"/>
    <col min="11009" max="11010" width="8.625" style="974" customWidth="1"/>
    <col min="11011" max="11011" width="11.875" style="974" customWidth="1"/>
    <col min="11012" max="11012" width="10.625" style="974" customWidth="1"/>
    <col min="11013" max="11013" width="8.625" style="974" customWidth="1"/>
    <col min="11014" max="11014" width="12.625" style="974" customWidth="1"/>
    <col min="11015" max="11016" width="10.625" style="974" customWidth="1"/>
    <col min="11017" max="11018" width="15.625" style="974" customWidth="1"/>
    <col min="11019" max="11264" width="9" style="974"/>
    <col min="11265" max="11266" width="8.625" style="974" customWidth="1"/>
    <col min="11267" max="11267" width="11.875" style="974" customWidth="1"/>
    <col min="11268" max="11268" width="10.625" style="974" customWidth="1"/>
    <col min="11269" max="11269" width="8.625" style="974" customWidth="1"/>
    <col min="11270" max="11270" width="12.625" style="974" customWidth="1"/>
    <col min="11271" max="11272" width="10.625" style="974" customWidth="1"/>
    <col min="11273" max="11274" width="15.625" style="974" customWidth="1"/>
    <col min="11275" max="11520" width="9" style="974"/>
    <col min="11521" max="11522" width="8.625" style="974" customWidth="1"/>
    <col min="11523" max="11523" width="11.875" style="974" customWidth="1"/>
    <col min="11524" max="11524" width="10.625" style="974" customWidth="1"/>
    <col min="11525" max="11525" width="8.625" style="974" customWidth="1"/>
    <col min="11526" max="11526" width="12.625" style="974" customWidth="1"/>
    <col min="11527" max="11528" width="10.625" style="974" customWidth="1"/>
    <col min="11529" max="11530" width="15.625" style="974" customWidth="1"/>
    <col min="11531" max="11776" width="9" style="974"/>
    <col min="11777" max="11778" width="8.625" style="974" customWidth="1"/>
    <col min="11779" max="11779" width="11.875" style="974" customWidth="1"/>
    <col min="11780" max="11780" width="10.625" style="974" customWidth="1"/>
    <col min="11781" max="11781" width="8.625" style="974" customWidth="1"/>
    <col min="11782" max="11782" width="12.625" style="974" customWidth="1"/>
    <col min="11783" max="11784" width="10.625" style="974" customWidth="1"/>
    <col min="11785" max="11786" width="15.625" style="974" customWidth="1"/>
    <col min="11787" max="12032" width="9" style="974"/>
    <col min="12033" max="12034" width="8.625" style="974" customWidth="1"/>
    <col min="12035" max="12035" width="11.875" style="974" customWidth="1"/>
    <col min="12036" max="12036" width="10.625" style="974" customWidth="1"/>
    <col min="12037" max="12037" width="8.625" style="974" customWidth="1"/>
    <col min="12038" max="12038" width="12.625" style="974" customWidth="1"/>
    <col min="12039" max="12040" width="10.625" style="974" customWidth="1"/>
    <col min="12041" max="12042" width="15.625" style="974" customWidth="1"/>
    <col min="12043" max="12288" width="9" style="974"/>
    <col min="12289" max="12290" width="8.625" style="974" customWidth="1"/>
    <col min="12291" max="12291" width="11.875" style="974" customWidth="1"/>
    <col min="12292" max="12292" width="10.625" style="974" customWidth="1"/>
    <col min="12293" max="12293" width="8.625" style="974" customWidth="1"/>
    <col min="12294" max="12294" width="12.625" style="974" customWidth="1"/>
    <col min="12295" max="12296" width="10.625" style="974" customWidth="1"/>
    <col min="12297" max="12298" width="15.625" style="974" customWidth="1"/>
    <col min="12299" max="12544" width="9" style="974"/>
    <col min="12545" max="12546" width="8.625" style="974" customWidth="1"/>
    <col min="12547" max="12547" width="11.875" style="974" customWidth="1"/>
    <col min="12548" max="12548" width="10.625" style="974" customWidth="1"/>
    <col min="12549" max="12549" width="8.625" style="974" customWidth="1"/>
    <col min="12550" max="12550" width="12.625" style="974" customWidth="1"/>
    <col min="12551" max="12552" width="10.625" style="974" customWidth="1"/>
    <col min="12553" max="12554" width="15.625" style="974" customWidth="1"/>
    <col min="12555" max="12800" width="9" style="974"/>
    <col min="12801" max="12802" width="8.625" style="974" customWidth="1"/>
    <col min="12803" max="12803" width="11.875" style="974" customWidth="1"/>
    <col min="12804" max="12804" width="10.625" style="974" customWidth="1"/>
    <col min="12805" max="12805" width="8.625" style="974" customWidth="1"/>
    <col min="12806" max="12806" width="12.625" style="974" customWidth="1"/>
    <col min="12807" max="12808" width="10.625" style="974" customWidth="1"/>
    <col min="12809" max="12810" width="15.625" style="974" customWidth="1"/>
    <col min="12811" max="13056" width="9" style="974"/>
    <col min="13057" max="13058" width="8.625" style="974" customWidth="1"/>
    <col min="13059" max="13059" width="11.875" style="974" customWidth="1"/>
    <col min="13060" max="13060" width="10.625" style="974" customWidth="1"/>
    <col min="13061" max="13061" width="8.625" style="974" customWidth="1"/>
    <col min="13062" max="13062" width="12.625" style="974" customWidth="1"/>
    <col min="13063" max="13064" width="10.625" style="974" customWidth="1"/>
    <col min="13065" max="13066" width="15.625" style="974" customWidth="1"/>
    <col min="13067" max="13312" width="9" style="974"/>
    <col min="13313" max="13314" width="8.625" style="974" customWidth="1"/>
    <col min="13315" max="13315" width="11.875" style="974" customWidth="1"/>
    <col min="13316" max="13316" width="10.625" style="974" customWidth="1"/>
    <col min="13317" max="13317" width="8.625" style="974" customWidth="1"/>
    <col min="13318" max="13318" width="12.625" style="974" customWidth="1"/>
    <col min="13319" max="13320" width="10.625" style="974" customWidth="1"/>
    <col min="13321" max="13322" width="15.625" style="974" customWidth="1"/>
    <col min="13323" max="13568" width="9" style="974"/>
    <col min="13569" max="13570" width="8.625" style="974" customWidth="1"/>
    <col min="13571" max="13571" width="11.875" style="974" customWidth="1"/>
    <col min="13572" max="13572" width="10.625" style="974" customWidth="1"/>
    <col min="13573" max="13573" width="8.625" style="974" customWidth="1"/>
    <col min="13574" max="13574" width="12.625" style="974" customWidth="1"/>
    <col min="13575" max="13576" width="10.625" style="974" customWidth="1"/>
    <col min="13577" max="13578" width="15.625" style="974" customWidth="1"/>
    <col min="13579" max="13824" width="9" style="974"/>
    <col min="13825" max="13826" width="8.625" style="974" customWidth="1"/>
    <col min="13827" max="13827" width="11.875" style="974" customWidth="1"/>
    <col min="13828" max="13828" width="10.625" style="974" customWidth="1"/>
    <col min="13829" max="13829" width="8.625" style="974" customWidth="1"/>
    <col min="13830" max="13830" width="12.625" style="974" customWidth="1"/>
    <col min="13831" max="13832" width="10.625" style="974" customWidth="1"/>
    <col min="13833" max="13834" width="15.625" style="974" customWidth="1"/>
    <col min="13835" max="14080" width="9" style="974"/>
    <col min="14081" max="14082" width="8.625" style="974" customWidth="1"/>
    <col min="14083" max="14083" width="11.875" style="974" customWidth="1"/>
    <col min="14084" max="14084" width="10.625" style="974" customWidth="1"/>
    <col min="14085" max="14085" width="8.625" style="974" customWidth="1"/>
    <col min="14086" max="14086" width="12.625" style="974" customWidth="1"/>
    <col min="14087" max="14088" width="10.625" style="974" customWidth="1"/>
    <col min="14089" max="14090" width="15.625" style="974" customWidth="1"/>
    <col min="14091" max="14336" width="9" style="974"/>
    <col min="14337" max="14338" width="8.625" style="974" customWidth="1"/>
    <col min="14339" max="14339" width="11.875" style="974" customWidth="1"/>
    <col min="14340" max="14340" width="10.625" style="974" customWidth="1"/>
    <col min="14341" max="14341" width="8.625" style="974" customWidth="1"/>
    <col min="14342" max="14342" width="12.625" style="974" customWidth="1"/>
    <col min="14343" max="14344" width="10.625" style="974" customWidth="1"/>
    <col min="14345" max="14346" width="15.625" style="974" customWidth="1"/>
    <col min="14347" max="14592" width="9" style="974"/>
    <col min="14593" max="14594" width="8.625" style="974" customWidth="1"/>
    <col min="14595" max="14595" width="11.875" style="974" customWidth="1"/>
    <col min="14596" max="14596" width="10.625" style="974" customWidth="1"/>
    <col min="14597" max="14597" width="8.625" style="974" customWidth="1"/>
    <col min="14598" max="14598" width="12.625" style="974" customWidth="1"/>
    <col min="14599" max="14600" width="10.625" style="974" customWidth="1"/>
    <col min="14601" max="14602" width="15.625" style="974" customWidth="1"/>
    <col min="14603" max="14848" width="9" style="974"/>
    <col min="14849" max="14850" width="8.625" style="974" customWidth="1"/>
    <col min="14851" max="14851" width="11.875" style="974" customWidth="1"/>
    <col min="14852" max="14852" width="10.625" style="974" customWidth="1"/>
    <col min="14853" max="14853" width="8.625" style="974" customWidth="1"/>
    <col min="14854" max="14854" width="12.625" style="974" customWidth="1"/>
    <col min="14855" max="14856" width="10.625" style="974" customWidth="1"/>
    <col min="14857" max="14858" width="15.625" style="974" customWidth="1"/>
    <col min="14859" max="15104" width="9" style="974"/>
    <col min="15105" max="15106" width="8.625" style="974" customWidth="1"/>
    <col min="15107" max="15107" width="11.875" style="974" customWidth="1"/>
    <col min="15108" max="15108" width="10.625" style="974" customWidth="1"/>
    <col min="15109" max="15109" width="8.625" style="974" customWidth="1"/>
    <col min="15110" max="15110" width="12.625" style="974" customWidth="1"/>
    <col min="15111" max="15112" width="10.625" style="974" customWidth="1"/>
    <col min="15113" max="15114" width="15.625" style="974" customWidth="1"/>
    <col min="15115" max="15360" width="9" style="974"/>
    <col min="15361" max="15362" width="8.625" style="974" customWidth="1"/>
    <col min="15363" max="15363" width="11.875" style="974" customWidth="1"/>
    <col min="15364" max="15364" width="10.625" style="974" customWidth="1"/>
    <col min="15365" max="15365" width="8.625" style="974" customWidth="1"/>
    <col min="15366" max="15366" width="12.625" style="974" customWidth="1"/>
    <col min="15367" max="15368" width="10.625" style="974" customWidth="1"/>
    <col min="15369" max="15370" width="15.625" style="974" customWidth="1"/>
    <col min="15371" max="15616" width="9" style="974"/>
    <col min="15617" max="15618" width="8.625" style="974" customWidth="1"/>
    <col min="15619" max="15619" width="11.875" style="974" customWidth="1"/>
    <col min="15620" max="15620" width="10.625" style="974" customWidth="1"/>
    <col min="15621" max="15621" width="8.625" style="974" customWidth="1"/>
    <col min="15622" max="15622" width="12.625" style="974" customWidth="1"/>
    <col min="15623" max="15624" width="10.625" style="974" customWidth="1"/>
    <col min="15625" max="15626" width="15.625" style="974" customWidth="1"/>
    <col min="15627" max="15872" width="9" style="974"/>
    <col min="15873" max="15874" width="8.625" style="974" customWidth="1"/>
    <col min="15875" max="15875" width="11.875" style="974" customWidth="1"/>
    <col min="15876" max="15876" width="10.625" style="974" customWidth="1"/>
    <col min="15877" max="15877" width="8.625" style="974" customWidth="1"/>
    <col min="15878" max="15878" width="12.625" style="974" customWidth="1"/>
    <col min="15879" max="15880" width="10.625" style="974" customWidth="1"/>
    <col min="15881" max="15882" width="15.625" style="974" customWidth="1"/>
    <col min="15883" max="16128" width="9" style="974"/>
    <col min="16129" max="16130" width="8.625" style="974" customWidth="1"/>
    <col min="16131" max="16131" width="11.875" style="974" customWidth="1"/>
    <col min="16132" max="16132" width="10.625" style="974" customWidth="1"/>
    <col min="16133" max="16133" width="8.625" style="974" customWidth="1"/>
    <col min="16134" max="16134" width="12.625" style="974" customWidth="1"/>
    <col min="16135" max="16136" width="10.625" style="974" customWidth="1"/>
    <col min="16137" max="16138" width="15.625" style="974" customWidth="1"/>
    <col min="16139" max="16384" width="9" style="974"/>
  </cols>
  <sheetData>
    <row r="1" spans="1:10" s="973" customFormat="1" ht="14.25" customHeight="1">
      <c r="A1" s="1286" t="s">
        <v>3192</v>
      </c>
      <c r="B1" s="1286"/>
      <c r="C1" s="1286"/>
      <c r="D1" s="1286"/>
      <c r="E1" s="1286"/>
      <c r="F1" s="1286"/>
      <c r="G1" s="1286"/>
      <c r="H1" s="1286"/>
      <c r="I1" s="971"/>
      <c r="J1" s="972"/>
    </row>
    <row r="2" spans="1:10" s="973" customFormat="1" ht="14.25" customHeight="1">
      <c r="A2" s="1286"/>
      <c r="B2" s="1286"/>
      <c r="C2" s="1286"/>
      <c r="D2" s="1286"/>
      <c r="E2" s="1286"/>
      <c r="F2" s="1286"/>
      <c r="G2" s="1286"/>
      <c r="H2" s="1286"/>
      <c r="I2" s="971"/>
      <c r="J2" s="972"/>
    </row>
    <row r="3" spans="1:10" s="973" customFormat="1" ht="14.25" customHeight="1">
      <c r="A3" s="1286"/>
      <c r="B3" s="1286"/>
      <c r="C3" s="1286"/>
      <c r="D3" s="1286"/>
      <c r="E3" s="1286"/>
      <c r="F3" s="1286"/>
      <c r="G3" s="1286"/>
      <c r="H3" s="1286"/>
      <c r="I3" s="971"/>
      <c r="J3" s="972"/>
    </row>
    <row r="4" spans="1:10" s="973" customFormat="1" ht="61.5" customHeight="1">
      <c r="A4" s="974"/>
      <c r="B4" s="974"/>
      <c r="C4" s="974"/>
      <c r="D4" s="974"/>
      <c r="E4" s="974"/>
      <c r="F4" s="974"/>
      <c r="G4" s="974"/>
      <c r="H4" s="974"/>
      <c r="I4" s="971"/>
      <c r="J4" s="972"/>
    </row>
    <row r="5" spans="1:10" ht="50.25" customHeight="1">
      <c r="A5" s="1286"/>
      <c r="B5" s="1286"/>
      <c r="C5" s="1286"/>
      <c r="D5" s="1286"/>
      <c r="E5" s="1286"/>
      <c r="F5" s="1286"/>
      <c r="G5" s="1286"/>
      <c r="H5" s="1286"/>
    </row>
    <row r="9" spans="1:10" ht="30">
      <c r="B9" s="975"/>
      <c r="C9" s="1287" t="s">
        <v>3193</v>
      </c>
      <c r="D9" s="1287"/>
      <c r="E9" s="977" t="s">
        <v>3194</v>
      </c>
      <c r="F9" s="978"/>
      <c r="G9" s="978"/>
      <c r="H9" s="975"/>
    </row>
    <row r="10" spans="1:10" ht="25.5">
      <c r="A10" s="1288"/>
      <c r="B10" s="1288"/>
      <c r="C10" s="1288"/>
      <c r="D10" s="1288"/>
      <c r="E10" s="1288"/>
      <c r="F10" s="1288"/>
      <c r="G10" s="1288"/>
      <c r="H10" s="1288"/>
    </row>
    <row r="11" spans="1:10" s="971" customFormat="1" ht="69" customHeight="1">
      <c r="A11" s="974"/>
      <c r="B11" s="974"/>
      <c r="C11" s="974"/>
      <c r="D11" s="974"/>
      <c r="E11" s="974"/>
      <c r="F11" s="974"/>
      <c r="G11" s="974"/>
      <c r="H11" s="974"/>
      <c r="J11" s="972"/>
    </row>
    <row r="12" spans="1:10" s="971" customFormat="1" ht="30">
      <c r="A12" s="975"/>
      <c r="B12" s="975"/>
      <c r="D12" s="976" t="s">
        <v>3195</v>
      </c>
      <c r="E12" s="980" t="s">
        <v>3196</v>
      </c>
      <c r="F12" s="980"/>
      <c r="G12" s="975"/>
      <c r="H12" s="975"/>
      <c r="J12" s="972"/>
    </row>
    <row r="15" spans="1:10" s="971" customFormat="1" ht="68.25" customHeight="1">
      <c r="A15" s="1285" t="s">
        <v>3197</v>
      </c>
      <c r="B15" s="1285"/>
      <c r="C15" s="1285"/>
      <c r="D15" s="1285"/>
      <c r="E15" s="1285"/>
      <c r="F15" s="1285"/>
      <c r="G15" s="1285"/>
      <c r="H15" s="1285"/>
      <c r="J15" s="972"/>
    </row>
    <row r="16" spans="1:10" s="971" customFormat="1" ht="105.75" customHeight="1">
      <c r="A16" s="1285" t="s">
        <v>3198</v>
      </c>
      <c r="B16" s="1285"/>
      <c r="C16" s="1285"/>
      <c r="D16" s="1285"/>
      <c r="E16" s="1285"/>
      <c r="F16" s="1285"/>
      <c r="G16" s="1285"/>
      <c r="H16" s="1285"/>
      <c r="J16" s="972"/>
    </row>
    <row r="21" spans="1:10" s="971" customFormat="1">
      <c r="A21" s="1286"/>
      <c r="B21" s="1286"/>
      <c r="C21" s="1286"/>
      <c r="D21" s="1286"/>
      <c r="E21" s="1286"/>
      <c r="F21" s="1286"/>
      <c r="G21" s="1286"/>
      <c r="H21" s="1286"/>
      <c r="J21" s="972"/>
    </row>
    <row r="22" spans="1:10" s="971" customFormat="1">
      <c r="A22" s="1286"/>
      <c r="B22" s="1286"/>
      <c r="C22" s="1286"/>
      <c r="D22" s="1286"/>
      <c r="E22" s="1286"/>
      <c r="F22" s="1286"/>
      <c r="G22" s="1286"/>
      <c r="H22" s="1286"/>
      <c r="J22" s="972"/>
    </row>
    <row r="23" spans="1:10" s="971" customFormat="1">
      <c r="A23" s="1286"/>
      <c r="B23" s="1286"/>
      <c r="C23" s="1286"/>
      <c r="D23" s="1286"/>
      <c r="E23" s="1286"/>
      <c r="F23" s="1286"/>
      <c r="G23" s="1286"/>
      <c r="H23" s="1286"/>
      <c r="J23" s="972"/>
    </row>
    <row r="25" spans="1:10" s="971" customFormat="1" ht="70.5" customHeight="1">
      <c r="A25" s="1286"/>
      <c r="B25" s="1286"/>
      <c r="C25" s="1286"/>
      <c r="D25" s="1286"/>
      <c r="E25" s="1286"/>
      <c r="F25" s="1286"/>
      <c r="G25" s="1286"/>
      <c r="H25" s="1286"/>
      <c r="J25" s="972"/>
    </row>
    <row r="29" spans="1:10" s="971" customFormat="1">
      <c r="A29" s="1286"/>
      <c r="B29" s="1286"/>
      <c r="C29" s="1286"/>
      <c r="D29" s="1286"/>
      <c r="E29" s="1286"/>
      <c r="F29" s="1286"/>
      <c r="G29" s="1286"/>
      <c r="H29" s="1286"/>
      <c r="J29" s="972"/>
    </row>
    <row r="30" spans="1:10" s="971" customFormat="1">
      <c r="A30" s="1286"/>
      <c r="B30" s="1286"/>
      <c r="C30" s="1286"/>
      <c r="D30" s="1286"/>
      <c r="E30" s="1286"/>
      <c r="F30" s="1286"/>
      <c r="G30" s="1286"/>
      <c r="H30" s="1286"/>
      <c r="J30" s="972"/>
    </row>
    <row r="31" spans="1:10" s="971" customFormat="1">
      <c r="A31" s="1286"/>
      <c r="B31" s="1286"/>
      <c r="C31" s="1286"/>
      <c r="D31" s="1286"/>
      <c r="E31" s="1286"/>
      <c r="F31" s="1286"/>
      <c r="G31" s="1286"/>
      <c r="H31" s="1286"/>
      <c r="J31" s="972"/>
    </row>
    <row r="32" spans="1:10" s="971" customFormat="1">
      <c r="A32" s="1286"/>
      <c r="B32" s="1286"/>
      <c r="C32" s="1286"/>
      <c r="D32" s="1286"/>
      <c r="E32" s="1286"/>
      <c r="F32" s="1286"/>
      <c r="G32" s="1286"/>
      <c r="H32" s="1286"/>
      <c r="J32" s="972"/>
    </row>
    <row r="33" spans="1:10" s="971" customFormat="1">
      <c r="A33" s="1286" t="s">
        <v>3192</v>
      </c>
      <c r="B33" s="1286"/>
      <c r="C33" s="1286"/>
      <c r="D33" s="1286"/>
      <c r="E33" s="1286"/>
      <c r="F33" s="1286"/>
      <c r="G33" s="1286"/>
      <c r="H33" s="1286"/>
      <c r="J33" s="972"/>
    </row>
    <row r="34" spans="1:10" s="971" customFormat="1">
      <c r="A34" s="1286"/>
      <c r="B34" s="1286"/>
      <c r="C34" s="1286"/>
      <c r="D34" s="1286"/>
      <c r="E34" s="1286"/>
      <c r="F34" s="1286"/>
      <c r="G34" s="1286"/>
      <c r="H34" s="1286"/>
      <c r="J34" s="972"/>
    </row>
    <row r="35" spans="1:10" s="971" customFormat="1">
      <c r="A35" s="1286"/>
      <c r="B35" s="1286"/>
      <c r="C35" s="1286"/>
      <c r="D35" s="1286"/>
      <c r="E35" s="1286"/>
      <c r="F35" s="1286"/>
      <c r="G35" s="1286"/>
      <c r="H35" s="1286"/>
      <c r="J35" s="972"/>
    </row>
    <row r="44" spans="1:10" s="971" customFormat="1" ht="30">
      <c r="A44" s="974"/>
      <c r="B44" s="975"/>
      <c r="C44" s="976"/>
      <c r="D44" s="976" t="s">
        <v>3193</v>
      </c>
      <c r="E44" s="981" t="s">
        <v>3199</v>
      </c>
      <c r="F44" s="978"/>
      <c r="G44" s="978"/>
      <c r="H44" s="975"/>
      <c r="J44" s="972"/>
    </row>
    <row r="45" spans="1:10" s="971" customFormat="1" ht="25.5">
      <c r="A45" s="979"/>
      <c r="B45" s="979"/>
      <c r="C45" s="979"/>
      <c r="D45" s="979"/>
      <c r="E45" s="979"/>
      <c r="F45" s="979"/>
      <c r="G45" s="979"/>
      <c r="H45" s="979"/>
      <c r="J45" s="972"/>
    </row>
    <row r="46" spans="1:10" s="971" customFormat="1" ht="72.75" customHeight="1">
      <c r="A46" s="974"/>
      <c r="B46" s="974"/>
      <c r="C46" s="974"/>
      <c r="D46" s="974"/>
      <c r="E46" s="974"/>
      <c r="F46" s="974"/>
      <c r="G46" s="974"/>
      <c r="H46" s="974"/>
      <c r="J46" s="972"/>
    </row>
    <row r="47" spans="1:10" s="971" customFormat="1" ht="30">
      <c r="A47" s="975"/>
      <c r="B47" s="975"/>
      <c r="D47" s="976" t="s">
        <v>3195</v>
      </c>
      <c r="E47" s="980">
        <v>2440</v>
      </c>
      <c r="F47" s="980"/>
      <c r="G47" s="975"/>
      <c r="H47" s="975"/>
      <c r="J47" s="972"/>
    </row>
    <row r="48" spans="1:10" s="971" customFormat="1" ht="48.75" customHeight="1">
      <c r="A48" s="974"/>
      <c r="B48" s="974"/>
      <c r="C48" s="974"/>
      <c r="D48" s="974"/>
      <c r="E48" s="974"/>
      <c r="F48" s="974"/>
      <c r="G48" s="974"/>
      <c r="H48" s="974"/>
      <c r="J48" s="972"/>
    </row>
    <row r="49" spans="1:10" s="971" customFormat="1" ht="48.75" customHeight="1">
      <c r="A49" s="974"/>
      <c r="B49" s="974"/>
      <c r="C49" s="974"/>
      <c r="D49" s="974"/>
      <c r="E49" s="974"/>
      <c r="F49" s="974"/>
      <c r="G49" s="974"/>
      <c r="H49" s="974"/>
      <c r="J49" s="972"/>
    </row>
    <row r="50" spans="1:10" s="971" customFormat="1" ht="60" customHeight="1">
      <c r="A50" s="1285" t="s">
        <v>3200</v>
      </c>
      <c r="B50" s="1285"/>
      <c r="C50" s="1285"/>
      <c r="D50" s="1285"/>
      <c r="E50" s="1285"/>
      <c r="F50" s="1285"/>
      <c r="G50" s="1285"/>
      <c r="H50" s="1285"/>
      <c r="J50" s="972"/>
    </row>
    <row r="51" spans="1:10" s="971" customFormat="1" ht="125.25" customHeight="1">
      <c r="A51" s="1285" t="s">
        <v>3201</v>
      </c>
      <c r="B51" s="1285"/>
      <c r="C51" s="1285"/>
      <c r="D51" s="1285"/>
      <c r="E51" s="1285"/>
      <c r="F51" s="1285"/>
      <c r="G51" s="1285"/>
      <c r="H51" s="1285"/>
      <c r="J51" s="972"/>
    </row>
  </sheetData>
  <mergeCells count="12">
    <mergeCell ref="A51:H51"/>
    <mergeCell ref="A1:H3"/>
    <mergeCell ref="A5:H5"/>
    <mergeCell ref="C9:D9"/>
    <mergeCell ref="A10:H10"/>
    <mergeCell ref="A15:H15"/>
    <mergeCell ref="A16:H16"/>
    <mergeCell ref="A21:H23"/>
    <mergeCell ref="A25:H25"/>
    <mergeCell ref="A29:H32"/>
    <mergeCell ref="A33:H35"/>
    <mergeCell ref="A50:H50"/>
  </mergeCells>
  <phoneticPr fontId="3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14CE-EFFC-4290-A0B6-D877F7B6F3AF}">
  <sheetPr codeName="Sheet7"/>
  <dimension ref="A13:EV3146"/>
  <sheetViews>
    <sheetView topLeftCell="A3121" zoomScaleNormal="100" workbookViewId="0">
      <selection activeCell="C3159" sqref="C3159"/>
    </sheetView>
  </sheetViews>
  <sheetFormatPr defaultRowHeight="13.5"/>
  <cols>
    <col min="1" max="1" width="24.375" customWidth="1"/>
    <col min="2" max="2" width="28.25" customWidth="1"/>
    <col min="3" max="3" width="71.5" bestFit="1" customWidth="1"/>
    <col min="4" max="4" width="35.125" customWidth="1"/>
    <col min="5" max="5" width="39.125" customWidth="1"/>
    <col min="6" max="6" width="43.5" customWidth="1"/>
    <col min="7" max="7" width="32.625" customWidth="1"/>
    <col min="8" max="8" width="24.5" customWidth="1"/>
    <col min="9" max="9" width="20.75" customWidth="1"/>
    <col min="10" max="11" width="12.625" bestFit="1" customWidth="1"/>
    <col min="12" max="12" width="10.125" bestFit="1" customWidth="1"/>
    <col min="13" max="14" width="12" bestFit="1" customWidth="1"/>
    <col min="15" max="15" width="9.25" bestFit="1" customWidth="1"/>
    <col min="16" max="16" width="9.125" bestFit="1" customWidth="1"/>
    <col min="257" max="257" width="30.75" customWidth="1"/>
    <col min="258" max="258" width="49.25" customWidth="1"/>
    <col min="259" max="259" width="46.125" customWidth="1"/>
    <col min="260" max="260" width="38.5" customWidth="1"/>
    <col min="261" max="261" width="26" customWidth="1"/>
    <col min="262" max="262" width="39.375" customWidth="1"/>
    <col min="263" max="263" width="32.625" customWidth="1"/>
    <col min="264" max="264" width="24.5" customWidth="1"/>
    <col min="265" max="265" width="20.75" customWidth="1"/>
    <col min="266" max="267" width="12.625" bestFit="1" customWidth="1"/>
    <col min="513" max="513" width="30.75" customWidth="1"/>
    <col min="514" max="514" width="49.25" customWidth="1"/>
    <col min="515" max="515" width="46.125" customWidth="1"/>
    <col min="516" max="516" width="38.5" customWidth="1"/>
    <col min="517" max="517" width="26" customWidth="1"/>
    <col min="518" max="518" width="39.375" customWidth="1"/>
    <col min="519" max="519" width="32.625" customWidth="1"/>
    <col min="520" max="520" width="24.5" customWidth="1"/>
    <col min="521" max="521" width="20.75" customWidth="1"/>
    <col min="522" max="523" width="12.625" bestFit="1" customWidth="1"/>
    <col min="769" max="769" width="30.75" customWidth="1"/>
    <col min="770" max="770" width="49.25" customWidth="1"/>
    <col min="771" max="771" width="46.125" customWidth="1"/>
    <col min="772" max="772" width="38.5" customWidth="1"/>
    <col min="773" max="773" width="26" customWidth="1"/>
    <col min="774" max="774" width="39.375" customWidth="1"/>
    <col min="775" max="775" width="32.625" customWidth="1"/>
    <col min="776" max="776" width="24.5" customWidth="1"/>
    <col min="777" max="777" width="20.75" customWidth="1"/>
    <col min="778" max="779" width="12.625" bestFit="1" customWidth="1"/>
    <col min="1025" max="1025" width="30.75" customWidth="1"/>
    <col min="1026" max="1026" width="49.25" customWidth="1"/>
    <col min="1027" max="1027" width="46.125" customWidth="1"/>
    <col min="1028" max="1028" width="38.5" customWidth="1"/>
    <col min="1029" max="1029" width="26" customWidth="1"/>
    <col min="1030" max="1030" width="39.375" customWidth="1"/>
    <col min="1031" max="1031" width="32.625" customWidth="1"/>
    <col min="1032" max="1032" width="24.5" customWidth="1"/>
    <col min="1033" max="1033" width="20.75" customWidth="1"/>
    <col min="1034" max="1035" width="12.625" bestFit="1" customWidth="1"/>
    <col min="1281" max="1281" width="30.75" customWidth="1"/>
    <col min="1282" max="1282" width="49.25" customWidth="1"/>
    <col min="1283" max="1283" width="46.125" customWidth="1"/>
    <col min="1284" max="1284" width="38.5" customWidth="1"/>
    <col min="1285" max="1285" width="26" customWidth="1"/>
    <col min="1286" max="1286" width="39.375" customWidth="1"/>
    <col min="1287" max="1287" width="32.625" customWidth="1"/>
    <col min="1288" max="1288" width="24.5" customWidth="1"/>
    <col min="1289" max="1289" width="20.75" customWidth="1"/>
    <col min="1290" max="1291" width="12.625" bestFit="1" customWidth="1"/>
    <col min="1537" max="1537" width="30.75" customWidth="1"/>
    <col min="1538" max="1538" width="49.25" customWidth="1"/>
    <col min="1539" max="1539" width="46.125" customWidth="1"/>
    <col min="1540" max="1540" width="38.5" customWidth="1"/>
    <col min="1541" max="1541" width="26" customWidth="1"/>
    <col min="1542" max="1542" width="39.375" customWidth="1"/>
    <col min="1543" max="1543" width="32.625" customWidth="1"/>
    <col min="1544" max="1544" width="24.5" customWidth="1"/>
    <col min="1545" max="1545" width="20.75" customWidth="1"/>
    <col min="1546" max="1547" width="12.625" bestFit="1" customWidth="1"/>
    <col min="1793" max="1793" width="30.75" customWidth="1"/>
    <col min="1794" max="1794" width="49.25" customWidth="1"/>
    <col min="1795" max="1795" width="46.125" customWidth="1"/>
    <col min="1796" max="1796" width="38.5" customWidth="1"/>
    <col min="1797" max="1797" width="26" customWidth="1"/>
    <col min="1798" max="1798" width="39.375" customWidth="1"/>
    <col min="1799" max="1799" width="32.625" customWidth="1"/>
    <col min="1800" max="1800" width="24.5" customWidth="1"/>
    <col min="1801" max="1801" width="20.75" customWidth="1"/>
    <col min="1802" max="1803" width="12.625" bestFit="1" customWidth="1"/>
    <col min="2049" max="2049" width="30.75" customWidth="1"/>
    <col min="2050" max="2050" width="49.25" customWidth="1"/>
    <col min="2051" max="2051" width="46.125" customWidth="1"/>
    <col min="2052" max="2052" width="38.5" customWidth="1"/>
    <col min="2053" max="2053" width="26" customWidth="1"/>
    <col min="2054" max="2054" width="39.375" customWidth="1"/>
    <col min="2055" max="2055" width="32.625" customWidth="1"/>
    <col min="2056" max="2056" width="24.5" customWidth="1"/>
    <col min="2057" max="2057" width="20.75" customWidth="1"/>
    <col min="2058" max="2059" width="12.625" bestFit="1" customWidth="1"/>
    <col min="2305" max="2305" width="30.75" customWidth="1"/>
    <col min="2306" max="2306" width="49.25" customWidth="1"/>
    <col min="2307" max="2307" width="46.125" customWidth="1"/>
    <col min="2308" max="2308" width="38.5" customWidth="1"/>
    <col min="2309" max="2309" width="26" customWidth="1"/>
    <col min="2310" max="2310" width="39.375" customWidth="1"/>
    <col min="2311" max="2311" width="32.625" customWidth="1"/>
    <col min="2312" max="2312" width="24.5" customWidth="1"/>
    <col min="2313" max="2313" width="20.75" customWidth="1"/>
    <col min="2314" max="2315" width="12.625" bestFit="1" customWidth="1"/>
    <col min="2561" max="2561" width="30.75" customWidth="1"/>
    <col min="2562" max="2562" width="49.25" customWidth="1"/>
    <col min="2563" max="2563" width="46.125" customWidth="1"/>
    <col min="2564" max="2564" width="38.5" customWidth="1"/>
    <col min="2565" max="2565" width="26" customWidth="1"/>
    <col min="2566" max="2566" width="39.375" customWidth="1"/>
    <col min="2567" max="2567" width="32.625" customWidth="1"/>
    <col min="2568" max="2568" width="24.5" customWidth="1"/>
    <col min="2569" max="2569" width="20.75" customWidth="1"/>
    <col min="2570" max="2571" width="12.625" bestFit="1" customWidth="1"/>
    <col min="2817" max="2817" width="30.75" customWidth="1"/>
    <col min="2818" max="2818" width="49.25" customWidth="1"/>
    <col min="2819" max="2819" width="46.125" customWidth="1"/>
    <col min="2820" max="2820" width="38.5" customWidth="1"/>
    <col min="2821" max="2821" width="26" customWidth="1"/>
    <col min="2822" max="2822" width="39.375" customWidth="1"/>
    <col min="2823" max="2823" width="32.625" customWidth="1"/>
    <col min="2824" max="2824" width="24.5" customWidth="1"/>
    <col min="2825" max="2825" width="20.75" customWidth="1"/>
    <col min="2826" max="2827" width="12.625" bestFit="1" customWidth="1"/>
    <col min="3073" max="3073" width="30.75" customWidth="1"/>
    <col min="3074" max="3074" width="49.25" customWidth="1"/>
    <col min="3075" max="3075" width="46.125" customWidth="1"/>
    <col min="3076" max="3076" width="38.5" customWidth="1"/>
    <col min="3077" max="3077" width="26" customWidth="1"/>
    <col min="3078" max="3078" width="39.375" customWidth="1"/>
    <col min="3079" max="3079" width="32.625" customWidth="1"/>
    <col min="3080" max="3080" width="24.5" customWidth="1"/>
    <col min="3081" max="3081" width="20.75" customWidth="1"/>
    <col min="3082" max="3083" width="12.625" bestFit="1" customWidth="1"/>
    <col min="3329" max="3329" width="30.75" customWidth="1"/>
    <col min="3330" max="3330" width="49.25" customWidth="1"/>
    <col min="3331" max="3331" width="46.125" customWidth="1"/>
    <col min="3332" max="3332" width="38.5" customWidth="1"/>
    <col min="3333" max="3333" width="26" customWidth="1"/>
    <col min="3334" max="3334" width="39.375" customWidth="1"/>
    <col min="3335" max="3335" width="32.625" customWidth="1"/>
    <col min="3336" max="3336" width="24.5" customWidth="1"/>
    <col min="3337" max="3337" width="20.75" customWidth="1"/>
    <col min="3338" max="3339" width="12.625" bestFit="1" customWidth="1"/>
    <col min="3585" max="3585" width="30.75" customWidth="1"/>
    <col min="3586" max="3586" width="49.25" customWidth="1"/>
    <col min="3587" max="3587" width="46.125" customWidth="1"/>
    <col min="3588" max="3588" width="38.5" customWidth="1"/>
    <col min="3589" max="3589" width="26" customWidth="1"/>
    <col min="3590" max="3590" width="39.375" customWidth="1"/>
    <col min="3591" max="3591" width="32.625" customWidth="1"/>
    <col min="3592" max="3592" width="24.5" customWidth="1"/>
    <col min="3593" max="3593" width="20.75" customWidth="1"/>
    <col min="3594" max="3595" width="12.625" bestFit="1" customWidth="1"/>
    <col min="3841" max="3841" width="30.75" customWidth="1"/>
    <col min="3842" max="3842" width="49.25" customWidth="1"/>
    <col min="3843" max="3843" width="46.125" customWidth="1"/>
    <col min="3844" max="3844" width="38.5" customWidth="1"/>
    <col min="3845" max="3845" width="26" customWidth="1"/>
    <col min="3846" max="3846" width="39.375" customWidth="1"/>
    <col min="3847" max="3847" width="32.625" customWidth="1"/>
    <col min="3848" max="3848" width="24.5" customWidth="1"/>
    <col min="3849" max="3849" width="20.75" customWidth="1"/>
    <col min="3850" max="3851" width="12.625" bestFit="1" customWidth="1"/>
    <col min="4097" max="4097" width="30.75" customWidth="1"/>
    <col min="4098" max="4098" width="49.25" customWidth="1"/>
    <col min="4099" max="4099" width="46.125" customWidth="1"/>
    <col min="4100" max="4100" width="38.5" customWidth="1"/>
    <col min="4101" max="4101" width="26" customWidth="1"/>
    <col min="4102" max="4102" width="39.375" customWidth="1"/>
    <col min="4103" max="4103" width="32.625" customWidth="1"/>
    <col min="4104" max="4104" width="24.5" customWidth="1"/>
    <col min="4105" max="4105" width="20.75" customWidth="1"/>
    <col min="4106" max="4107" width="12.625" bestFit="1" customWidth="1"/>
    <col min="4353" max="4353" width="30.75" customWidth="1"/>
    <col min="4354" max="4354" width="49.25" customWidth="1"/>
    <col min="4355" max="4355" width="46.125" customWidth="1"/>
    <col min="4356" max="4356" width="38.5" customWidth="1"/>
    <col min="4357" max="4357" width="26" customWidth="1"/>
    <col min="4358" max="4358" width="39.375" customWidth="1"/>
    <col min="4359" max="4359" width="32.625" customWidth="1"/>
    <col min="4360" max="4360" width="24.5" customWidth="1"/>
    <col min="4361" max="4361" width="20.75" customWidth="1"/>
    <col min="4362" max="4363" width="12.625" bestFit="1" customWidth="1"/>
    <col min="4609" max="4609" width="30.75" customWidth="1"/>
    <col min="4610" max="4610" width="49.25" customWidth="1"/>
    <col min="4611" max="4611" width="46.125" customWidth="1"/>
    <col min="4612" max="4612" width="38.5" customWidth="1"/>
    <col min="4613" max="4613" width="26" customWidth="1"/>
    <col min="4614" max="4614" width="39.375" customWidth="1"/>
    <col min="4615" max="4615" width="32.625" customWidth="1"/>
    <col min="4616" max="4616" width="24.5" customWidth="1"/>
    <col min="4617" max="4617" width="20.75" customWidth="1"/>
    <col min="4618" max="4619" width="12.625" bestFit="1" customWidth="1"/>
    <col min="4865" max="4865" width="30.75" customWidth="1"/>
    <col min="4866" max="4866" width="49.25" customWidth="1"/>
    <col min="4867" max="4867" width="46.125" customWidth="1"/>
    <col min="4868" max="4868" width="38.5" customWidth="1"/>
    <col min="4869" max="4869" width="26" customWidth="1"/>
    <col min="4870" max="4870" width="39.375" customWidth="1"/>
    <col min="4871" max="4871" width="32.625" customWidth="1"/>
    <col min="4872" max="4872" width="24.5" customWidth="1"/>
    <col min="4873" max="4873" width="20.75" customWidth="1"/>
    <col min="4874" max="4875" width="12.625" bestFit="1" customWidth="1"/>
    <col min="5121" max="5121" width="30.75" customWidth="1"/>
    <col min="5122" max="5122" width="49.25" customWidth="1"/>
    <col min="5123" max="5123" width="46.125" customWidth="1"/>
    <col min="5124" max="5124" width="38.5" customWidth="1"/>
    <col min="5125" max="5125" width="26" customWidth="1"/>
    <col min="5126" max="5126" width="39.375" customWidth="1"/>
    <col min="5127" max="5127" width="32.625" customWidth="1"/>
    <col min="5128" max="5128" width="24.5" customWidth="1"/>
    <col min="5129" max="5129" width="20.75" customWidth="1"/>
    <col min="5130" max="5131" width="12.625" bestFit="1" customWidth="1"/>
    <col min="5377" max="5377" width="30.75" customWidth="1"/>
    <col min="5378" max="5378" width="49.25" customWidth="1"/>
    <col min="5379" max="5379" width="46.125" customWidth="1"/>
    <col min="5380" max="5380" width="38.5" customWidth="1"/>
    <col min="5381" max="5381" width="26" customWidth="1"/>
    <col min="5382" max="5382" width="39.375" customWidth="1"/>
    <col min="5383" max="5383" width="32.625" customWidth="1"/>
    <col min="5384" max="5384" width="24.5" customWidth="1"/>
    <col min="5385" max="5385" width="20.75" customWidth="1"/>
    <col min="5386" max="5387" width="12.625" bestFit="1" customWidth="1"/>
    <col min="5633" max="5633" width="30.75" customWidth="1"/>
    <col min="5634" max="5634" width="49.25" customWidth="1"/>
    <col min="5635" max="5635" width="46.125" customWidth="1"/>
    <col min="5636" max="5636" width="38.5" customWidth="1"/>
    <col min="5637" max="5637" width="26" customWidth="1"/>
    <col min="5638" max="5638" width="39.375" customWidth="1"/>
    <col min="5639" max="5639" width="32.625" customWidth="1"/>
    <col min="5640" max="5640" width="24.5" customWidth="1"/>
    <col min="5641" max="5641" width="20.75" customWidth="1"/>
    <col min="5642" max="5643" width="12.625" bestFit="1" customWidth="1"/>
    <col min="5889" max="5889" width="30.75" customWidth="1"/>
    <col min="5890" max="5890" width="49.25" customWidth="1"/>
    <col min="5891" max="5891" width="46.125" customWidth="1"/>
    <col min="5892" max="5892" width="38.5" customWidth="1"/>
    <col min="5893" max="5893" width="26" customWidth="1"/>
    <col min="5894" max="5894" width="39.375" customWidth="1"/>
    <col min="5895" max="5895" width="32.625" customWidth="1"/>
    <col min="5896" max="5896" width="24.5" customWidth="1"/>
    <col min="5897" max="5897" width="20.75" customWidth="1"/>
    <col min="5898" max="5899" width="12.625" bestFit="1" customWidth="1"/>
    <col min="6145" max="6145" width="30.75" customWidth="1"/>
    <col min="6146" max="6146" width="49.25" customWidth="1"/>
    <col min="6147" max="6147" width="46.125" customWidth="1"/>
    <col min="6148" max="6148" width="38.5" customWidth="1"/>
    <col min="6149" max="6149" width="26" customWidth="1"/>
    <col min="6150" max="6150" width="39.375" customWidth="1"/>
    <col min="6151" max="6151" width="32.625" customWidth="1"/>
    <col min="6152" max="6152" width="24.5" customWidth="1"/>
    <col min="6153" max="6153" width="20.75" customWidth="1"/>
    <col min="6154" max="6155" width="12.625" bestFit="1" customWidth="1"/>
    <col min="6401" max="6401" width="30.75" customWidth="1"/>
    <col min="6402" max="6402" width="49.25" customWidth="1"/>
    <col min="6403" max="6403" width="46.125" customWidth="1"/>
    <col min="6404" max="6404" width="38.5" customWidth="1"/>
    <col min="6405" max="6405" width="26" customWidth="1"/>
    <col min="6406" max="6406" width="39.375" customWidth="1"/>
    <col min="6407" max="6407" width="32.625" customWidth="1"/>
    <col min="6408" max="6408" width="24.5" customWidth="1"/>
    <col min="6409" max="6409" width="20.75" customWidth="1"/>
    <col min="6410" max="6411" width="12.625" bestFit="1" customWidth="1"/>
    <col min="6657" max="6657" width="30.75" customWidth="1"/>
    <col min="6658" max="6658" width="49.25" customWidth="1"/>
    <col min="6659" max="6659" width="46.125" customWidth="1"/>
    <col min="6660" max="6660" width="38.5" customWidth="1"/>
    <col min="6661" max="6661" width="26" customWidth="1"/>
    <col min="6662" max="6662" width="39.375" customWidth="1"/>
    <col min="6663" max="6663" width="32.625" customWidth="1"/>
    <col min="6664" max="6664" width="24.5" customWidth="1"/>
    <col min="6665" max="6665" width="20.75" customWidth="1"/>
    <col min="6666" max="6667" width="12.625" bestFit="1" customWidth="1"/>
    <col min="6913" max="6913" width="30.75" customWidth="1"/>
    <col min="6914" max="6914" width="49.25" customWidth="1"/>
    <col min="6915" max="6915" width="46.125" customWidth="1"/>
    <col min="6916" max="6916" width="38.5" customWidth="1"/>
    <col min="6917" max="6917" width="26" customWidth="1"/>
    <col min="6918" max="6918" width="39.375" customWidth="1"/>
    <col min="6919" max="6919" width="32.625" customWidth="1"/>
    <col min="6920" max="6920" width="24.5" customWidth="1"/>
    <col min="6921" max="6921" width="20.75" customWidth="1"/>
    <col min="6922" max="6923" width="12.625" bestFit="1" customWidth="1"/>
    <col min="7169" max="7169" width="30.75" customWidth="1"/>
    <col min="7170" max="7170" width="49.25" customWidth="1"/>
    <col min="7171" max="7171" width="46.125" customWidth="1"/>
    <col min="7172" max="7172" width="38.5" customWidth="1"/>
    <col min="7173" max="7173" width="26" customWidth="1"/>
    <col min="7174" max="7174" width="39.375" customWidth="1"/>
    <col min="7175" max="7175" width="32.625" customWidth="1"/>
    <col min="7176" max="7176" width="24.5" customWidth="1"/>
    <col min="7177" max="7177" width="20.75" customWidth="1"/>
    <col min="7178" max="7179" width="12.625" bestFit="1" customWidth="1"/>
    <col min="7425" max="7425" width="30.75" customWidth="1"/>
    <col min="7426" max="7426" width="49.25" customWidth="1"/>
    <col min="7427" max="7427" width="46.125" customWidth="1"/>
    <col min="7428" max="7428" width="38.5" customWidth="1"/>
    <col min="7429" max="7429" width="26" customWidth="1"/>
    <col min="7430" max="7430" width="39.375" customWidth="1"/>
    <col min="7431" max="7431" width="32.625" customWidth="1"/>
    <col min="7432" max="7432" width="24.5" customWidth="1"/>
    <col min="7433" max="7433" width="20.75" customWidth="1"/>
    <col min="7434" max="7435" width="12.625" bestFit="1" customWidth="1"/>
    <col min="7681" max="7681" width="30.75" customWidth="1"/>
    <col min="7682" max="7682" width="49.25" customWidth="1"/>
    <col min="7683" max="7683" width="46.125" customWidth="1"/>
    <col min="7684" max="7684" width="38.5" customWidth="1"/>
    <col min="7685" max="7685" width="26" customWidth="1"/>
    <col min="7686" max="7686" width="39.375" customWidth="1"/>
    <col min="7687" max="7687" width="32.625" customWidth="1"/>
    <col min="7688" max="7688" width="24.5" customWidth="1"/>
    <col min="7689" max="7689" width="20.75" customWidth="1"/>
    <col min="7690" max="7691" width="12.625" bestFit="1" customWidth="1"/>
    <col min="7937" max="7937" width="30.75" customWidth="1"/>
    <col min="7938" max="7938" width="49.25" customWidth="1"/>
    <col min="7939" max="7939" width="46.125" customWidth="1"/>
    <col min="7940" max="7940" width="38.5" customWidth="1"/>
    <col min="7941" max="7941" width="26" customWidth="1"/>
    <col min="7942" max="7942" width="39.375" customWidth="1"/>
    <col min="7943" max="7943" width="32.625" customWidth="1"/>
    <col min="7944" max="7944" width="24.5" customWidth="1"/>
    <col min="7945" max="7945" width="20.75" customWidth="1"/>
    <col min="7946" max="7947" width="12.625" bestFit="1" customWidth="1"/>
    <col min="8193" max="8193" width="30.75" customWidth="1"/>
    <col min="8194" max="8194" width="49.25" customWidth="1"/>
    <col min="8195" max="8195" width="46.125" customWidth="1"/>
    <col min="8196" max="8196" width="38.5" customWidth="1"/>
    <col min="8197" max="8197" width="26" customWidth="1"/>
    <col min="8198" max="8198" width="39.375" customWidth="1"/>
    <col min="8199" max="8199" width="32.625" customWidth="1"/>
    <col min="8200" max="8200" width="24.5" customWidth="1"/>
    <col min="8201" max="8201" width="20.75" customWidth="1"/>
    <col min="8202" max="8203" width="12.625" bestFit="1" customWidth="1"/>
    <col min="8449" max="8449" width="30.75" customWidth="1"/>
    <col min="8450" max="8450" width="49.25" customWidth="1"/>
    <col min="8451" max="8451" width="46.125" customWidth="1"/>
    <col min="8452" max="8452" width="38.5" customWidth="1"/>
    <col min="8453" max="8453" width="26" customWidth="1"/>
    <col min="8454" max="8454" width="39.375" customWidth="1"/>
    <col min="8455" max="8455" width="32.625" customWidth="1"/>
    <col min="8456" max="8456" width="24.5" customWidth="1"/>
    <col min="8457" max="8457" width="20.75" customWidth="1"/>
    <col min="8458" max="8459" width="12.625" bestFit="1" customWidth="1"/>
    <col min="8705" max="8705" width="30.75" customWidth="1"/>
    <col min="8706" max="8706" width="49.25" customWidth="1"/>
    <col min="8707" max="8707" width="46.125" customWidth="1"/>
    <col min="8708" max="8708" width="38.5" customWidth="1"/>
    <col min="8709" max="8709" width="26" customWidth="1"/>
    <col min="8710" max="8710" width="39.375" customWidth="1"/>
    <col min="8711" max="8711" width="32.625" customWidth="1"/>
    <col min="8712" max="8712" width="24.5" customWidth="1"/>
    <col min="8713" max="8713" width="20.75" customWidth="1"/>
    <col min="8714" max="8715" width="12.625" bestFit="1" customWidth="1"/>
    <col min="8961" max="8961" width="30.75" customWidth="1"/>
    <col min="8962" max="8962" width="49.25" customWidth="1"/>
    <col min="8963" max="8963" width="46.125" customWidth="1"/>
    <col min="8964" max="8964" width="38.5" customWidth="1"/>
    <col min="8965" max="8965" width="26" customWidth="1"/>
    <col min="8966" max="8966" width="39.375" customWidth="1"/>
    <col min="8967" max="8967" width="32.625" customWidth="1"/>
    <col min="8968" max="8968" width="24.5" customWidth="1"/>
    <col min="8969" max="8969" width="20.75" customWidth="1"/>
    <col min="8970" max="8971" width="12.625" bestFit="1" customWidth="1"/>
    <col min="9217" max="9217" width="30.75" customWidth="1"/>
    <col min="9218" max="9218" width="49.25" customWidth="1"/>
    <col min="9219" max="9219" width="46.125" customWidth="1"/>
    <col min="9220" max="9220" width="38.5" customWidth="1"/>
    <col min="9221" max="9221" width="26" customWidth="1"/>
    <col min="9222" max="9222" width="39.375" customWidth="1"/>
    <col min="9223" max="9223" width="32.625" customWidth="1"/>
    <col min="9224" max="9224" width="24.5" customWidth="1"/>
    <col min="9225" max="9225" width="20.75" customWidth="1"/>
    <col min="9226" max="9227" width="12.625" bestFit="1" customWidth="1"/>
    <col min="9473" max="9473" width="30.75" customWidth="1"/>
    <col min="9474" max="9474" width="49.25" customWidth="1"/>
    <col min="9475" max="9475" width="46.125" customWidth="1"/>
    <col min="9476" max="9476" width="38.5" customWidth="1"/>
    <col min="9477" max="9477" width="26" customWidth="1"/>
    <col min="9478" max="9478" width="39.375" customWidth="1"/>
    <col min="9479" max="9479" width="32.625" customWidth="1"/>
    <col min="9480" max="9480" width="24.5" customWidth="1"/>
    <col min="9481" max="9481" width="20.75" customWidth="1"/>
    <col min="9482" max="9483" width="12.625" bestFit="1" customWidth="1"/>
    <col min="9729" max="9729" width="30.75" customWidth="1"/>
    <col min="9730" max="9730" width="49.25" customWidth="1"/>
    <col min="9731" max="9731" width="46.125" customWidth="1"/>
    <col min="9732" max="9732" width="38.5" customWidth="1"/>
    <col min="9733" max="9733" width="26" customWidth="1"/>
    <col min="9734" max="9734" width="39.375" customWidth="1"/>
    <col min="9735" max="9735" width="32.625" customWidth="1"/>
    <col min="9736" max="9736" width="24.5" customWidth="1"/>
    <col min="9737" max="9737" width="20.75" customWidth="1"/>
    <col min="9738" max="9739" width="12.625" bestFit="1" customWidth="1"/>
    <col min="9985" max="9985" width="30.75" customWidth="1"/>
    <col min="9986" max="9986" width="49.25" customWidth="1"/>
    <col min="9987" max="9987" width="46.125" customWidth="1"/>
    <col min="9988" max="9988" width="38.5" customWidth="1"/>
    <col min="9989" max="9989" width="26" customWidth="1"/>
    <col min="9990" max="9990" width="39.375" customWidth="1"/>
    <col min="9991" max="9991" width="32.625" customWidth="1"/>
    <col min="9992" max="9992" width="24.5" customWidth="1"/>
    <col min="9993" max="9993" width="20.75" customWidth="1"/>
    <col min="9994" max="9995" width="12.625" bestFit="1" customWidth="1"/>
    <col min="10241" max="10241" width="30.75" customWidth="1"/>
    <col min="10242" max="10242" width="49.25" customWidth="1"/>
    <col min="10243" max="10243" width="46.125" customWidth="1"/>
    <col min="10244" max="10244" width="38.5" customWidth="1"/>
    <col min="10245" max="10245" width="26" customWidth="1"/>
    <col min="10246" max="10246" width="39.375" customWidth="1"/>
    <col min="10247" max="10247" width="32.625" customWidth="1"/>
    <col min="10248" max="10248" width="24.5" customWidth="1"/>
    <col min="10249" max="10249" width="20.75" customWidth="1"/>
    <col min="10250" max="10251" width="12.625" bestFit="1" customWidth="1"/>
    <col min="10497" max="10497" width="30.75" customWidth="1"/>
    <col min="10498" max="10498" width="49.25" customWidth="1"/>
    <col min="10499" max="10499" width="46.125" customWidth="1"/>
    <col min="10500" max="10500" width="38.5" customWidth="1"/>
    <col min="10501" max="10501" width="26" customWidth="1"/>
    <col min="10502" max="10502" width="39.375" customWidth="1"/>
    <col min="10503" max="10503" width="32.625" customWidth="1"/>
    <col min="10504" max="10504" width="24.5" customWidth="1"/>
    <col min="10505" max="10505" width="20.75" customWidth="1"/>
    <col min="10506" max="10507" width="12.625" bestFit="1" customWidth="1"/>
    <col min="10753" max="10753" width="30.75" customWidth="1"/>
    <col min="10754" max="10754" width="49.25" customWidth="1"/>
    <col min="10755" max="10755" width="46.125" customWidth="1"/>
    <col min="10756" max="10756" width="38.5" customWidth="1"/>
    <col min="10757" max="10757" width="26" customWidth="1"/>
    <col min="10758" max="10758" width="39.375" customWidth="1"/>
    <col min="10759" max="10759" width="32.625" customWidth="1"/>
    <col min="10760" max="10760" width="24.5" customWidth="1"/>
    <col min="10761" max="10761" width="20.75" customWidth="1"/>
    <col min="10762" max="10763" width="12.625" bestFit="1" customWidth="1"/>
    <col min="11009" max="11009" width="30.75" customWidth="1"/>
    <col min="11010" max="11010" width="49.25" customWidth="1"/>
    <col min="11011" max="11011" width="46.125" customWidth="1"/>
    <col min="11012" max="11012" width="38.5" customWidth="1"/>
    <col min="11013" max="11013" width="26" customWidth="1"/>
    <col min="11014" max="11014" width="39.375" customWidth="1"/>
    <col min="11015" max="11015" width="32.625" customWidth="1"/>
    <col min="11016" max="11016" width="24.5" customWidth="1"/>
    <col min="11017" max="11017" width="20.75" customWidth="1"/>
    <col min="11018" max="11019" width="12.625" bestFit="1" customWidth="1"/>
    <col min="11265" max="11265" width="30.75" customWidth="1"/>
    <col min="11266" max="11266" width="49.25" customWidth="1"/>
    <col min="11267" max="11267" width="46.125" customWidth="1"/>
    <col min="11268" max="11268" width="38.5" customWidth="1"/>
    <col min="11269" max="11269" width="26" customWidth="1"/>
    <col min="11270" max="11270" width="39.375" customWidth="1"/>
    <col min="11271" max="11271" width="32.625" customWidth="1"/>
    <col min="11272" max="11272" width="24.5" customWidth="1"/>
    <col min="11273" max="11273" width="20.75" customWidth="1"/>
    <col min="11274" max="11275" width="12.625" bestFit="1" customWidth="1"/>
    <col min="11521" max="11521" width="30.75" customWidth="1"/>
    <col min="11522" max="11522" width="49.25" customWidth="1"/>
    <col min="11523" max="11523" width="46.125" customWidth="1"/>
    <col min="11524" max="11524" width="38.5" customWidth="1"/>
    <col min="11525" max="11525" width="26" customWidth="1"/>
    <col min="11526" max="11526" width="39.375" customWidth="1"/>
    <col min="11527" max="11527" width="32.625" customWidth="1"/>
    <col min="11528" max="11528" width="24.5" customWidth="1"/>
    <col min="11529" max="11529" width="20.75" customWidth="1"/>
    <col min="11530" max="11531" width="12.625" bestFit="1" customWidth="1"/>
    <col min="11777" max="11777" width="30.75" customWidth="1"/>
    <col min="11778" max="11778" width="49.25" customWidth="1"/>
    <col min="11779" max="11779" width="46.125" customWidth="1"/>
    <col min="11780" max="11780" width="38.5" customWidth="1"/>
    <col min="11781" max="11781" width="26" customWidth="1"/>
    <col min="11782" max="11782" width="39.375" customWidth="1"/>
    <col min="11783" max="11783" width="32.625" customWidth="1"/>
    <col min="11784" max="11784" width="24.5" customWidth="1"/>
    <col min="11785" max="11785" width="20.75" customWidth="1"/>
    <col min="11786" max="11787" width="12.625" bestFit="1" customWidth="1"/>
    <col min="12033" max="12033" width="30.75" customWidth="1"/>
    <col min="12034" max="12034" width="49.25" customWidth="1"/>
    <col min="12035" max="12035" width="46.125" customWidth="1"/>
    <col min="12036" max="12036" width="38.5" customWidth="1"/>
    <col min="12037" max="12037" width="26" customWidth="1"/>
    <col min="12038" max="12038" width="39.375" customWidth="1"/>
    <col min="12039" max="12039" width="32.625" customWidth="1"/>
    <col min="12040" max="12040" width="24.5" customWidth="1"/>
    <col min="12041" max="12041" width="20.75" customWidth="1"/>
    <col min="12042" max="12043" width="12.625" bestFit="1" customWidth="1"/>
    <col min="12289" max="12289" width="30.75" customWidth="1"/>
    <col min="12290" max="12290" width="49.25" customWidth="1"/>
    <col min="12291" max="12291" width="46.125" customWidth="1"/>
    <col min="12292" max="12292" width="38.5" customWidth="1"/>
    <col min="12293" max="12293" width="26" customWidth="1"/>
    <col min="12294" max="12294" width="39.375" customWidth="1"/>
    <col min="12295" max="12295" width="32.625" customWidth="1"/>
    <col min="12296" max="12296" width="24.5" customWidth="1"/>
    <col min="12297" max="12297" width="20.75" customWidth="1"/>
    <col min="12298" max="12299" width="12.625" bestFit="1" customWidth="1"/>
    <col min="12545" max="12545" width="30.75" customWidth="1"/>
    <col min="12546" max="12546" width="49.25" customWidth="1"/>
    <col min="12547" max="12547" width="46.125" customWidth="1"/>
    <col min="12548" max="12548" width="38.5" customWidth="1"/>
    <col min="12549" max="12549" width="26" customWidth="1"/>
    <col min="12550" max="12550" width="39.375" customWidth="1"/>
    <col min="12551" max="12551" width="32.625" customWidth="1"/>
    <col min="12552" max="12552" width="24.5" customWidth="1"/>
    <col min="12553" max="12553" width="20.75" customWidth="1"/>
    <col min="12554" max="12555" width="12.625" bestFit="1" customWidth="1"/>
    <col min="12801" max="12801" width="30.75" customWidth="1"/>
    <col min="12802" max="12802" width="49.25" customWidth="1"/>
    <col min="12803" max="12803" width="46.125" customWidth="1"/>
    <col min="12804" max="12804" width="38.5" customWidth="1"/>
    <col min="12805" max="12805" width="26" customWidth="1"/>
    <col min="12806" max="12806" width="39.375" customWidth="1"/>
    <col min="12807" max="12807" width="32.625" customWidth="1"/>
    <col min="12808" max="12808" width="24.5" customWidth="1"/>
    <col min="12809" max="12809" width="20.75" customWidth="1"/>
    <col min="12810" max="12811" width="12.625" bestFit="1" customWidth="1"/>
    <col min="13057" max="13057" width="30.75" customWidth="1"/>
    <col min="13058" max="13058" width="49.25" customWidth="1"/>
    <col min="13059" max="13059" width="46.125" customWidth="1"/>
    <col min="13060" max="13060" width="38.5" customWidth="1"/>
    <col min="13061" max="13061" width="26" customWidth="1"/>
    <col min="13062" max="13062" width="39.375" customWidth="1"/>
    <col min="13063" max="13063" width="32.625" customWidth="1"/>
    <col min="13064" max="13064" width="24.5" customWidth="1"/>
    <col min="13065" max="13065" width="20.75" customWidth="1"/>
    <col min="13066" max="13067" width="12.625" bestFit="1" customWidth="1"/>
    <col min="13313" max="13313" width="30.75" customWidth="1"/>
    <col min="13314" max="13314" width="49.25" customWidth="1"/>
    <col min="13315" max="13315" width="46.125" customWidth="1"/>
    <col min="13316" max="13316" width="38.5" customWidth="1"/>
    <col min="13317" max="13317" width="26" customWidth="1"/>
    <col min="13318" max="13318" width="39.375" customWidth="1"/>
    <col min="13319" max="13319" width="32.625" customWidth="1"/>
    <col min="13320" max="13320" width="24.5" customWidth="1"/>
    <col min="13321" max="13321" width="20.75" customWidth="1"/>
    <col min="13322" max="13323" width="12.625" bestFit="1" customWidth="1"/>
    <col min="13569" max="13569" width="30.75" customWidth="1"/>
    <col min="13570" max="13570" width="49.25" customWidth="1"/>
    <col min="13571" max="13571" width="46.125" customWidth="1"/>
    <col min="13572" max="13572" width="38.5" customWidth="1"/>
    <col min="13573" max="13573" width="26" customWidth="1"/>
    <col min="13574" max="13574" width="39.375" customWidth="1"/>
    <col min="13575" max="13575" width="32.625" customWidth="1"/>
    <col min="13576" max="13576" width="24.5" customWidth="1"/>
    <col min="13577" max="13577" width="20.75" customWidth="1"/>
    <col min="13578" max="13579" width="12.625" bestFit="1" customWidth="1"/>
    <col min="13825" max="13825" width="30.75" customWidth="1"/>
    <col min="13826" max="13826" width="49.25" customWidth="1"/>
    <col min="13827" max="13827" width="46.125" customWidth="1"/>
    <col min="13828" max="13828" width="38.5" customWidth="1"/>
    <col min="13829" max="13829" width="26" customWidth="1"/>
    <col min="13830" max="13830" width="39.375" customWidth="1"/>
    <col min="13831" max="13831" width="32.625" customWidth="1"/>
    <col min="13832" max="13832" width="24.5" customWidth="1"/>
    <col min="13833" max="13833" width="20.75" customWidth="1"/>
    <col min="13834" max="13835" width="12.625" bestFit="1" customWidth="1"/>
    <col min="14081" max="14081" width="30.75" customWidth="1"/>
    <col min="14082" max="14082" width="49.25" customWidth="1"/>
    <col min="14083" max="14083" width="46.125" customWidth="1"/>
    <col min="14084" max="14084" width="38.5" customWidth="1"/>
    <col min="14085" max="14085" width="26" customWidth="1"/>
    <col min="14086" max="14086" width="39.375" customWidth="1"/>
    <col min="14087" max="14087" width="32.625" customWidth="1"/>
    <col min="14088" max="14088" width="24.5" customWidth="1"/>
    <col min="14089" max="14089" width="20.75" customWidth="1"/>
    <col min="14090" max="14091" width="12.625" bestFit="1" customWidth="1"/>
    <col min="14337" max="14337" width="30.75" customWidth="1"/>
    <col min="14338" max="14338" width="49.25" customWidth="1"/>
    <col min="14339" max="14339" width="46.125" customWidth="1"/>
    <col min="14340" max="14340" width="38.5" customWidth="1"/>
    <col min="14341" max="14341" width="26" customWidth="1"/>
    <col min="14342" max="14342" width="39.375" customWidth="1"/>
    <col min="14343" max="14343" width="32.625" customWidth="1"/>
    <col min="14344" max="14344" width="24.5" customWidth="1"/>
    <col min="14345" max="14345" width="20.75" customWidth="1"/>
    <col min="14346" max="14347" width="12.625" bestFit="1" customWidth="1"/>
    <col min="14593" max="14593" width="30.75" customWidth="1"/>
    <col min="14594" max="14594" width="49.25" customWidth="1"/>
    <col min="14595" max="14595" width="46.125" customWidth="1"/>
    <col min="14596" max="14596" width="38.5" customWidth="1"/>
    <col min="14597" max="14597" width="26" customWidth="1"/>
    <col min="14598" max="14598" width="39.375" customWidth="1"/>
    <col min="14599" max="14599" width="32.625" customWidth="1"/>
    <col min="14600" max="14600" width="24.5" customWidth="1"/>
    <col min="14601" max="14601" width="20.75" customWidth="1"/>
    <col min="14602" max="14603" width="12.625" bestFit="1" customWidth="1"/>
    <col min="14849" max="14849" width="30.75" customWidth="1"/>
    <col min="14850" max="14850" width="49.25" customWidth="1"/>
    <col min="14851" max="14851" width="46.125" customWidth="1"/>
    <col min="14852" max="14852" width="38.5" customWidth="1"/>
    <col min="14853" max="14853" width="26" customWidth="1"/>
    <col min="14854" max="14854" width="39.375" customWidth="1"/>
    <col min="14855" max="14855" width="32.625" customWidth="1"/>
    <col min="14856" max="14856" width="24.5" customWidth="1"/>
    <col min="14857" max="14857" width="20.75" customWidth="1"/>
    <col min="14858" max="14859" width="12.625" bestFit="1" customWidth="1"/>
    <col min="15105" max="15105" width="30.75" customWidth="1"/>
    <col min="15106" max="15106" width="49.25" customWidth="1"/>
    <col min="15107" max="15107" width="46.125" customWidth="1"/>
    <col min="15108" max="15108" width="38.5" customWidth="1"/>
    <col min="15109" max="15109" width="26" customWidth="1"/>
    <col min="15110" max="15110" width="39.375" customWidth="1"/>
    <col min="15111" max="15111" width="32.625" customWidth="1"/>
    <col min="15112" max="15112" width="24.5" customWidth="1"/>
    <col min="15113" max="15113" width="20.75" customWidth="1"/>
    <col min="15114" max="15115" width="12.625" bestFit="1" customWidth="1"/>
    <col min="15361" max="15361" width="30.75" customWidth="1"/>
    <col min="15362" max="15362" width="49.25" customWidth="1"/>
    <col min="15363" max="15363" width="46.125" customWidth="1"/>
    <col min="15364" max="15364" width="38.5" customWidth="1"/>
    <col min="15365" max="15365" width="26" customWidth="1"/>
    <col min="15366" max="15366" width="39.375" customWidth="1"/>
    <col min="15367" max="15367" width="32.625" customWidth="1"/>
    <col min="15368" max="15368" width="24.5" customWidth="1"/>
    <col min="15369" max="15369" width="20.75" customWidth="1"/>
    <col min="15370" max="15371" width="12.625" bestFit="1" customWidth="1"/>
    <col min="15617" max="15617" width="30.75" customWidth="1"/>
    <col min="15618" max="15618" width="49.25" customWidth="1"/>
    <col min="15619" max="15619" width="46.125" customWidth="1"/>
    <col min="15620" max="15620" width="38.5" customWidth="1"/>
    <col min="15621" max="15621" width="26" customWidth="1"/>
    <col min="15622" max="15622" width="39.375" customWidth="1"/>
    <col min="15623" max="15623" width="32.625" customWidth="1"/>
    <col min="15624" max="15624" width="24.5" customWidth="1"/>
    <col min="15625" max="15625" width="20.75" customWidth="1"/>
    <col min="15626" max="15627" width="12.625" bestFit="1" customWidth="1"/>
    <col min="15873" max="15873" width="30.75" customWidth="1"/>
    <col min="15874" max="15874" width="49.25" customWidth="1"/>
    <col min="15875" max="15875" width="46.125" customWidth="1"/>
    <col min="15876" max="15876" width="38.5" customWidth="1"/>
    <col min="15877" max="15877" width="26" customWidth="1"/>
    <col min="15878" max="15878" width="39.375" customWidth="1"/>
    <col min="15879" max="15879" width="32.625" customWidth="1"/>
    <col min="15880" max="15880" width="24.5" customWidth="1"/>
    <col min="15881" max="15881" width="20.75" customWidth="1"/>
    <col min="15882" max="15883" width="12.625" bestFit="1" customWidth="1"/>
    <col min="16129" max="16129" width="30.75" customWidth="1"/>
    <col min="16130" max="16130" width="49.25" customWidth="1"/>
    <col min="16131" max="16131" width="46.125" customWidth="1"/>
    <col min="16132" max="16132" width="38.5" customWidth="1"/>
    <col min="16133" max="16133" width="26" customWidth="1"/>
    <col min="16134" max="16134" width="39.375" customWidth="1"/>
    <col min="16135" max="16135" width="32.625" customWidth="1"/>
    <col min="16136" max="16136" width="24.5" customWidth="1"/>
    <col min="16137" max="16137" width="20.75" customWidth="1"/>
    <col min="16138" max="16139" width="12.625" bestFit="1" customWidth="1"/>
  </cols>
  <sheetData>
    <row r="13" spans="1:5" ht="15">
      <c r="A13" s="79" t="s">
        <v>2035</v>
      </c>
      <c r="B13" s="80" t="s">
        <v>160</v>
      </c>
      <c r="C13" s="80" t="s">
        <v>34</v>
      </c>
      <c r="D13" s="603" t="s">
        <v>35</v>
      </c>
      <c r="E13" s="81" t="s">
        <v>2036</v>
      </c>
    </row>
    <row r="14" spans="1:5" ht="14.25">
      <c r="A14" s="590" t="s">
        <v>2037</v>
      </c>
      <c r="B14" s="61">
        <v>8</v>
      </c>
      <c r="C14" s="61" t="s">
        <v>2030</v>
      </c>
      <c r="D14" s="44">
        <v>2800</v>
      </c>
      <c r="E14" s="32">
        <v>0.78</v>
      </c>
    </row>
    <row r="15" spans="1:5" ht="14.25">
      <c r="A15" s="590" t="s">
        <v>2037</v>
      </c>
      <c r="B15" s="61">
        <v>8</v>
      </c>
      <c r="C15" s="61" t="s">
        <v>185</v>
      </c>
      <c r="D15" s="44">
        <v>600</v>
      </c>
      <c r="E15" s="32">
        <v>0.78</v>
      </c>
    </row>
    <row r="16" spans="1:5" ht="14.25">
      <c r="A16" s="590" t="s">
        <v>2037</v>
      </c>
      <c r="B16" s="61">
        <v>8</v>
      </c>
      <c r="C16" s="61" t="s">
        <v>2038</v>
      </c>
      <c r="D16" s="44">
        <v>100</v>
      </c>
      <c r="E16" s="32">
        <v>0.78</v>
      </c>
    </row>
    <row r="17" spans="1:7" ht="14.25">
      <c r="A17" s="590" t="s">
        <v>2037</v>
      </c>
      <c r="B17" s="61">
        <v>8</v>
      </c>
      <c r="C17" s="61" t="s">
        <v>2039</v>
      </c>
      <c r="D17" s="44">
        <v>700</v>
      </c>
      <c r="E17" s="32">
        <v>0.78</v>
      </c>
    </row>
    <row r="18" spans="1:7" ht="14.25">
      <c r="A18" s="590"/>
      <c r="B18" s="61"/>
      <c r="C18" s="61" t="s">
        <v>125</v>
      </c>
      <c r="D18" s="82" t="s">
        <v>120</v>
      </c>
      <c r="E18" s="32">
        <v>450</v>
      </c>
    </row>
    <row r="24" spans="1:7" ht="15">
      <c r="A24" s="79" t="s">
        <v>2035</v>
      </c>
      <c r="B24" s="80" t="s">
        <v>34</v>
      </c>
      <c r="C24" s="81" t="s">
        <v>2040</v>
      </c>
      <c r="D24" s="81" t="s">
        <v>2041</v>
      </c>
      <c r="E24" s="603" t="s">
        <v>112</v>
      </c>
      <c r="F24" s="603" t="s">
        <v>2042</v>
      </c>
      <c r="G24" s="81" t="s">
        <v>2043</v>
      </c>
    </row>
    <row r="25" spans="1:7" ht="14.25">
      <c r="A25" s="590">
        <v>23398</v>
      </c>
      <c r="B25" s="61" t="s">
        <v>115</v>
      </c>
      <c r="C25" s="44">
        <v>14</v>
      </c>
      <c r="D25" s="54">
        <v>97</v>
      </c>
      <c r="E25" s="28">
        <v>1358</v>
      </c>
      <c r="F25" s="604">
        <v>1485</v>
      </c>
      <c r="G25" s="32">
        <v>7.29</v>
      </c>
    </row>
    <row r="26" spans="1:7" ht="14.25">
      <c r="A26" s="590">
        <v>23398</v>
      </c>
      <c r="B26" s="61" t="s">
        <v>2044</v>
      </c>
      <c r="C26" s="44">
        <v>14</v>
      </c>
      <c r="D26" s="54">
        <v>258</v>
      </c>
      <c r="E26" s="28">
        <v>3612</v>
      </c>
      <c r="F26" s="604">
        <v>3950</v>
      </c>
      <c r="G26" s="32">
        <v>7.29</v>
      </c>
    </row>
    <row r="27" spans="1:7" ht="14.25">
      <c r="A27" s="590" t="s">
        <v>2045</v>
      </c>
      <c r="B27" s="61" t="s">
        <v>37</v>
      </c>
      <c r="C27" s="44">
        <v>14</v>
      </c>
      <c r="D27" s="54">
        <v>290</v>
      </c>
      <c r="E27" s="44">
        <v>4060</v>
      </c>
      <c r="F27" s="604">
        <v>4440</v>
      </c>
      <c r="G27" s="32">
        <v>2.2999999999999998</v>
      </c>
    </row>
    <row r="28" spans="1:7" ht="14.25">
      <c r="A28" s="590" t="s">
        <v>181</v>
      </c>
      <c r="B28" s="61" t="s">
        <v>56</v>
      </c>
      <c r="C28" s="44">
        <v>14</v>
      </c>
      <c r="D28" s="54">
        <v>340</v>
      </c>
      <c r="E28" s="44">
        <v>4760</v>
      </c>
      <c r="F28" s="604">
        <v>5206</v>
      </c>
      <c r="G28" s="32">
        <v>2.2999999999999998</v>
      </c>
    </row>
    <row r="29" spans="1:7" ht="14.25">
      <c r="A29" s="590">
        <v>23350</v>
      </c>
      <c r="B29" s="61" t="s">
        <v>115</v>
      </c>
      <c r="C29" s="44">
        <v>14</v>
      </c>
      <c r="D29" s="54">
        <v>212</v>
      </c>
      <c r="E29" s="28">
        <v>2968</v>
      </c>
      <c r="F29" s="604">
        <v>3246</v>
      </c>
      <c r="G29" s="32">
        <v>3.11</v>
      </c>
    </row>
    <row r="30" spans="1:7" ht="14.25">
      <c r="A30" s="590">
        <v>23350</v>
      </c>
      <c r="B30" s="61" t="s">
        <v>56</v>
      </c>
      <c r="C30" s="44">
        <v>14</v>
      </c>
      <c r="D30" s="54">
        <v>238</v>
      </c>
      <c r="E30" s="28">
        <v>3332</v>
      </c>
      <c r="F30" s="604">
        <v>3644</v>
      </c>
      <c r="G30" s="32">
        <v>3.11</v>
      </c>
    </row>
    <row r="31" spans="1:7" ht="14.25">
      <c r="A31" s="590">
        <v>23423</v>
      </c>
      <c r="B31" s="61" t="s">
        <v>115</v>
      </c>
      <c r="C31" s="44">
        <v>14</v>
      </c>
      <c r="D31" s="54">
        <v>150</v>
      </c>
      <c r="E31" s="28">
        <v>2100</v>
      </c>
      <c r="F31" s="604">
        <v>2297</v>
      </c>
      <c r="G31" s="32">
        <v>1.84</v>
      </c>
    </row>
    <row r="32" spans="1:7" ht="14.25">
      <c r="A32" s="590">
        <v>23423</v>
      </c>
      <c r="B32" s="61" t="s">
        <v>56</v>
      </c>
      <c r="C32" s="44">
        <v>14</v>
      </c>
      <c r="D32" s="54">
        <v>77</v>
      </c>
      <c r="E32" s="28">
        <v>1078</v>
      </c>
      <c r="F32" s="604">
        <v>1179</v>
      </c>
      <c r="G32" s="32">
        <v>1.84</v>
      </c>
    </row>
    <row r="35" spans="1:9" ht="14.25">
      <c r="A35" s="605">
        <v>23398</v>
      </c>
      <c r="B35" s="606"/>
      <c r="C35" s="606" t="s">
        <v>2046</v>
      </c>
      <c r="D35" s="607">
        <v>1358</v>
      </c>
      <c r="E35" s="608">
        <v>14</v>
      </c>
      <c r="F35" s="609">
        <v>97</v>
      </c>
    </row>
    <row r="36" spans="1:9" ht="14.25">
      <c r="A36" s="605">
        <v>23398</v>
      </c>
      <c r="B36" s="606"/>
      <c r="C36" s="606" t="s">
        <v>2047</v>
      </c>
      <c r="D36" s="607">
        <v>3612</v>
      </c>
      <c r="E36" s="608">
        <v>14</v>
      </c>
      <c r="F36" s="609">
        <v>258</v>
      </c>
    </row>
    <row r="37" spans="1:9" ht="14.25">
      <c r="A37" s="605" t="s">
        <v>2048</v>
      </c>
      <c r="B37" s="606"/>
      <c r="C37" s="606" t="s">
        <v>2049</v>
      </c>
      <c r="D37" s="608">
        <v>4060</v>
      </c>
      <c r="E37" s="608">
        <v>14</v>
      </c>
      <c r="F37" s="609">
        <v>290</v>
      </c>
    </row>
    <row r="38" spans="1:9" ht="14.25">
      <c r="A38" s="605" t="s">
        <v>2050</v>
      </c>
      <c r="B38" s="606"/>
      <c r="C38" s="606" t="s">
        <v>169</v>
      </c>
      <c r="D38" s="608">
        <v>4760</v>
      </c>
      <c r="E38" s="608">
        <v>14</v>
      </c>
      <c r="F38" s="609">
        <v>340</v>
      </c>
    </row>
    <row r="39" spans="1:9" ht="14.25">
      <c r="A39" s="605">
        <v>23350</v>
      </c>
      <c r="B39" s="606"/>
      <c r="C39" s="606" t="s">
        <v>2046</v>
      </c>
      <c r="D39" s="607">
        <v>2968</v>
      </c>
      <c r="E39" s="608">
        <v>14</v>
      </c>
      <c r="F39" s="609">
        <v>212</v>
      </c>
    </row>
    <row r="40" spans="1:9" ht="14.25">
      <c r="A40" s="605">
        <v>23350</v>
      </c>
      <c r="B40" s="606"/>
      <c r="C40" s="606" t="s">
        <v>169</v>
      </c>
      <c r="D40" s="607">
        <v>3332</v>
      </c>
      <c r="E40" s="608">
        <v>14</v>
      </c>
      <c r="F40" s="609">
        <v>238</v>
      </c>
    </row>
    <row r="41" spans="1:9" ht="14.25">
      <c r="A41" s="605">
        <v>23423</v>
      </c>
      <c r="B41" s="606"/>
      <c r="C41" s="606" t="s">
        <v>2046</v>
      </c>
      <c r="D41" s="607">
        <v>2100</v>
      </c>
      <c r="E41" s="608">
        <v>14</v>
      </c>
      <c r="F41" s="609">
        <v>150</v>
      </c>
    </row>
    <row r="42" spans="1:9" ht="14.25">
      <c r="A42" s="605">
        <v>23423</v>
      </c>
      <c r="B42" s="606"/>
      <c r="C42" s="606" t="s">
        <v>169</v>
      </c>
      <c r="D42" s="607">
        <v>1078</v>
      </c>
      <c r="E42" s="608">
        <v>14</v>
      </c>
      <c r="F42" s="609">
        <v>77</v>
      </c>
    </row>
    <row r="43" spans="1:9" ht="14.25">
      <c r="A43" s="121"/>
      <c r="B43" s="121"/>
      <c r="C43" s="121"/>
      <c r="D43" s="121"/>
      <c r="E43" s="121"/>
      <c r="F43" s="121"/>
    </row>
    <row r="46" spans="1:9" ht="14.25">
      <c r="I46" s="121"/>
    </row>
    <row r="47" spans="1:9" ht="15">
      <c r="A47" s="79" t="s">
        <v>2035</v>
      </c>
      <c r="B47" s="79" t="s">
        <v>33</v>
      </c>
      <c r="C47" s="80" t="s">
        <v>34</v>
      </c>
      <c r="D47" s="81" t="s">
        <v>2040</v>
      </c>
      <c r="E47" s="603" t="s">
        <v>2041</v>
      </c>
      <c r="F47" s="603" t="s">
        <v>112</v>
      </c>
      <c r="G47" s="603" t="s">
        <v>2042</v>
      </c>
      <c r="H47" s="81" t="s">
        <v>2043</v>
      </c>
      <c r="I47" s="96" t="s">
        <v>2051</v>
      </c>
    </row>
    <row r="48" spans="1:9" ht="14.25">
      <c r="A48" s="83" t="s">
        <v>2052</v>
      </c>
      <c r="B48" s="137">
        <v>9</v>
      </c>
      <c r="C48" s="137" t="s">
        <v>2053</v>
      </c>
      <c r="D48" s="214">
        <v>30</v>
      </c>
      <c r="E48" s="215">
        <v>19</v>
      </c>
      <c r="F48" s="216">
        <v>570</v>
      </c>
      <c r="G48" s="604">
        <v>623</v>
      </c>
      <c r="H48" s="217">
        <v>0.74</v>
      </c>
      <c r="I48" s="83" t="s">
        <v>2054</v>
      </c>
    </row>
    <row r="49" spans="1:9" ht="14.25">
      <c r="A49" s="83" t="s">
        <v>2052</v>
      </c>
      <c r="B49" s="137">
        <v>9</v>
      </c>
      <c r="C49" s="137" t="s">
        <v>2055</v>
      </c>
      <c r="D49" s="214">
        <v>30</v>
      </c>
      <c r="E49" s="215">
        <v>17</v>
      </c>
      <c r="F49" s="216">
        <v>510</v>
      </c>
      <c r="G49" s="604">
        <v>557</v>
      </c>
      <c r="H49" s="217">
        <v>0.74</v>
      </c>
      <c r="I49" s="83" t="s">
        <v>2054</v>
      </c>
    </row>
    <row r="50" spans="1:9" ht="14.25">
      <c r="A50" s="83"/>
      <c r="B50" s="137"/>
      <c r="C50" s="137"/>
      <c r="D50" s="214"/>
      <c r="E50" s="214"/>
      <c r="F50" s="214"/>
      <c r="G50" s="604"/>
      <c r="H50" s="83"/>
      <c r="I50" s="83"/>
    </row>
    <row r="51" spans="1:9" ht="14.25">
      <c r="A51" s="83" t="s">
        <v>2056</v>
      </c>
      <c r="B51" s="137"/>
      <c r="C51" s="137" t="s">
        <v>150</v>
      </c>
      <c r="D51" s="214">
        <v>30</v>
      </c>
      <c r="E51" s="215">
        <v>97</v>
      </c>
      <c r="F51" s="216">
        <v>2910</v>
      </c>
      <c r="G51" s="604">
        <v>3182</v>
      </c>
      <c r="H51" s="217">
        <v>0.51</v>
      </c>
      <c r="I51" s="83" t="s">
        <v>2057</v>
      </c>
    </row>
    <row r="52" spans="1:9" ht="14.25">
      <c r="A52" s="83" t="s">
        <v>2056</v>
      </c>
      <c r="B52" s="137"/>
      <c r="C52" s="137" t="s">
        <v>149</v>
      </c>
      <c r="D52" s="214">
        <v>30</v>
      </c>
      <c r="E52" s="215">
        <v>56</v>
      </c>
      <c r="F52" s="216">
        <v>1680</v>
      </c>
      <c r="G52" s="604">
        <v>1837</v>
      </c>
      <c r="H52" s="217">
        <v>0.51</v>
      </c>
      <c r="I52" s="83" t="s">
        <v>2057</v>
      </c>
    </row>
    <row r="53" spans="1:9" ht="14.25">
      <c r="A53" s="83" t="s">
        <v>2056</v>
      </c>
      <c r="B53" s="137"/>
      <c r="C53" s="137" t="s">
        <v>2058</v>
      </c>
      <c r="D53" s="214">
        <v>30</v>
      </c>
      <c r="E53" s="215">
        <v>42</v>
      </c>
      <c r="F53" s="216">
        <v>1260</v>
      </c>
      <c r="G53" s="604">
        <v>1377</v>
      </c>
      <c r="H53" s="217">
        <v>0.51</v>
      </c>
      <c r="I53" s="83" t="s">
        <v>2057</v>
      </c>
    </row>
    <row r="54" spans="1:9" ht="14.25">
      <c r="A54" s="83" t="s">
        <v>2056</v>
      </c>
      <c r="B54" s="137"/>
      <c r="C54" s="137" t="s">
        <v>2059</v>
      </c>
      <c r="D54" s="214">
        <v>30</v>
      </c>
      <c r="E54" s="215">
        <v>20</v>
      </c>
      <c r="F54" s="216">
        <v>600</v>
      </c>
      <c r="G54" s="604">
        <v>656</v>
      </c>
      <c r="H54" s="217">
        <v>0.51</v>
      </c>
      <c r="I54" s="83" t="s">
        <v>2057</v>
      </c>
    </row>
    <row r="55" spans="1:9" ht="14.25">
      <c r="A55" s="83" t="s">
        <v>2056</v>
      </c>
      <c r="B55" s="137"/>
      <c r="C55" s="137" t="s">
        <v>2060</v>
      </c>
      <c r="D55" s="214">
        <v>30</v>
      </c>
      <c r="E55" s="215">
        <v>161</v>
      </c>
      <c r="F55" s="216">
        <v>4830</v>
      </c>
      <c r="G55" s="604">
        <v>5282</v>
      </c>
      <c r="H55" s="217">
        <v>0.51</v>
      </c>
      <c r="I55" s="83" t="s">
        <v>2057</v>
      </c>
    </row>
    <row r="56" spans="1:9" ht="14.25">
      <c r="I56" s="121"/>
    </row>
    <row r="60" spans="1:9" ht="15">
      <c r="A60" s="79" t="s">
        <v>2035</v>
      </c>
      <c r="B60" s="80" t="s">
        <v>34</v>
      </c>
      <c r="C60" s="603" t="s">
        <v>35</v>
      </c>
      <c r="D60" s="81" t="s">
        <v>2036</v>
      </c>
    </row>
    <row r="61" spans="1:9" ht="14.25">
      <c r="A61" s="45">
        <v>5604</v>
      </c>
      <c r="B61" s="61" t="s">
        <v>207</v>
      </c>
      <c r="C61" s="28">
        <v>10</v>
      </c>
      <c r="D61" s="32">
        <v>0.35</v>
      </c>
    </row>
    <row r="62" spans="1:9" ht="14.25">
      <c r="A62" s="45">
        <v>5604</v>
      </c>
      <c r="B62" s="61" t="s">
        <v>1882</v>
      </c>
      <c r="C62" s="28">
        <v>10</v>
      </c>
      <c r="D62" s="32">
        <v>0.35</v>
      </c>
    </row>
    <row r="63" spans="1:9" ht="14.25">
      <c r="A63" s="45">
        <v>5604</v>
      </c>
      <c r="B63" s="61" t="s">
        <v>2061</v>
      </c>
      <c r="C63" s="28">
        <v>10</v>
      </c>
      <c r="D63" s="32">
        <v>0.35</v>
      </c>
    </row>
    <row r="64" spans="1:9" ht="14.25">
      <c r="A64" s="45"/>
      <c r="B64" s="61" t="s">
        <v>55</v>
      </c>
      <c r="C64" s="28" t="s">
        <v>2062</v>
      </c>
      <c r="D64" s="32">
        <v>15</v>
      </c>
    </row>
    <row r="65" spans="1:5" ht="14.25">
      <c r="A65" s="45"/>
      <c r="B65" s="45" t="s">
        <v>12</v>
      </c>
      <c r="C65" s="28" t="s">
        <v>61</v>
      </c>
      <c r="D65" s="32">
        <v>12</v>
      </c>
    </row>
    <row r="66" spans="1:5" ht="15">
      <c r="B66" s="79" t="s">
        <v>2035</v>
      </c>
      <c r="C66" s="79" t="s">
        <v>33</v>
      </c>
      <c r="D66" s="80" t="s">
        <v>34</v>
      </c>
      <c r="E66" s="603" t="s">
        <v>35</v>
      </c>
    </row>
    <row r="67" spans="1:5" ht="14.25">
      <c r="A67" s="55" t="s">
        <v>2063</v>
      </c>
      <c r="B67" s="45">
        <v>5311</v>
      </c>
      <c r="C67" s="61" t="s">
        <v>8</v>
      </c>
      <c r="D67" s="61" t="s">
        <v>2064</v>
      </c>
      <c r="E67" s="28">
        <v>250</v>
      </c>
    </row>
    <row r="68" spans="1:5" ht="14.25">
      <c r="A68" s="55" t="s">
        <v>2063</v>
      </c>
      <c r="B68" s="45">
        <v>5311</v>
      </c>
      <c r="C68" s="61" t="s">
        <v>8</v>
      </c>
      <c r="D68" s="61" t="s">
        <v>2065</v>
      </c>
      <c r="E68" s="28">
        <v>150</v>
      </c>
    </row>
    <row r="69" spans="1:5" ht="14.25">
      <c r="A69" s="55" t="s">
        <v>2063</v>
      </c>
      <c r="B69" s="45">
        <v>5311</v>
      </c>
      <c r="C69" s="61" t="s">
        <v>8</v>
      </c>
      <c r="D69" s="61" t="s">
        <v>2066</v>
      </c>
      <c r="E69" s="28">
        <v>700</v>
      </c>
    </row>
    <row r="71" spans="1:5" ht="15">
      <c r="A71" s="79" t="s">
        <v>2035</v>
      </c>
      <c r="B71" s="79" t="s">
        <v>33</v>
      </c>
      <c r="C71" s="80" t="s">
        <v>34</v>
      </c>
      <c r="D71" s="603" t="s">
        <v>35</v>
      </c>
    </row>
    <row r="72" spans="1:5" ht="14.25">
      <c r="A72" s="45">
        <v>5311</v>
      </c>
      <c r="B72" s="61" t="s">
        <v>8</v>
      </c>
      <c r="C72" s="61" t="s">
        <v>2064</v>
      </c>
      <c r="D72" s="28">
        <v>600</v>
      </c>
    </row>
    <row r="73" spans="1:5" ht="14.25">
      <c r="A73" s="45">
        <v>5311</v>
      </c>
      <c r="B73" s="61" t="s">
        <v>8</v>
      </c>
      <c r="C73" s="61" t="s">
        <v>2067</v>
      </c>
      <c r="D73" s="28">
        <v>1400</v>
      </c>
    </row>
    <row r="74" spans="1:5" ht="14.25">
      <c r="A74" s="45">
        <v>5311</v>
      </c>
      <c r="B74" s="61" t="s">
        <v>8</v>
      </c>
      <c r="C74" s="61" t="s">
        <v>2065</v>
      </c>
      <c r="D74" s="28">
        <v>2100</v>
      </c>
    </row>
    <row r="75" spans="1:5" ht="14.25">
      <c r="A75" s="45">
        <v>5311</v>
      </c>
      <c r="B75" s="61" t="s">
        <v>8</v>
      </c>
      <c r="C75" s="61" t="s">
        <v>2066</v>
      </c>
      <c r="D75" s="28">
        <v>700</v>
      </c>
    </row>
    <row r="78" spans="1:5" ht="15">
      <c r="A78" s="80" t="s">
        <v>34</v>
      </c>
      <c r="B78" s="81" t="s">
        <v>2040</v>
      </c>
      <c r="C78" s="603" t="s">
        <v>2041</v>
      </c>
      <c r="D78" s="603" t="s">
        <v>112</v>
      </c>
    </row>
    <row r="79" spans="1:5" ht="14.25">
      <c r="A79" s="45" t="s">
        <v>2068</v>
      </c>
      <c r="B79" s="69">
        <v>58</v>
      </c>
      <c r="C79" s="610">
        <v>14</v>
      </c>
      <c r="D79" s="64">
        <v>812</v>
      </c>
    </row>
    <row r="80" spans="1:5" ht="14.25">
      <c r="A80" s="45" t="s">
        <v>2069</v>
      </c>
      <c r="B80" s="69">
        <v>58</v>
      </c>
      <c r="C80" s="610">
        <v>10</v>
      </c>
      <c r="D80" s="64">
        <v>580</v>
      </c>
    </row>
    <row r="83" spans="1:7" ht="15">
      <c r="A83" s="611" t="s">
        <v>77</v>
      </c>
      <c r="B83" s="79" t="s">
        <v>116</v>
      </c>
      <c r="C83" s="79" t="s">
        <v>2035</v>
      </c>
      <c r="D83" s="80" t="s">
        <v>34</v>
      </c>
      <c r="E83" s="81" t="s">
        <v>2040</v>
      </c>
      <c r="F83" s="603" t="s">
        <v>2041</v>
      </c>
      <c r="G83" s="603" t="s">
        <v>112</v>
      </c>
    </row>
    <row r="84" spans="1:7" ht="14.25">
      <c r="A84" s="75" t="s">
        <v>2070</v>
      </c>
      <c r="B84" s="45" t="s">
        <v>2071</v>
      </c>
      <c r="C84" s="45" t="s">
        <v>93</v>
      </c>
      <c r="D84" s="61" t="s">
        <v>177</v>
      </c>
      <c r="E84" s="44">
        <v>13.7</v>
      </c>
      <c r="F84" s="54">
        <v>42</v>
      </c>
      <c r="G84" s="44">
        <v>575.4</v>
      </c>
    </row>
    <row r="85" spans="1:7" ht="14.25">
      <c r="A85" s="75" t="s">
        <v>2070</v>
      </c>
      <c r="B85" s="45" t="s">
        <v>2071</v>
      </c>
      <c r="C85" s="45" t="s">
        <v>93</v>
      </c>
      <c r="D85" s="61" t="s">
        <v>2072</v>
      </c>
      <c r="E85" s="44">
        <v>13.7</v>
      </c>
      <c r="F85" s="54">
        <v>75</v>
      </c>
      <c r="G85" s="44">
        <v>1027.5</v>
      </c>
    </row>
    <row r="86" spans="1:7" ht="14.25">
      <c r="A86" s="75" t="s">
        <v>2070</v>
      </c>
      <c r="B86" s="45" t="s">
        <v>2071</v>
      </c>
      <c r="C86" s="45" t="s">
        <v>93</v>
      </c>
      <c r="D86" s="61" t="s">
        <v>56</v>
      </c>
      <c r="E86" s="44">
        <v>13.7</v>
      </c>
      <c r="F86" s="54">
        <v>216</v>
      </c>
      <c r="G86" s="44">
        <v>2959.2</v>
      </c>
    </row>
    <row r="91" spans="1:7" ht="15">
      <c r="A91" s="79" t="s">
        <v>2035</v>
      </c>
      <c r="B91" s="80" t="s">
        <v>34</v>
      </c>
      <c r="C91" s="81" t="s">
        <v>2040</v>
      </c>
      <c r="D91" s="603" t="s">
        <v>2041</v>
      </c>
      <c r="E91" s="603" t="s">
        <v>112</v>
      </c>
      <c r="F91" s="81" t="s">
        <v>2036</v>
      </c>
    </row>
    <row r="92" spans="1:7" ht="14.25">
      <c r="A92" s="590" t="s">
        <v>2073</v>
      </c>
      <c r="B92" s="61" t="s">
        <v>115</v>
      </c>
      <c r="C92" s="69">
        <v>14</v>
      </c>
      <c r="D92" s="610">
        <v>2</v>
      </c>
      <c r="E92" s="67">
        <f>C92*D92</f>
        <v>28</v>
      </c>
      <c r="F92" s="612">
        <v>1.72</v>
      </c>
    </row>
    <row r="93" spans="1:7" ht="14.25">
      <c r="A93" s="590"/>
      <c r="B93" s="61" t="s">
        <v>12</v>
      </c>
      <c r="C93" s="69"/>
      <c r="D93" s="610" t="s">
        <v>61</v>
      </c>
      <c r="E93" s="67"/>
      <c r="F93" s="612">
        <v>12</v>
      </c>
    </row>
    <row r="96" spans="1:7" ht="15">
      <c r="A96" s="79" t="s">
        <v>2035</v>
      </c>
      <c r="B96" s="80" t="s">
        <v>34</v>
      </c>
      <c r="C96" s="80" t="s">
        <v>35</v>
      </c>
    </row>
    <row r="97" spans="1:7" ht="14.25">
      <c r="A97" s="45" t="s">
        <v>2074</v>
      </c>
      <c r="B97" s="61" t="s">
        <v>56</v>
      </c>
      <c r="C97" s="44">
        <v>5</v>
      </c>
    </row>
    <row r="98" spans="1:7" ht="14.25">
      <c r="A98" s="45" t="s">
        <v>2075</v>
      </c>
      <c r="B98" s="61" t="s">
        <v>56</v>
      </c>
      <c r="C98" s="44">
        <v>5</v>
      </c>
    </row>
    <row r="99" spans="1:7" ht="14.25">
      <c r="A99" s="45"/>
      <c r="B99" s="61"/>
      <c r="C99" s="44"/>
    </row>
    <row r="100" spans="1:7" ht="14.25">
      <c r="A100" s="45"/>
      <c r="B100" s="61"/>
      <c r="C100" s="44"/>
    </row>
    <row r="101" spans="1:7" ht="15.75">
      <c r="A101" s="79" t="s">
        <v>2035</v>
      </c>
      <c r="B101" s="80" t="s">
        <v>34</v>
      </c>
      <c r="C101" s="81" t="s">
        <v>2040</v>
      </c>
      <c r="D101" s="603" t="s">
        <v>2041</v>
      </c>
      <c r="E101" s="603" t="s">
        <v>112</v>
      </c>
      <c r="F101" s="81" t="s">
        <v>143</v>
      </c>
      <c r="G101" s="613" t="s">
        <v>2076</v>
      </c>
    </row>
    <row r="102" spans="1:7" ht="15.75">
      <c r="A102" s="45" t="s">
        <v>145</v>
      </c>
      <c r="B102" s="61" t="s">
        <v>56</v>
      </c>
      <c r="C102" s="44"/>
      <c r="D102" s="54"/>
      <c r="E102" s="44">
        <v>250</v>
      </c>
      <c r="F102" s="614" t="s">
        <v>2077</v>
      </c>
      <c r="G102" s="615" t="s">
        <v>2078</v>
      </c>
    </row>
    <row r="103" spans="1:7" ht="15.75">
      <c r="A103" s="45" t="s">
        <v>2079</v>
      </c>
      <c r="B103" s="61" t="s">
        <v>115</v>
      </c>
      <c r="C103" s="44">
        <v>13.7</v>
      </c>
      <c r="D103" s="54">
        <v>2</v>
      </c>
      <c r="E103" s="44">
        <v>27.4</v>
      </c>
      <c r="F103" s="614" t="s">
        <v>2077</v>
      </c>
      <c r="G103" s="613" t="s">
        <v>2080</v>
      </c>
    </row>
    <row r="104" spans="1:7" ht="14.25">
      <c r="A104" s="45" t="s">
        <v>201</v>
      </c>
      <c r="B104" s="61" t="s">
        <v>115</v>
      </c>
      <c r="C104" s="44">
        <v>14</v>
      </c>
      <c r="D104" s="54">
        <v>57</v>
      </c>
      <c r="E104" s="44">
        <v>798</v>
      </c>
      <c r="F104" s="614" t="s">
        <v>2077</v>
      </c>
      <c r="G104" s="615" t="s">
        <v>2081</v>
      </c>
    </row>
    <row r="105" spans="1:7" ht="15.75">
      <c r="A105" s="45" t="s">
        <v>276</v>
      </c>
      <c r="B105" s="61" t="s">
        <v>2044</v>
      </c>
      <c r="C105" s="44">
        <v>14</v>
      </c>
      <c r="D105" s="54">
        <v>100</v>
      </c>
      <c r="E105" s="44">
        <f>D105*C105</f>
        <v>1400</v>
      </c>
      <c r="F105" s="614" t="s">
        <v>2077</v>
      </c>
      <c r="G105" s="613"/>
    </row>
    <row r="106" spans="1:7" ht="15.75">
      <c r="A106" s="45" t="s">
        <v>276</v>
      </c>
      <c r="B106" s="61" t="s">
        <v>2044</v>
      </c>
      <c r="C106" s="44">
        <v>14</v>
      </c>
      <c r="D106" s="54">
        <v>165</v>
      </c>
      <c r="E106" s="44">
        <f>D106*C106</f>
        <v>2310</v>
      </c>
      <c r="F106" s="614" t="s">
        <v>2082</v>
      </c>
      <c r="G106" s="613"/>
    </row>
    <row r="107" spans="1:7" ht="15.75">
      <c r="G107" s="613" t="s">
        <v>2083</v>
      </c>
    </row>
    <row r="108" spans="1:7" ht="15">
      <c r="A108" s="79" t="s">
        <v>2035</v>
      </c>
      <c r="B108" s="80" t="s">
        <v>34</v>
      </c>
      <c r="C108" s="81" t="s">
        <v>2040</v>
      </c>
      <c r="D108" s="603" t="s">
        <v>2041</v>
      </c>
      <c r="E108" s="603" t="s">
        <v>112</v>
      </c>
    </row>
    <row r="109" spans="1:7" ht="14.25">
      <c r="A109" s="45" t="s">
        <v>93</v>
      </c>
      <c r="B109" s="61" t="s">
        <v>2084</v>
      </c>
      <c r="C109" s="44">
        <v>13.7</v>
      </c>
      <c r="D109" s="54">
        <v>3</v>
      </c>
      <c r="E109" s="44">
        <v>41.099999999999994</v>
      </c>
    </row>
    <row r="110" spans="1:7" ht="14.25">
      <c r="A110" s="45" t="s">
        <v>93</v>
      </c>
      <c r="B110" s="61" t="s">
        <v>2085</v>
      </c>
      <c r="C110" s="44">
        <v>13.7</v>
      </c>
      <c r="D110" s="54">
        <v>13</v>
      </c>
      <c r="E110" s="44">
        <v>178.1</v>
      </c>
    </row>
    <row r="113" spans="1:8" ht="15">
      <c r="A113" s="611" t="s">
        <v>77</v>
      </c>
      <c r="B113" s="79" t="s">
        <v>2035</v>
      </c>
      <c r="C113" s="79" t="s">
        <v>33</v>
      </c>
      <c r="D113" s="80" t="s">
        <v>34</v>
      </c>
      <c r="E113" s="81" t="s">
        <v>2040</v>
      </c>
      <c r="F113" s="603" t="s">
        <v>2041</v>
      </c>
      <c r="G113" s="603" t="s">
        <v>112</v>
      </c>
      <c r="H113" s="81" t="s">
        <v>2036</v>
      </c>
    </row>
    <row r="114" spans="1:8" ht="14.25">
      <c r="A114" s="55" t="s">
        <v>2086</v>
      </c>
      <c r="B114" s="45" t="s">
        <v>6</v>
      </c>
      <c r="C114" s="53">
        <v>160</v>
      </c>
      <c r="D114" s="45" t="s">
        <v>2087</v>
      </c>
      <c r="E114" s="44">
        <v>50</v>
      </c>
      <c r="F114" s="54">
        <v>3</v>
      </c>
      <c r="G114" s="44">
        <v>150</v>
      </c>
      <c r="H114" s="32">
        <v>3.88</v>
      </c>
    </row>
    <row r="115" spans="1:8" ht="14.25">
      <c r="A115" s="55" t="s">
        <v>2086</v>
      </c>
      <c r="B115" s="45" t="s">
        <v>6</v>
      </c>
      <c r="C115" s="53">
        <v>160</v>
      </c>
      <c r="D115" s="45" t="s">
        <v>2087</v>
      </c>
      <c r="E115" s="44">
        <v>46</v>
      </c>
      <c r="F115" s="54">
        <v>1</v>
      </c>
      <c r="G115" s="44">
        <v>46</v>
      </c>
      <c r="H115" s="32">
        <v>3.88</v>
      </c>
    </row>
    <row r="116" spans="1:8" ht="14.25">
      <c r="A116" s="55" t="s">
        <v>2086</v>
      </c>
      <c r="B116" s="45" t="s">
        <v>6</v>
      </c>
      <c r="C116" s="53">
        <v>160</v>
      </c>
      <c r="D116" s="45" t="s">
        <v>2088</v>
      </c>
      <c r="E116" s="44">
        <v>50</v>
      </c>
      <c r="F116" s="54">
        <v>6</v>
      </c>
      <c r="G116" s="44">
        <v>300</v>
      </c>
      <c r="H116" s="32">
        <v>3.88</v>
      </c>
    </row>
    <row r="117" spans="1:8" ht="14.25">
      <c r="A117" s="55" t="s">
        <v>2086</v>
      </c>
      <c r="B117" s="45" t="s">
        <v>6</v>
      </c>
      <c r="C117" s="53">
        <v>160</v>
      </c>
      <c r="D117" s="45" t="s">
        <v>2089</v>
      </c>
      <c r="E117" s="44">
        <v>50</v>
      </c>
      <c r="F117" s="54">
        <v>5</v>
      </c>
      <c r="G117" s="44">
        <v>250</v>
      </c>
      <c r="H117" s="32">
        <v>3.88</v>
      </c>
    </row>
    <row r="118" spans="1:8" ht="15.75">
      <c r="F118" s="613"/>
    </row>
    <row r="119" spans="1:8" ht="14.25">
      <c r="F119" s="616"/>
    </row>
    <row r="120" spans="1:8" ht="15">
      <c r="A120" s="79" t="s">
        <v>2035</v>
      </c>
      <c r="B120" s="79" t="s">
        <v>33</v>
      </c>
      <c r="C120" s="80" t="s">
        <v>34</v>
      </c>
      <c r="D120" s="81" t="s">
        <v>2040</v>
      </c>
      <c r="E120" s="603" t="s">
        <v>2041</v>
      </c>
      <c r="F120" s="603" t="s">
        <v>112</v>
      </c>
    </row>
    <row r="121" spans="1:8" ht="14.25">
      <c r="A121" s="45" t="s">
        <v>6</v>
      </c>
      <c r="B121" s="53">
        <v>160</v>
      </c>
      <c r="C121" s="45" t="s">
        <v>2090</v>
      </c>
      <c r="D121" s="44">
        <v>50</v>
      </c>
      <c r="E121" s="54">
        <v>1</v>
      </c>
      <c r="F121" s="44">
        <v>50</v>
      </c>
    </row>
    <row r="122" spans="1:8" ht="14.25">
      <c r="A122" s="45" t="s">
        <v>57</v>
      </c>
      <c r="B122" s="53">
        <v>160</v>
      </c>
      <c r="C122" s="45" t="s">
        <v>148</v>
      </c>
      <c r="D122" s="44">
        <v>35</v>
      </c>
      <c r="E122" s="44">
        <v>35</v>
      </c>
      <c r="F122" s="44">
        <v>35</v>
      </c>
    </row>
    <row r="125" spans="1:8" ht="15">
      <c r="A125" s="611" t="s">
        <v>77</v>
      </c>
      <c r="B125" s="79" t="s">
        <v>2035</v>
      </c>
      <c r="C125" s="80" t="s">
        <v>34</v>
      </c>
      <c r="D125" s="81" t="s">
        <v>2040</v>
      </c>
      <c r="E125" s="603" t="s">
        <v>2041</v>
      </c>
      <c r="F125" s="603" t="s">
        <v>112</v>
      </c>
    </row>
    <row r="126" spans="1:8" ht="14.25">
      <c r="A126" s="55" t="s">
        <v>2091</v>
      </c>
      <c r="B126" s="45" t="s">
        <v>2092</v>
      </c>
      <c r="C126" s="61" t="s">
        <v>37</v>
      </c>
      <c r="D126" s="44">
        <v>13.7</v>
      </c>
      <c r="E126" s="54">
        <v>5</v>
      </c>
      <c r="F126" s="44">
        <v>68.5</v>
      </c>
    </row>
    <row r="127" spans="1:8" ht="14.25">
      <c r="A127" s="55" t="s">
        <v>2091</v>
      </c>
      <c r="B127" s="45" t="s">
        <v>2092</v>
      </c>
      <c r="C127" s="61" t="s">
        <v>2093</v>
      </c>
      <c r="D127" s="44">
        <v>13.7</v>
      </c>
      <c r="E127" s="54">
        <v>13</v>
      </c>
      <c r="F127" s="44">
        <v>178.1</v>
      </c>
    </row>
    <row r="131" spans="1:7" ht="15">
      <c r="A131" s="79" t="s">
        <v>2035</v>
      </c>
      <c r="B131" s="80" t="s">
        <v>34</v>
      </c>
      <c r="C131" s="81" t="s">
        <v>2040</v>
      </c>
      <c r="D131" s="603" t="s">
        <v>2041</v>
      </c>
      <c r="E131" s="603" t="s">
        <v>112</v>
      </c>
    </row>
    <row r="132" spans="1:7" ht="14.25">
      <c r="A132" s="45" t="s">
        <v>2094</v>
      </c>
      <c r="B132" s="61" t="s">
        <v>121</v>
      </c>
      <c r="C132" s="44">
        <v>13.7</v>
      </c>
      <c r="D132" s="54">
        <v>1</v>
      </c>
      <c r="E132" s="44">
        <v>13.7</v>
      </c>
    </row>
    <row r="133" spans="1:7" ht="14.25">
      <c r="A133" s="45" t="s">
        <v>2020</v>
      </c>
      <c r="B133" s="61" t="s">
        <v>2008</v>
      </c>
      <c r="C133" s="44">
        <v>13.7</v>
      </c>
      <c r="D133" s="54">
        <v>2</v>
      </c>
      <c r="E133" s="44">
        <v>27.4</v>
      </c>
    </row>
    <row r="136" spans="1:7" ht="14.25">
      <c r="A136" s="45">
        <v>3920</v>
      </c>
      <c r="B136" s="61">
        <v>15</v>
      </c>
      <c r="C136" s="61" t="s">
        <v>2095</v>
      </c>
      <c r="D136" s="28">
        <v>30</v>
      </c>
    </row>
    <row r="137" spans="1:7" ht="14.25">
      <c r="A137" s="45">
        <v>3920</v>
      </c>
      <c r="B137" s="61">
        <v>15</v>
      </c>
      <c r="C137" s="61" t="s">
        <v>2096</v>
      </c>
      <c r="D137" s="28">
        <v>30</v>
      </c>
    </row>
    <row r="138" spans="1:7" ht="14.25">
      <c r="A138" s="45">
        <v>3920</v>
      </c>
      <c r="B138" s="61">
        <v>15</v>
      </c>
      <c r="C138" s="61" t="s">
        <v>2022</v>
      </c>
      <c r="D138" s="28">
        <v>30</v>
      </c>
    </row>
    <row r="139" spans="1:7" ht="14.25">
      <c r="A139" s="45">
        <v>3920</v>
      </c>
      <c r="B139" s="61">
        <v>15</v>
      </c>
      <c r="C139" s="61" t="s">
        <v>2097</v>
      </c>
      <c r="D139" s="28">
        <v>30</v>
      </c>
    </row>
    <row r="143" spans="1:7" ht="15">
      <c r="A143" s="79" t="s">
        <v>2035</v>
      </c>
      <c r="B143" s="79" t="s">
        <v>33</v>
      </c>
      <c r="C143" s="80" t="s">
        <v>34</v>
      </c>
      <c r="D143" s="81" t="s">
        <v>2040</v>
      </c>
      <c r="E143" s="603" t="s">
        <v>2041</v>
      </c>
      <c r="F143" s="603" t="s">
        <v>112</v>
      </c>
      <c r="G143" s="81" t="s">
        <v>2098</v>
      </c>
    </row>
    <row r="144" spans="1:7" ht="14.25">
      <c r="A144" s="45">
        <v>12701</v>
      </c>
      <c r="B144" s="61">
        <v>6</v>
      </c>
      <c r="C144" s="45" t="s">
        <v>2099</v>
      </c>
      <c r="D144" s="28">
        <v>10</v>
      </c>
      <c r="E144" s="29">
        <v>1</v>
      </c>
      <c r="F144" s="28">
        <v>10</v>
      </c>
      <c r="G144" s="32">
        <v>3.91</v>
      </c>
    </row>
    <row r="145" spans="1:7" ht="14.25">
      <c r="A145" s="45">
        <v>12701</v>
      </c>
      <c r="B145" s="61">
        <v>9</v>
      </c>
      <c r="C145" s="45" t="s">
        <v>1885</v>
      </c>
      <c r="D145" s="28">
        <v>10</v>
      </c>
      <c r="E145" s="29">
        <v>1</v>
      </c>
      <c r="F145" s="28">
        <v>10</v>
      </c>
      <c r="G145" s="32">
        <v>4.4000000000000004</v>
      </c>
    </row>
    <row r="146" spans="1:7" ht="14.25">
      <c r="A146" s="45">
        <v>12701</v>
      </c>
      <c r="B146" s="61">
        <v>9</v>
      </c>
      <c r="C146" s="45" t="s">
        <v>197</v>
      </c>
      <c r="D146" s="28">
        <v>10</v>
      </c>
      <c r="E146" s="29">
        <v>1</v>
      </c>
      <c r="F146" s="28">
        <v>10</v>
      </c>
      <c r="G146" s="32">
        <v>4.4000000000000004</v>
      </c>
    </row>
    <row r="147" spans="1:7" ht="14.25">
      <c r="A147" s="45">
        <v>12701</v>
      </c>
      <c r="B147" s="61">
        <v>9</v>
      </c>
      <c r="C147" s="45" t="s">
        <v>2028</v>
      </c>
      <c r="D147" s="28">
        <v>10</v>
      </c>
      <c r="E147" s="29">
        <v>1</v>
      </c>
      <c r="F147" s="28">
        <v>10</v>
      </c>
      <c r="G147" s="32">
        <v>4.4000000000000004</v>
      </c>
    </row>
    <row r="148" spans="1:7" ht="14.25">
      <c r="A148" s="45">
        <v>12701</v>
      </c>
      <c r="B148" s="61">
        <v>38</v>
      </c>
      <c r="C148" s="45" t="s">
        <v>2028</v>
      </c>
      <c r="D148" s="28">
        <v>10</v>
      </c>
      <c r="E148" s="29">
        <v>1</v>
      </c>
      <c r="F148" s="28">
        <v>10</v>
      </c>
      <c r="G148" s="32">
        <v>13.5</v>
      </c>
    </row>
    <row r="149" spans="1:7" ht="14.25">
      <c r="A149" s="71">
        <v>12701</v>
      </c>
      <c r="B149" s="617">
        <v>50</v>
      </c>
      <c r="C149" s="45" t="s">
        <v>2099</v>
      </c>
      <c r="D149" s="28">
        <v>10</v>
      </c>
      <c r="E149" s="29">
        <v>1</v>
      </c>
      <c r="F149" s="28">
        <v>10</v>
      </c>
      <c r="G149" s="32">
        <v>17.8</v>
      </c>
    </row>
    <row r="150" spans="1:7" ht="14.25">
      <c r="A150" s="52" t="s">
        <v>1883</v>
      </c>
      <c r="B150" s="61"/>
      <c r="C150" s="45"/>
      <c r="D150" s="28"/>
      <c r="E150" s="29"/>
      <c r="F150" s="28"/>
      <c r="G150" s="60"/>
    </row>
    <row r="151" spans="1:7" ht="14.25">
      <c r="A151" s="45">
        <v>11700</v>
      </c>
      <c r="B151" s="61">
        <v>48</v>
      </c>
      <c r="C151" s="45" t="s">
        <v>114</v>
      </c>
      <c r="D151" s="28">
        <v>10</v>
      </c>
      <c r="E151" s="29">
        <v>1</v>
      </c>
      <c r="F151" s="28">
        <v>10</v>
      </c>
      <c r="G151" s="32">
        <v>49.32</v>
      </c>
    </row>
    <row r="154" spans="1:7" ht="15">
      <c r="A154" s="79" t="s">
        <v>2035</v>
      </c>
      <c r="B154" s="80" t="s">
        <v>34</v>
      </c>
      <c r="C154" s="81" t="s">
        <v>2040</v>
      </c>
      <c r="D154" s="603" t="s">
        <v>2041</v>
      </c>
      <c r="E154" s="603" t="s">
        <v>112</v>
      </c>
      <c r="F154" s="88" t="s">
        <v>162</v>
      </c>
    </row>
    <row r="155" spans="1:7" ht="14.25">
      <c r="A155" s="45" t="s">
        <v>1939</v>
      </c>
      <c r="B155" s="61" t="s">
        <v>56</v>
      </c>
      <c r="C155" s="44">
        <v>13.7</v>
      </c>
      <c r="D155" s="54">
        <v>3</v>
      </c>
      <c r="E155" s="44">
        <f t="shared" ref="E155:E161" si="0">C155*D155</f>
        <v>41.099999999999994</v>
      </c>
      <c r="F155" s="618">
        <v>295</v>
      </c>
    </row>
    <row r="156" spans="1:7" ht="14.25">
      <c r="A156" s="45" t="s">
        <v>2100</v>
      </c>
      <c r="B156" s="61" t="s">
        <v>56</v>
      </c>
      <c r="C156" s="44">
        <v>13.7</v>
      </c>
      <c r="D156" s="54">
        <v>3</v>
      </c>
      <c r="E156" s="44">
        <f t="shared" si="0"/>
        <v>41.099999999999994</v>
      </c>
      <c r="F156" s="618">
        <v>210</v>
      </c>
    </row>
    <row r="157" spans="1:7" ht="14.25">
      <c r="A157" s="45" t="s">
        <v>2101</v>
      </c>
      <c r="B157" s="61" t="s">
        <v>56</v>
      </c>
      <c r="C157" s="44">
        <v>13.7</v>
      </c>
      <c r="D157" s="54">
        <v>2</v>
      </c>
      <c r="E157" s="44">
        <f t="shared" si="0"/>
        <v>27.4</v>
      </c>
      <c r="F157" s="618">
        <v>510</v>
      </c>
    </row>
    <row r="158" spans="1:7" ht="14.25">
      <c r="A158" s="45" t="s">
        <v>2102</v>
      </c>
      <c r="B158" s="61" t="s">
        <v>56</v>
      </c>
      <c r="C158" s="44">
        <v>13.7</v>
      </c>
      <c r="D158" s="54">
        <v>2</v>
      </c>
      <c r="E158" s="44">
        <f t="shared" si="0"/>
        <v>27.4</v>
      </c>
      <c r="F158" s="618">
        <v>441</v>
      </c>
    </row>
    <row r="159" spans="1:7" ht="14.25">
      <c r="A159" s="45" t="s">
        <v>2103</v>
      </c>
      <c r="B159" s="61" t="s">
        <v>56</v>
      </c>
      <c r="C159" s="44">
        <v>13.7</v>
      </c>
      <c r="D159" s="54">
        <v>2</v>
      </c>
      <c r="E159" s="44">
        <f t="shared" si="0"/>
        <v>27.4</v>
      </c>
      <c r="F159" s="618">
        <v>164</v>
      </c>
    </row>
    <row r="160" spans="1:7" ht="14.25">
      <c r="A160" s="45" t="s">
        <v>2104</v>
      </c>
      <c r="B160" s="61" t="s">
        <v>56</v>
      </c>
      <c r="C160" s="44">
        <v>13.7</v>
      </c>
      <c r="D160" s="54">
        <v>2</v>
      </c>
      <c r="E160" s="44">
        <f t="shared" si="0"/>
        <v>27.4</v>
      </c>
      <c r="F160" s="618">
        <v>101</v>
      </c>
    </row>
    <row r="161" spans="1:8" ht="14.25">
      <c r="A161" s="45" t="s">
        <v>159</v>
      </c>
      <c r="B161" s="61" t="s">
        <v>56</v>
      </c>
      <c r="C161" s="44">
        <v>13.7</v>
      </c>
      <c r="D161" s="54">
        <v>2</v>
      </c>
      <c r="E161" s="44">
        <f t="shared" si="0"/>
        <v>27.4</v>
      </c>
      <c r="F161" s="618">
        <v>242</v>
      </c>
    </row>
    <row r="164" spans="1:8" ht="15">
      <c r="A164" s="79" t="s">
        <v>2035</v>
      </c>
      <c r="B164" s="80" t="s">
        <v>34</v>
      </c>
      <c r="C164" s="81" t="s">
        <v>2040</v>
      </c>
      <c r="D164" s="603" t="s">
        <v>2041</v>
      </c>
      <c r="E164" s="603" t="s">
        <v>112</v>
      </c>
      <c r="F164" s="88" t="s">
        <v>162</v>
      </c>
    </row>
    <row r="165" spans="1:8" ht="14.25">
      <c r="A165" s="45" t="s">
        <v>2102</v>
      </c>
      <c r="B165" s="61" t="s">
        <v>56</v>
      </c>
      <c r="C165" s="44">
        <v>13.7</v>
      </c>
      <c r="D165" s="54">
        <v>2</v>
      </c>
      <c r="E165" s="44">
        <v>27.4</v>
      </c>
      <c r="F165" s="618">
        <v>441</v>
      </c>
    </row>
    <row r="166" spans="1:8" ht="14.25">
      <c r="A166" s="45" t="s">
        <v>2103</v>
      </c>
      <c r="B166" s="61" t="s">
        <v>56</v>
      </c>
      <c r="C166" s="44">
        <v>13.7</v>
      </c>
      <c r="D166" s="54">
        <v>2</v>
      </c>
      <c r="E166" s="44">
        <v>27.4</v>
      </c>
      <c r="F166" s="618">
        <v>164</v>
      </c>
    </row>
    <row r="167" spans="1:8" ht="14.25">
      <c r="A167" s="45" t="s">
        <v>2104</v>
      </c>
      <c r="B167" s="61" t="s">
        <v>56</v>
      </c>
      <c r="C167" s="44">
        <v>13.7</v>
      </c>
      <c r="D167" s="54">
        <v>2</v>
      </c>
      <c r="E167" s="44">
        <v>27.4</v>
      </c>
      <c r="F167" s="618">
        <v>101</v>
      </c>
    </row>
    <row r="168" spans="1:8" ht="14.25">
      <c r="A168" s="45" t="s">
        <v>159</v>
      </c>
      <c r="B168" s="61" t="s">
        <v>56</v>
      </c>
      <c r="C168" s="44">
        <v>13.7</v>
      </c>
      <c r="D168" s="54">
        <v>2</v>
      </c>
      <c r="E168" s="44">
        <v>27.4</v>
      </c>
      <c r="F168" s="618">
        <v>242</v>
      </c>
    </row>
    <row r="171" spans="1:8" ht="14.25">
      <c r="A171" s="45" t="s">
        <v>1944</v>
      </c>
      <c r="B171" s="28">
        <v>42</v>
      </c>
    </row>
    <row r="172" spans="1:8" ht="14.25">
      <c r="A172" s="45" t="s">
        <v>2105</v>
      </c>
      <c r="B172" s="28">
        <v>46</v>
      </c>
    </row>
    <row r="175" spans="1:8" ht="15">
      <c r="A175" s="611" t="s">
        <v>77</v>
      </c>
      <c r="B175" s="79" t="s">
        <v>2035</v>
      </c>
      <c r="C175" s="79" t="s">
        <v>33</v>
      </c>
      <c r="D175" s="80" t="s">
        <v>34</v>
      </c>
      <c r="E175" s="81" t="s">
        <v>2040</v>
      </c>
      <c r="F175" s="603" t="s">
        <v>2041</v>
      </c>
      <c r="G175" s="603" t="s">
        <v>112</v>
      </c>
      <c r="H175" s="81" t="s">
        <v>2098</v>
      </c>
    </row>
    <row r="176" spans="1:8" ht="14.25">
      <c r="A176" s="75" t="s">
        <v>2106</v>
      </c>
      <c r="B176" s="45" t="s">
        <v>2107</v>
      </c>
      <c r="C176" s="61">
        <v>25</v>
      </c>
      <c r="D176" s="61" t="s">
        <v>2108</v>
      </c>
      <c r="E176" s="28">
        <v>30</v>
      </c>
      <c r="F176" s="54">
        <v>8</v>
      </c>
      <c r="G176" s="28">
        <v>240</v>
      </c>
      <c r="H176" s="32">
        <v>0.85</v>
      </c>
    </row>
    <row r="177" spans="1:8" ht="14.25">
      <c r="A177" s="75" t="s">
        <v>2109</v>
      </c>
      <c r="B177" s="45" t="s">
        <v>2107</v>
      </c>
      <c r="C177" s="61">
        <v>25</v>
      </c>
      <c r="D177" s="61" t="s">
        <v>2108</v>
      </c>
      <c r="E177" s="28">
        <v>30</v>
      </c>
      <c r="F177" s="54">
        <v>2</v>
      </c>
      <c r="G177" s="28">
        <v>60</v>
      </c>
      <c r="H177" s="32">
        <v>0.85</v>
      </c>
    </row>
    <row r="178" spans="1:8" ht="14.25">
      <c r="A178" s="75" t="s">
        <v>2110</v>
      </c>
      <c r="B178" s="45" t="s">
        <v>2107</v>
      </c>
      <c r="C178" s="61">
        <v>25</v>
      </c>
      <c r="D178" s="61" t="s">
        <v>2108</v>
      </c>
      <c r="E178" s="28">
        <v>30</v>
      </c>
      <c r="F178" s="54">
        <v>1</v>
      </c>
      <c r="G178" s="28">
        <v>30</v>
      </c>
      <c r="H178" s="32">
        <v>0.85</v>
      </c>
    </row>
    <row r="182" spans="1:8" ht="15">
      <c r="A182" s="611" t="s">
        <v>77</v>
      </c>
      <c r="B182" s="79" t="s">
        <v>2035</v>
      </c>
      <c r="C182" s="80" t="s">
        <v>34</v>
      </c>
      <c r="D182" s="603" t="s">
        <v>112</v>
      </c>
      <c r="E182" s="81" t="s">
        <v>2036</v>
      </c>
    </row>
    <row r="183" spans="1:8" ht="14.25">
      <c r="A183" s="75" t="s">
        <v>2111</v>
      </c>
      <c r="B183" s="45" t="s">
        <v>2112</v>
      </c>
      <c r="C183" s="61" t="s">
        <v>2113</v>
      </c>
      <c r="D183" s="44">
        <v>20</v>
      </c>
      <c r="E183" s="32">
        <v>4.17</v>
      </c>
    </row>
    <row r="184" spans="1:8" ht="14.25">
      <c r="A184" s="75" t="s">
        <v>2111</v>
      </c>
      <c r="B184" s="45" t="s">
        <v>2112</v>
      </c>
      <c r="C184" s="61" t="s">
        <v>2114</v>
      </c>
      <c r="D184" s="44">
        <v>20</v>
      </c>
      <c r="E184" s="32">
        <v>4.17</v>
      </c>
    </row>
    <row r="185" spans="1:8" ht="14.25">
      <c r="A185" s="75" t="s">
        <v>2111</v>
      </c>
      <c r="B185" s="45"/>
      <c r="C185" s="45" t="s">
        <v>2115</v>
      </c>
      <c r="D185" s="28" t="s">
        <v>104</v>
      </c>
      <c r="E185" s="32">
        <v>150</v>
      </c>
    </row>
    <row r="186" spans="1:8" ht="14.25">
      <c r="A186" s="75" t="s">
        <v>2111</v>
      </c>
      <c r="B186" s="45" t="s">
        <v>2116</v>
      </c>
      <c r="C186" s="61" t="s">
        <v>56</v>
      </c>
      <c r="D186" s="44">
        <v>25</v>
      </c>
      <c r="E186" s="32">
        <v>2.7</v>
      </c>
    </row>
    <row r="187" spans="1:8" ht="14.25">
      <c r="A187" s="75" t="s">
        <v>2111</v>
      </c>
      <c r="B187" s="45" t="s">
        <v>2116</v>
      </c>
      <c r="C187" s="61" t="s">
        <v>2117</v>
      </c>
      <c r="D187" s="44">
        <v>25</v>
      </c>
      <c r="E187" s="32">
        <v>2.7</v>
      </c>
    </row>
    <row r="188" spans="1:8" ht="14.25">
      <c r="A188" s="75" t="s">
        <v>2111</v>
      </c>
      <c r="B188" s="45"/>
      <c r="C188" s="45" t="s">
        <v>2118</v>
      </c>
      <c r="D188" s="28" t="s">
        <v>104</v>
      </c>
      <c r="E188" s="32">
        <v>75</v>
      </c>
    </row>
    <row r="189" spans="1:8" ht="14.25">
      <c r="A189" s="75" t="s">
        <v>2111</v>
      </c>
      <c r="B189" s="45" t="s">
        <v>2119</v>
      </c>
      <c r="C189" s="61" t="s">
        <v>56</v>
      </c>
      <c r="D189" s="44">
        <v>25</v>
      </c>
      <c r="E189" s="32">
        <v>2.95</v>
      </c>
    </row>
    <row r="190" spans="1:8" ht="14.25">
      <c r="A190" s="75" t="s">
        <v>2111</v>
      </c>
      <c r="B190" s="45" t="s">
        <v>2119</v>
      </c>
      <c r="C190" s="61" t="s">
        <v>2117</v>
      </c>
      <c r="D190" s="44">
        <v>25</v>
      </c>
      <c r="E190" s="32">
        <v>2.95</v>
      </c>
    </row>
    <row r="191" spans="1:8" ht="14.25">
      <c r="A191" s="75" t="s">
        <v>2111</v>
      </c>
      <c r="B191" s="45" t="s">
        <v>2120</v>
      </c>
      <c r="C191" s="61" t="s">
        <v>56</v>
      </c>
      <c r="D191" s="44">
        <v>25</v>
      </c>
      <c r="E191" s="32">
        <v>3.47</v>
      </c>
    </row>
    <row r="192" spans="1:8" ht="14.25">
      <c r="A192" s="75" t="s">
        <v>2111</v>
      </c>
      <c r="B192" s="45" t="s">
        <v>2120</v>
      </c>
      <c r="C192" s="61" t="s">
        <v>2114</v>
      </c>
      <c r="D192" s="44">
        <v>25</v>
      </c>
      <c r="E192" s="32">
        <v>3.47</v>
      </c>
    </row>
    <row r="193" spans="1:6" ht="14.25">
      <c r="A193" s="75" t="s">
        <v>2111</v>
      </c>
      <c r="B193" s="45"/>
      <c r="C193" s="45" t="s">
        <v>2121</v>
      </c>
      <c r="D193" s="28" t="s">
        <v>61</v>
      </c>
      <c r="E193" s="32">
        <v>115</v>
      </c>
    </row>
    <row r="194" spans="1:6" ht="14.25">
      <c r="A194" s="75" t="s">
        <v>2111</v>
      </c>
      <c r="B194" s="45" t="s">
        <v>2122</v>
      </c>
      <c r="C194" s="61" t="s">
        <v>56</v>
      </c>
      <c r="D194" s="44">
        <v>27.4</v>
      </c>
      <c r="E194" s="32">
        <v>5.5</v>
      </c>
    </row>
    <row r="195" spans="1:6" ht="14.25">
      <c r="A195" s="75" t="s">
        <v>2111</v>
      </c>
      <c r="B195" s="45" t="s">
        <v>2122</v>
      </c>
      <c r="C195" s="61" t="s">
        <v>115</v>
      </c>
      <c r="D195" s="44">
        <v>27.4</v>
      </c>
      <c r="E195" s="32">
        <v>5.5</v>
      </c>
    </row>
    <row r="196" spans="1:6" ht="14.25">
      <c r="A196" s="75" t="s">
        <v>2111</v>
      </c>
      <c r="B196" s="45"/>
      <c r="C196" s="45" t="s">
        <v>2123</v>
      </c>
      <c r="D196" s="28" t="s">
        <v>61</v>
      </c>
      <c r="E196" s="32">
        <v>100</v>
      </c>
    </row>
    <row r="197" spans="1:6" ht="14.25">
      <c r="A197" s="75" t="s">
        <v>2111</v>
      </c>
      <c r="B197" s="45" t="s">
        <v>2124</v>
      </c>
      <c r="C197" s="61" t="s">
        <v>56</v>
      </c>
      <c r="D197" s="44">
        <v>28</v>
      </c>
      <c r="E197" s="32">
        <v>2.19</v>
      </c>
    </row>
    <row r="198" spans="1:6" ht="14.25">
      <c r="A198" s="75" t="s">
        <v>2111</v>
      </c>
      <c r="B198" s="45" t="s">
        <v>2124</v>
      </c>
      <c r="C198" s="61" t="s">
        <v>115</v>
      </c>
      <c r="D198" s="44">
        <v>28</v>
      </c>
      <c r="E198" s="32">
        <v>2.19</v>
      </c>
    </row>
    <row r="199" spans="1:6" ht="14.25">
      <c r="A199" s="75" t="s">
        <v>2111</v>
      </c>
      <c r="B199" s="45"/>
      <c r="C199" s="45" t="s">
        <v>2125</v>
      </c>
      <c r="D199" s="28" t="s">
        <v>61</v>
      </c>
      <c r="E199" s="32">
        <v>100</v>
      </c>
    </row>
    <row r="200" spans="1:6" ht="14.25">
      <c r="A200" s="75" t="s">
        <v>2111</v>
      </c>
      <c r="B200" s="45" t="s">
        <v>259</v>
      </c>
      <c r="C200" s="61" t="s">
        <v>56</v>
      </c>
      <c r="D200" s="44">
        <v>28</v>
      </c>
      <c r="E200" s="32">
        <v>2.4500000000000002</v>
      </c>
    </row>
    <row r="201" spans="1:6" ht="14.25">
      <c r="A201" s="75" t="s">
        <v>2111</v>
      </c>
      <c r="B201" s="45" t="s">
        <v>259</v>
      </c>
      <c r="C201" s="61" t="s">
        <v>115</v>
      </c>
      <c r="D201" s="44">
        <v>28</v>
      </c>
      <c r="E201" s="32">
        <v>2.4500000000000002</v>
      </c>
    </row>
    <row r="202" spans="1:6" ht="14.25">
      <c r="A202" s="75" t="s">
        <v>2111</v>
      </c>
      <c r="B202" s="45"/>
      <c r="C202" s="45" t="s">
        <v>2126</v>
      </c>
      <c r="D202" s="28" t="s">
        <v>61</v>
      </c>
      <c r="E202" s="32">
        <v>100</v>
      </c>
    </row>
    <row r="204" spans="1:6" ht="15">
      <c r="A204" s="79" t="s">
        <v>2035</v>
      </c>
      <c r="B204" s="79" t="s">
        <v>33</v>
      </c>
      <c r="C204" s="80" t="s">
        <v>34</v>
      </c>
      <c r="D204" s="81" t="s">
        <v>2040</v>
      </c>
      <c r="E204" s="603" t="s">
        <v>2041</v>
      </c>
      <c r="F204" s="603" t="s">
        <v>112</v>
      </c>
    </row>
    <row r="205" spans="1:6" ht="14.25">
      <c r="A205" s="45" t="s">
        <v>2127</v>
      </c>
      <c r="B205" s="61">
        <v>30</v>
      </c>
      <c r="C205" s="61" t="s">
        <v>2128</v>
      </c>
      <c r="D205" s="28">
        <v>30</v>
      </c>
      <c r="E205" s="29">
        <v>126</v>
      </c>
      <c r="F205" s="44">
        <v>3780</v>
      </c>
    </row>
    <row r="206" spans="1:6" ht="14.25">
      <c r="A206" s="45" t="s">
        <v>2127</v>
      </c>
      <c r="B206" s="61">
        <v>9</v>
      </c>
      <c r="C206" s="61" t="s">
        <v>2128</v>
      </c>
      <c r="D206" s="28">
        <v>30</v>
      </c>
      <c r="E206" s="29">
        <v>7</v>
      </c>
      <c r="F206" s="44">
        <v>210</v>
      </c>
    </row>
    <row r="207" spans="1:6" ht="14.25">
      <c r="A207" s="45" t="s">
        <v>2127</v>
      </c>
      <c r="B207" s="61">
        <v>24</v>
      </c>
      <c r="C207" s="61" t="s">
        <v>2128</v>
      </c>
      <c r="D207" s="28">
        <v>30</v>
      </c>
      <c r="E207" s="29">
        <v>5</v>
      </c>
      <c r="F207" s="44">
        <v>150</v>
      </c>
    </row>
    <row r="208" spans="1:6" ht="14.25">
      <c r="A208" s="45" t="s">
        <v>2127</v>
      </c>
      <c r="B208" s="61">
        <v>30</v>
      </c>
      <c r="C208" s="61" t="s">
        <v>2129</v>
      </c>
      <c r="D208" s="28">
        <v>30</v>
      </c>
      <c r="E208" s="29">
        <v>83</v>
      </c>
      <c r="F208" s="44">
        <v>2490</v>
      </c>
    </row>
    <row r="209" spans="1:7" ht="14.25">
      <c r="A209" s="45" t="s">
        <v>2127</v>
      </c>
      <c r="B209" s="61">
        <v>9</v>
      </c>
      <c r="C209" s="61" t="s">
        <v>2129</v>
      </c>
      <c r="D209" s="28">
        <v>30</v>
      </c>
      <c r="E209" s="29">
        <v>5</v>
      </c>
      <c r="F209" s="44">
        <v>150</v>
      </c>
    </row>
    <row r="210" spans="1:7" ht="14.25">
      <c r="A210" s="45" t="s">
        <v>2127</v>
      </c>
      <c r="B210" s="61">
        <v>24</v>
      </c>
      <c r="C210" s="61" t="s">
        <v>2129</v>
      </c>
      <c r="D210" s="28">
        <v>30</v>
      </c>
      <c r="E210" s="29">
        <v>4</v>
      </c>
      <c r="F210" s="44">
        <v>120</v>
      </c>
    </row>
    <row r="213" spans="1:7" ht="15">
      <c r="A213" s="79" t="s">
        <v>2035</v>
      </c>
      <c r="B213" s="80" t="s">
        <v>34</v>
      </c>
      <c r="C213" s="80" t="s">
        <v>35</v>
      </c>
      <c r="D213" s="81" t="s">
        <v>2036</v>
      </c>
    </row>
    <row r="214" spans="1:7" ht="14.25">
      <c r="A214" s="45" t="s">
        <v>2130</v>
      </c>
      <c r="B214" s="61" t="s">
        <v>2131</v>
      </c>
      <c r="C214" s="44">
        <v>5</v>
      </c>
      <c r="D214" s="32"/>
    </row>
    <row r="215" spans="1:7" ht="14.25">
      <c r="A215" s="45" t="s">
        <v>2132</v>
      </c>
      <c r="B215" s="61" t="s">
        <v>2131</v>
      </c>
      <c r="C215" s="44">
        <v>5</v>
      </c>
      <c r="D215" s="32"/>
    </row>
    <row r="216" spans="1:7" ht="14.25">
      <c r="A216" s="45" t="s">
        <v>2133</v>
      </c>
      <c r="B216" s="61" t="s">
        <v>2131</v>
      </c>
      <c r="C216" s="44">
        <v>5</v>
      </c>
      <c r="D216" s="32">
        <v>3.32</v>
      </c>
    </row>
    <row r="217" spans="1:7" ht="14.25">
      <c r="A217" s="45" t="s">
        <v>2134</v>
      </c>
      <c r="B217" s="61" t="s">
        <v>2131</v>
      </c>
      <c r="C217" s="44">
        <v>5</v>
      </c>
      <c r="D217" s="32">
        <v>4.32</v>
      </c>
    </row>
    <row r="218" spans="1:7" ht="14.25">
      <c r="A218" s="51"/>
      <c r="B218" s="619" t="s">
        <v>2135</v>
      </c>
      <c r="C218" s="82" t="s">
        <v>61</v>
      </c>
      <c r="D218" s="32">
        <v>75</v>
      </c>
    </row>
    <row r="220" spans="1:7" ht="15">
      <c r="A220" s="611" t="s">
        <v>77</v>
      </c>
      <c r="B220" s="79" t="s">
        <v>2035</v>
      </c>
      <c r="C220" s="80" t="s">
        <v>34</v>
      </c>
      <c r="D220" s="80" t="s">
        <v>35</v>
      </c>
      <c r="E220" s="85" t="s">
        <v>124</v>
      </c>
    </row>
    <row r="221" spans="1:7" ht="14.25">
      <c r="A221" s="75" t="s">
        <v>2136</v>
      </c>
      <c r="B221" s="45" t="s">
        <v>2130</v>
      </c>
      <c r="C221" s="61" t="s">
        <v>2137</v>
      </c>
      <c r="D221" s="44">
        <v>150</v>
      </c>
      <c r="E221" s="618">
        <v>207</v>
      </c>
      <c r="F221" s="1">
        <v>127</v>
      </c>
      <c r="G221" s="24" t="s">
        <v>2138</v>
      </c>
    </row>
    <row r="222" spans="1:7" ht="14.25">
      <c r="A222" s="75" t="s">
        <v>2136</v>
      </c>
      <c r="B222" s="45" t="s">
        <v>2130</v>
      </c>
      <c r="C222" s="61" t="s">
        <v>2139</v>
      </c>
      <c r="D222" s="44">
        <v>150</v>
      </c>
      <c r="E222" s="618">
        <v>207</v>
      </c>
      <c r="F222" s="1">
        <v>127</v>
      </c>
      <c r="G222" s="24" t="s">
        <v>2138</v>
      </c>
    </row>
    <row r="223" spans="1:7" ht="14.25">
      <c r="A223" s="75" t="s">
        <v>2136</v>
      </c>
      <c r="B223" s="45" t="s">
        <v>2130</v>
      </c>
      <c r="C223" s="61" t="s">
        <v>2140</v>
      </c>
      <c r="D223" s="44">
        <v>50</v>
      </c>
      <c r="E223" s="618">
        <v>127</v>
      </c>
      <c r="F223" s="1">
        <v>127</v>
      </c>
      <c r="G223" s="24" t="s">
        <v>2138</v>
      </c>
    </row>
    <row r="224" spans="1:7" ht="14.25">
      <c r="A224" s="75" t="s">
        <v>2136</v>
      </c>
      <c r="B224" s="45" t="s">
        <v>2130</v>
      </c>
      <c r="C224" s="61" t="s">
        <v>2141</v>
      </c>
      <c r="D224" s="44">
        <v>50</v>
      </c>
      <c r="E224" s="618">
        <v>127</v>
      </c>
      <c r="F224" s="1">
        <v>127</v>
      </c>
      <c r="G224" s="24" t="s">
        <v>2138</v>
      </c>
    </row>
    <row r="225" spans="1:7" ht="14.25">
      <c r="A225" s="75" t="s">
        <v>2136</v>
      </c>
      <c r="B225" s="45" t="s">
        <v>2130</v>
      </c>
      <c r="C225" s="61" t="s">
        <v>2142</v>
      </c>
      <c r="D225" s="44">
        <v>150</v>
      </c>
      <c r="E225" s="618">
        <v>207</v>
      </c>
      <c r="F225" s="1">
        <v>127</v>
      </c>
      <c r="G225" s="24" t="s">
        <v>2138</v>
      </c>
    </row>
    <row r="226" spans="1:7" ht="14.25">
      <c r="A226" s="75" t="s">
        <v>2136</v>
      </c>
      <c r="B226" s="45" t="s">
        <v>2130</v>
      </c>
      <c r="C226" s="61" t="s">
        <v>2131</v>
      </c>
      <c r="D226" s="44">
        <v>100</v>
      </c>
      <c r="E226" s="618">
        <v>127</v>
      </c>
      <c r="F226" s="1">
        <v>127</v>
      </c>
      <c r="G226" s="24" t="s">
        <v>2138</v>
      </c>
    </row>
    <row r="227" spans="1:7" ht="14.25">
      <c r="A227" s="75" t="s">
        <v>2136</v>
      </c>
      <c r="B227" s="51"/>
      <c r="C227" s="620" t="s">
        <v>2143</v>
      </c>
      <c r="D227" s="82" t="s">
        <v>104</v>
      </c>
      <c r="E227" s="618">
        <v>8000</v>
      </c>
      <c r="F227" s="1">
        <v>8000</v>
      </c>
      <c r="G227" s="1"/>
    </row>
    <row r="228" spans="1:7" ht="14.25">
      <c r="A228" s="75" t="s">
        <v>2136</v>
      </c>
      <c r="B228" s="45" t="s">
        <v>2144</v>
      </c>
      <c r="C228" s="61" t="s">
        <v>2145</v>
      </c>
      <c r="D228" s="44">
        <v>150</v>
      </c>
      <c r="E228" s="618">
        <v>207</v>
      </c>
      <c r="F228" s="1">
        <v>127</v>
      </c>
      <c r="G228" s="24" t="s">
        <v>2138</v>
      </c>
    </row>
    <row r="229" spans="1:7" ht="14.25">
      <c r="A229" s="75" t="s">
        <v>2136</v>
      </c>
      <c r="B229" s="45" t="s">
        <v>2144</v>
      </c>
      <c r="C229" s="61" t="s">
        <v>2142</v>
      </c>
      <c r="D229" s="44">
        <v>150</v>
      </c>
      <c r="E229" s="618">
        <v>207</v>
      </c>
      <c r="F229" s="1">
        <v>127</v>
      </c>
      <c r="G229" s="24" t="s">
        <v>2138</v>
      </c>
    </row>
    <row r="230" spans="1:7" ht="14.25">
      <c r="A230" s="75" t="s">
        <v>2136</v>
      </c>
      <c r="B230" s="45" t="s">
        <v>2144</v>
      </c>
      <c r="C230" s="61" t="s">
        <v>2139</v>
      </c>
      <c r="D230" s="44">
        <v>150</v>
      </c>
      <c r="E230" s="618">
        <v>207</v>
      </c>
      <c r="F230" s="1">
        <v>127</v>
      </c>
      <c r="G230" s="24" t="s">
        <v>2138</v>
      </c>
    </row>
    <row r="231" spans="1:7" ht="14.25">
      <c r="A231" s="75" t="s">
        <v>2136</v>
      </c>
      <c r="B231" s="45" t="s">
        <v>2144</v>
      </c>
      <c r="C231" s="61" t="s">
        <v>2146</v>
      </c>
      <c r="D231" s="44">
        <v>50</v>
      </c>
      <c r="E231" s="618">
        <v>127</v>
      </c>
      <c r="F231" s="1">
        <v>127</v>
      </c>
      <c r="G231" s="24" t="s">
        <v>2138</v>
      </c>
    </row>
    <row r="232" spans="1:7" ht="14.25">
      <c r="A232" s="75" t="s">
        <v>2136</v>
      </c>
      <c r="B232" s="45" t="s">
        <v>2144</v>
      </c>
      <c r="C232" s="61" t="s">
        <v>2131</v>
      </c>
      <c r="D232" s="44">
        <v>100</v>
      </c>
      <c r="E232" s="618">
        <v>127</v>
      </c>
      <c r="F232" s="1">
        <v>127</v>
      </c>
      <c r="G232" s="24" t="s">
        <v>2138</v>
      </c>
    </row>
    <row r="233" spans="1:7" ht="14.25">
      <c r="A233" s="75" t="s">
        <v>2136</v>
      </c>
      <c r="B233" s="51"/>
      <c r="C233" s="620" t="s">
        <v>2147</v>
      </c>
      <c r="D233" s="82" t="s">
        <v>61</v>
      </c>
      <c r="E233" s="618">
        <v>8000</v>
      </c>
      <c r="F233" s="1">
        <v>8000</v>
      </c>
      <c r="G233" s="1"/>
    </row>
    <row r="234" spans="1:7" ht="14.25">
      <c r="A234" s="75" t="s">
        <v>2136</v>
      </c>
      <c r="B234" s="45" t="s">
        <v>2133</v>
      </c>
      <c r="C234" s="61" t="s">
        <v>2142</v>
      </c>
      <c r="D234" s="44">
        <v>150</v>
      </c>
      <c r="E234" s="618">
        <v>199</v>
      </c>
      <c r="F234" s="1">
        <v>119</v>
      </c>
      <c r="G234" s="24" t="s">
        <v>2138</v>
      </c>
    </row>
    <row r="235" spans="1:7" ht="14.25">
      <c r="A235" s="75" t="s">
        <v>2136</v>
      </c>
      <c r="B235" s="45" t="s">
        <v>2133</v>
      </c>
      <c r="C235" s="61" t="s">
        <v>2145</v>
      </c>
      <c r="D235" s="44">
        <v>150</v>
      </c>
      <c r="E235" s="618">
        <v>199</v>
      </c>
      <c r="F235" s="1">
        <v>119</v>
      </c>
      <c r="G235" s="24" t="s">
        <v>2138</v>
      </c>
    </row>
    <row r="236" spans="1:7" ht="14.25">
      <c r="A236" s="75" t="s">
        <v>2136</v>
      </c>
      <c r="B236" s="45" t="s">
        <v>2133</v>
      </c>
      <c r="C236" s="61" t="s">
        <v>2139</v>
      </c>
      <c r="D236" s="44">
        <v>150</v>
      </c>
      <c r="E236" s="618">
        <v>199</v>
      </c>
      <c r="F236" s="1">
        <v>119</v>
      </c>
      <c r="G236" s="24" t="s">
        <v>2138</v>
      </c>
    </row>
    <row r="237" spans="1:7" ht="14.25">
      <c r="A237" s="75" t="s">
        <v>2136</v>
      </c>
      <c r="B237" s="45" t="s">
        <v>2133</v>
      </c>
      <c r="C237" s="61" t="s">
        <v>2146</v>
      </c>
      <c r="D237" s="44">
        <v>50</v>
      </c>
      <c r="E237" s="618">
        <v>119</v>
      </c>
      <c r="F237" s="1">
        <v>119</v>
      </c>
      <c r="G237" s="24" t="s">
        <v>2138</v>
      </c>
    </row>
    <row r="238" spans="1:7" ht="14.25">
      <c r="A238" s="75" t="s">
        <v>2136</v>
      </c>
      <c r="B238" s="45" t="s">
        <v>2133</v>
      </c>
      <c r="C238" s="61" t="s">
        <v>2131</v>
      </c>
      <c r="D238" s="44">
        <v>100</v>
      </c>
      <c r="E238" s="618">
        <v>119</v>
      </c>
      <c r="F238" s="1">
        <v>119</v>
      </c>
      <c r="G238" s="24" t="s">
        <v>2138</v>
      </c>
    </row>
    <row r="239" spans="1:7" ht="14.25">
      <c r="A239" s="75" t="s">
        <v>2136</v>
      </c>
      <c r="B239" s="51"/>
      <c r="C239" s="620" t="s">
        <v>2147</v>
      </c>
      <c r="D239" s="82" t="s">
        <v>61</v>
      </c>
      <c r="E239" s="618">
        <v>8000</v>
      </c>
      <c r="F239" s="1">
        <v>8000</v>
      </c>
      <c r="G239" s="1"/>
    </row>
    <row r="240" spans="1:7" ht="14.25">
      <c r="A240" s="75" t="s">
        <v>2136</v>
      </c>
      <c r="B240" s="45" t="s">
        <v>2134</v>
      </c>
      <c r="C240" s="61" t="s">
        <v>2142</v>
      </c>
      <c r="D240" s="44">
        <v>150</v>
      </c>
      <c r="E240" s="618">
        <v>259</v>
      </c>
      <c r="F240" s="1">
        <v>189</v>
      </c>
      <c r="G240" s="24" t="s">
        <v>2148</v>
      </c>
    </row>
    <row r="241" spans="1:7" ht="14.25">
      <c r="A241" s="75" t="s">
        <v>2136</v>
      </c>
      <c r="B241" s="45" t="s">
        <v>2134</v>
      </c>
      <c r="C241" s="61" t="s">
        <v>2145</v>
      </c>
      <c r="D241" s="44">
        <v>150</v>
      </c>
      <c r="E241" s="618">
        <v>259</v>
      </c>
      <c r="F241" s="1">
        <v>189</v>
      </c>
      <c r="G241" s="24" t="s">
        <v>2148</v>
      </c>
    </row>
    <row r="242" spans="1:7" ht="14.25">
      <c r="A242" s="75" t="s">
        <v>2136</v>
      </c>
      <c r="B242" s="45" t="s">
        <v>2134</v>
      </c>
      <c r="C242" s="61" t="s">
        <v>2139</v>
      </c>
      <c r="D242" s="44">
        <v>150</v>
      </c>
      <c r="E242" s="618">
        <v>259</v>
      </c>
      <c r="F242" s="1">
        <v>189</v>
      </c>
      <c r="G242" s="24" t="s">
        <v>2148</v>
      </c>
    </row>
    <row r="243" spans="1:7" ht="14.25">
      <c r="A243" s="75" t="s">
        <v>2136</v>
      </c>
      <c r="B243" s="45" t="s">
        <v>2134</v>
      </c>
      <c r="C243" s="61" t="s">
        <v>2146</v>
      </c>
      <c r="D243" s="44">
        <v>50</v>
      </c>
      <c r="E243" s="618">
        <v>189</v>
      </c>
      <c r="F243" s="1">
        <v>189</v>
      </c>
      <c r="G243" s="24" t="s">
        <v>2148</v>
      </c>
    </row>
    <row r="244" spans="1:7" ht="14.25">
      <c r="A244" s="75" t="s">
        <v>2136</v>
      </c>
      <c r="B244" s="45" t="s">
        <v>2134</v>
      </c>
      <c r="C244" s="61" t="s">
        <v>2131</v>
      </c>
      <c r="D244" s="44">
        <v>100</v>
      </c>
      <c r="E244" s="618">
        <v>189</v>
      </c>
      <c r="F244" s="1">
        <v>189</v>
      </c>
      <c r="G244" s="24" t="s">
        <v>2148</v>
      </c>
    </row>
    <row r="245" spans="1:7" ht="14.25">
      <c r="A245" s="75" t="s">
        <v>2136</v>
      </c>
      <c r="B245" s="51"/>
      <c r="C245" s="620" t="s">
        <v>2147</v>
      </c>
      <c r="D245" s="82" t="s">
        <v>61</v>
      </c>
      <c r="E245" s="618">
        <v>7000</v>
      </c>
      <c r="F245" s="1">
        <v>8000</v>
      </c>
      <c r="G245" s="1"/>
    </row>
    <row r="247" spans="1:7" ht="15">
      <c r="A247" s="79" t="s">
        <v>2035</v>
      </c>
      <c r="B247" s="80" t="s">
        <v>34</v>
      </c>
      <c r="C247" s="80" t="s">
        <v>35</v>
      </c>
      <c r="D247" s="81" t="s">
        <v>2036</v>
      </c>
    </row>
    <row r="248" spans="1:7" ht="14.25">
      <c r="A248" s="45" t="s">
        <v>2130</v>
      </c>
      <c r="B248" s="61" t="s">
        <v>2137</v>
      </c>
      <c r="C248" s="44">
        <v>150</v>
      </c>
      <c r="D248" s="32">
        <v>3.45</v>
      </c>
    </row>
    <row r="249" spans="1:7" ht="14.25">
      <c r="A249" s="45" t="s">
        <v>2130</v>
      </c>
      <c r="B249" s="61" t="s">
        <v>2139</v>
      </c>
      <c r="C249" s="44">
        <v>150</v>
      </c>
      <c r="D249" s="32">
        <v>3.45</v>
      </c>
    </row>
    <row r="250" spans="1:7" ht="14.25">
      <c r="A250" s="45" t="s">
        <v>2130</v>
      </c>
      <c r="B250" s="61" t="s">
        <v>2140</v>
      </c>
      <c r="C250" s="44">
        <v>50</v>
      </c>
      <c r="D250" s="32">
        <v>3.45</v>
      </c>
    </row>
    <row r="251" spans="1:7" ht="14.25">
      <c r="A251" s="45" t="s">
        <v>2130</v>
      </c>
      <c r="B251" s="61" t="s">
        <v>2141</v>
      </c>
      <c r="C251" s="44">
        <v>50</v>
      </c>
      <c r="D251" s="32">
        <v>3.45</v>
      </c>
    </row>
    <row r="252" spans="1:7" ht="14.25">
      <c r="A252" s="45" t="s">
        <v>2130</v>
      </c>
      <c r="B252" s="61" t="s">
        <v>2142</v>
      </c>
      <c r="C252" s="44">
        <v>150</v>
      </c>
      <c r="D252" s="32">
        <v>3.45</v>
      </c>
    </row>
    <row r="253" spans="1:7" ht="14.25">
      <c r="A253" s="45" t="s">
        <v>2130</v>
      </c>
      <c r="B253" s="61" t="s">
        <v>2131</v>
      </c>
      <c r="C253" s="44">
        <v>100</v>
      </c>
      <c r="D253" s="32">
        <v>3.45</v>
      </c>
    </row>
    <row r="254" spans="1:7" ht="14.25">
      <c r="A254" s="51"/>
      <c r="B254" s="621" t="s">
        <v>2143</v>
      </c>
      <c r="C254" s="82" t="s">
        <v>104</v>
      </c>
      <c r="D254" s="32">
        <v>200</v>
      </c>
    </row>
    <row r="255" spans="1:7" ht="14.25">
      <c r="A255" s="45" t="s">
        <v>2144</v>
      </c>
      <c r="B255" s="61" t="s">
        <v>2145</v>
      </c>
      <c r="C255" s="44">
        <v>150</v>
      </c>
      <c r="D255" s="32">
        <v>3.45</v>
      </c>
    </row>
    <row r="256" spans="1:7" ht="14.25">
      <c r="A256" s="45" t="s">
        <v>2144</v>
      </c>
      <c r="B256" s="61" t="s">
        <v>2142</v>
      </c>
      <c r="C256" s="44">
        <v>150</v>
      </c>
      <c r="D256" s="32">
        <v>3.45</v>
      </c>
    </row>
    <row r="257" spans="1:4" ht="14.25">
      <c r="A257" s="45" t="s">
        <v>2144</v>
      </c>
      <c r="B257" s="61" t="s">
        <v>2139</v>
      </c>
      <c r="C257" s="44">
        <v>150</v>
      </c>
      <c r="D257" s="32">
        <v>3.45</v>
      </c>
    </row>
    <row r="258" spans="1:4" ht="14.25">
      <c r="A258" s="45" t="s">
        <v>2144</v>
      </c>
      <c r="B258" s="61" t="s">
        <v>2141</v>
      </c>
      <c r="C258" s="44">
        <v>50</v>
      </c>
      <c r="D258" s="32">
        <v>3.45</v>
      </c>
    </row>
    <row r="259" spans="1:4" ht="14.25">
      <c r="A259" s="45" t="s">
        <v>2144</v>
      </c>
      <c r="B259" s="61" t="s">
        <v>2131</v>
      </c>
      <c r="C259" s="44">
        <v>100</v>
      </c>
      <c r="D259" s="32">
        <v>3.45</v>
      </c>
    </row>
    <row r="260" spans="1:4" ht="14.25">
      <c r="A260" s="51"/>
      <c r="B260" s="621" t="s">
        <v>2149</v>
      </c>
      <c r="C260" s="82" t="s">
        <v>61</v>
      </c>
      <c r="D260" s="32">
        <v>100</v>
      </c>
    </row>
    <row r="261" spans="1:4" ht="14.25">
      <c r="A261" s="45" t="s">
        <v>2133</v>
      </c>
      <c r="B261" s="61" t="s">
        <v>2142</v>
      </c>
      <c r="C261" s="44">
        <v>150</v>
      </c>
      <c r="D261" s="32">
        <v>3.32</v>
      </c>
    </row>
    <row r="262" spans="1:4" ht="14.25">
      <c r="A262" s="45" t="s">
        <v>2133</v>
      </c>
      <c r="B262" s="61" t="s">
        <v>2145</v>
      </c>
      <c r="C262" s="44">
        <v>150</v>
      </c>
      <c r="D262" s="32">
        <v>3.32</v>
      </c>
    </row>
    <row r="263" spans="1:4" ht="14.25">
      <c r="A263" s="45" t="s">
        <v>2133</v>
      </c>
      <c r="B263" s="61" t="s">
        <v>2139</v>
      </c>
      <c r="C263" s="44">
        <v>150</v>
      </c>
      <c r="D263" s="32">
        <v>3.32</v>
      </c>
    </row>
    <row r="264" spans="1:4" ht="14.25">
      <c r="A264" s="45" t="s">
        <v>2133</v>
      </c>
      <c r="B264" s="61" t="s">
        <v>2141</v>
      </c>
      <c r="C264" s="44">
        <v>50</v>
      </c>
      <c r="D264" s="32">
        <v>3.32</v>
      </c>
    </row>
    <row r="265" spans="1:4" ht="14.25">
      <c r="A265" s="45" t="s">
        <v>2133</v>
      </c>
      <c r="B265" s="61" t="s">
        <v>2131</v>
      </c>
      <c r="C265" s="44">
        <v>100</v>
      </c>
      <c r="D265" s="32">
        <v>3.32</v>
      </c>
    </row>
    <row r="266" spans="1:4" ht="14.25">
      <c r="A266" s="51"/>
      <c r="B266" s="621" t="s">
        <v>2149</v>
      </c>
      <c r="C266" s="82" t="s">
        <v>61</v>
      </c>
      <c r="D266" s="32">
        <v>100</v>
      </c>
    </row>
    <row r="267" spans="1:4" ht="14.25">
      <c r="A267" s="45" t="s">
        <v>2134</v>
      </c>
      <c r="B267" s="61" t="s">
        <v>2142</v>
      </c>
      <c r="C267" s="44">
        <v>150</v>
      </c>
      <c r="D267" s="32">
        <v>4.32</v>
      </c>
    </row>
    <row r="268" spans="1:4" ht="14.25">
      <c r="A268" s="45" t="s">
        <v>2134</v>
      </c>
      <c r="B268" s="61" t="s">
        <v>2145</v>
      </c>
      <c r="C268" s="44">
        <v>150</v>
      </c>
      <c r="D268" s="32">
        <v>4.32</v>
      </c>
    </row>
    <row r="269" spans="1:4" ht="14.25">
      <c r="A269" s="45" t="s">
        <v>2134</v>
      </c>
      <c r="B269" s="61" t="s">
        <v>2139</v>
      </c>
      <c r="C269" s="44">
        <v>150</v>
      </c>
      <c r="D269" s="32">
        <v>4.32</v>
      </c>
    </row>
    <row r="270" spans="1:4" ht="14.25">
      <c r="A270" s="45" t="s">
        <v>2134</v>
      </c>
      <c r="B270" s="61" t="s">
        <v>2141</v>
      </c>
      <c r="C270" s="44">
        <v>50</v>
      </c>
      <c r="D270" s="32">
        <v>4.32</v>
      </c>
    </row>
    <row r="271" spans="1:4" ht="14.25">
      <c r="A271" s="45" t="s">
        <v>2134</v>
      </c>
      <c r="B271" s="61" t="s">
        <v>2131</v>
      </c>
      <c r="C271" s="44">
        <v>100</v>
      </c>
      <c r="D271" s="32">
        <v>4.32</v>
      </c>
    </row>
    <row r="272" spans="1:4" ht="14.25">
      <c r="A272" s="51"/>
      <c r="B272" s="621" t="s">
        <v>2149</v>
      </c>
      <c r="C272" s="82" t="s">
        <v>61</v>
      </c>
      <c r="D272" s="32">
        <v>100</v>
      </c>
    </row>
    <row r="275" spans="1:6" ht="15">
      <c r="A275" s="79" t="s">
        <v>2035</v>
      </c>
      <c r="B275" s="80" t="s">
        <v>34</v>
      </c>
      <c r="C275" s="81" t="s">
        <v>2040</v>
      </c>
      <c r="D275" s="603" t="s">
        <v>2041</v>
      </c>
      <c r="E275" s="603" t="s">
        <v>112</v>
      </c>
      <c r="F275" s="81" t="s">
        <v>2036</v>
      </c>
    </row>
    <row r="276" spans="1:6" ht="14.25">
      <c r="A276" s="45" t="s">
        <v>2092</v>
      </c>
      <c r="B276" s="61" t="s">
        <v>37</v>
      </c>
      <c r="C276" s="44">
        <v>13.7</v>
      </c>
      <c r="D276" s="54">
        <v>1</v>
      </c>
      <c r="E276" s="44">
        <v>13.7</v>
      </c>
      <c r="F276" s="32">
        <v>2.0699999999999998</v>
      </c>
    </row>
    <row r="277" spans="1:6" ht="14.25">
      <c r="A277" s="45" t="s">
        <v>2092</v>
      </c>
      <c r="B277" s="61" t="s">
        <v>2093</v>
      </c>
      <c r="C277" s="44">
        <v>13.7</v>
      </c>
      <c r="D277" s="54">
        <v>3</v>
      </c>
      <c r="E277" s="44">
        <v>41.099999999999994</v>
      </c>
      <c r="F277" s="32">
        <v>2.0699999999999998</v>
      </c>
    </row>
    <row r="278" spans="1:6" ht="14.25">
      <c r="A278" s="45"/>
      <c r="B278" s="61" t="s">
        <v>125</v>
      </c>
      <c r="C278" s="82" t="s">
        <v>104</v>
      </c>
      <c r="D278" s="54"/>
      <c r="E278" s="44"/>
      <c r="F278" s="32">
        <v>200</v>
      </c>
    </row>
    <row r="282" spans="1:6" ht="14.25">
      <c r="A282" s="71" t="s">
        <v>57</v>
      </c>
      <c r="B282" s="45" t="s">
        <v>2150</v>
      </c>
      <c r="C282" s="44">
        <v>10</v>
      </c>
    </row>
    <row r="283" spans="1:6" ht="14.25">
      <c r="A283" s="71" t="s">
        <v>57</v>
      </c>
      <c r="B283" s="45" t="s">
        <v>2151</v>
      </c>
      <c r="C283" s="44">
        <v>10</v>
      </c>
    </row>
    <row r="284" spans="1:6" ht="14.25">
      <c r="A284" s="71" t="s">
        <v>57</v>
      </c>
      <c r="B284" s="45" t="s">
        <v>2151</v>
      </c>
      <c r="C284" s="44">
        <v>10</v>
      </c>
    </row>
    <row r="285" spans="1:6" ht="14.25">
      <c r="A285" s="71" t="s">
        <v>57</v>
      </c>
      <c r="B285" s="45" t="s">
        <v>2152</v>
      </c>
      <c r="C285" s="44">
        <v>23</v>
      </c>
    </row>
    <row r="286" spans="1:6" ht="14.25">
      <c r="A286" s="71" t="s">
        <v>57</v>
      </c>
      <c r="B286" s="45" t="s">
        <v>2153</v>
      </c>
      <c r="C286" s="44">
        <v>50</v>
      </c>
    </row>
    <row r="287" spans="1:6" ht="14.25">
      <c r="A287" s="71"/>
      <c r="B287" s="45" t="s">
        <v>2154</v>
      </c>
      <c r="C287" s="28" t="s">
        <v>120</v>
      </c>
    </row>
    <row r="288" spans="1:6" ht="14.25">
      <c r="A288" s="45"/>
      <c r="B288" s="45" t="s">
        <v>12</v>
      </c>
      <c r="C288" s="28" t="s">
        <v>61</v>
      </c>
    </row>
    <row r="290" spans="1:8" ht="15">
      <c r="A290" s="79" t="s">
        <v>77</v>
      </c>
      <c r="B290" s="79" t="s">
        <v>2035</v>
      </c>
      <c r="C290" s="80" t="s">
        <v>34</v>
      </c>
      <c r="D290" s="80" t="s">
        <v>35</v>
      </c>
      <c r="E290" s="14" t="s">
        <v>2155</v>
      </c>
      <c r="F290" s="115"/>
      <c r="G290" s="7"/>
      <c r="H290" s="7"/>
    </row>
    <row r="291" spans="1:8" ht="15">
      <c r="A291" s="598" t="s">
        <v>2156</v>
      </c>
      <c r="B291" s="20" t="s">
        <v>2157</v>
      </c>
      <c r="C291" s="34" t="s">
        <v>56</v>
      </c>
      <c r="D291" s="57">
        <v>30</v>
      </c>
      <c r="E291" s="622">
        <v>43</v>
      </c>
      <c r="F291" s="7">
        <v>125</v>
      </c>
      <c r="G291" s="11" t="s">
        <v>2158</v>
      </c>
      <c r="H291" s="11" t="s">
        <v>2159</v>
      </c>
    </row>
    <row r="292" spans="1:8" ht="15">
      <c r="A292" s="598" t="s">
        <v>2156</v>
      </c>
      <c r="B292" s="20" t="s">
        <v>2157</v>
      </c>
      <c r="C292" s="125" t="s">
        <v>2160</v>
      </c>
      <c r="D292" s="57">
        <v>20</v>
      </c>
      <c r="E292" s="622">
        <v>43</v>
      </c>
      <c r="F292" s="7">
        <v>125</v>
      </c>
      <c r="G292" s="11" t="s">
        <v>2158</v>
      </c>
      <c r="H292" s="11" t="s">
        <v>2159</v>
      </c>
    </row>
    <row r="293" spans="1:8" ht="15">
      <c r="A293" s="598" t="s">
        <v>2156</v>
      </c>
      <c r="B293" s="20" t="s">
        <v>2157</v>
      </c>
      <c r="C293" s="170" t="s">
        <v>2161</v>
      </c>
      <c r="D293" s="57">
        <v>20</v>
      </c>
      <c r="E293" s="622">
        <v>43</v>
      </c>
      <c r="F293" s="7">
        <v>125</v>
      </c>
      <c r="G293" s="11" t="s">
        <v>2158</v>
      </c>
      <c r="H293" s="11" t="s">
        <v>2159</v>
      </c>
    </row>
    <row r="294" spans="1:8" ht="15">
      <c r="A294" s="598" t="s">
        <v>2156</v>
      </c>
      <c r="B294" s="20" t="s">
        <v>2162</v>
      </c>
      <c r="C294" s="34" t="s">
        <v>56</v>
      </c>
      <c r="D294" s="57">
        <v>30</v>
      </c>
      <c r="E294" s="622">
        <v>73</v>
      </c>
      <c r="F294" s="7">
        <v>165</v>
      </c>
      <c r="G294" s="11" t="s">
        <v>2163</v>
      </c>
      <c r="H294" s="11" t="s">
        <v>2164</v>
      </c>
    </row>
    <row r="295" spans="1:8" ht="15">
      <c r="A295" s="598" t="s">
        <v>2156</v>
      </c>
      <c r="B295" s="20" t="s">
        <v>2162</v>
      </c>
      <c r="C295" s="125" t="s">
        <v>2160</v>
      </c>
      <c r="D295" s="57">
        <v>20</v>
      </c>
      <c r="E295" s="622">
        <v>73</v>
      </c>
      <c r="F295" s="7">
        <v>165</v>
      </c>
      <c r="G295" s="11" t="s">
        <v>2163</v>
      </c>
      <c r="H295" s="11" t="s">
        <v>2164</v>
      </c>
    </row>
    <row r="296" spans="1:8" ht="15">
      <c r="A296" s="598" t="s">
        <v>2156</v>
      </c>
      <c r="B296" s="20" t="s">
        <v>2162</v>
      </c>
      <c r="C296" s="170" t="s">
        <v>2161</v>
      </c>
      <c r="D296" s="57">
        <v>20</v>
      </c>
      <c r="E296" s="622">
        <v>73</v>
      </c>
      <c r="F296" s="7">
        <v>165</v>
      </c>
      <c r="G296" s="11" t="s">
        <v>2163</v>
      </c>
      <c r="H296" s="11" t="s">
        <v>2164</v>
      </c>
    </row>
    <row r="297" spans="1:8" ht="15">
      <c r="A297" s="598" t="s">
        <v>2156</v>
      </c>
      <c r="B297" s="20" t="s">
        <v>2165</v>
      </c>
      <c r="C297" s="34" t="s">
        <v>56</v>
      </c>
      <c r="D297" s="57">
        <v>30</v>
      </c>
      <c r="E297" s="622">
        <v>132</v>
      </c>
      <c r="F297" s="7">
        <v>212</v>
      </c>
      <c r="G297" s="11" t="s">
        <v>2166</v>
      </c>
      <c r="H297" s="11" t="s">
        <v>68</v>
      </c>
    </row>
    <row r="298" spans="1:8" ht="15">
      <c r="A298" s="598" t="s">
        <v>2156</v>
      </c>
      <c r="B298" s="20" t="s">
        <v>2165</v>
      </c>
      <c r="C298" s="125" t="s">
        <v>2160</v>
      </c>
      <c r="D298" s="57">
        <v>20</v>
      </c>
      <c r="E298" s="622">
        <v>132</v>
      </c>
      <c r="F298" s="7">
        <v>212</v>
      </c>
      <c r="G298" s="11" t="s">
        <v>2166</v>
      </c>
      <c r="H298" s="11" t="s">
        <v>68</v>
      </c>
    </row>
    <row r="299" spans="1:8" ht="15">
      <c r="A299" s="598" t="s">
        <v>2156</v>
      </c>
      <c r="B299" s="20" t="s">
        <v>2165</v>
      </c>
      <c r="C299" s="170" t="s">
        <v>2161</v>
      </c>
      <c r="D299" s="57">
        <v>20</v>
      </c>
      <c r="E299" s="622">
        <v>132</v>
      </c>
      <c r="F299" s="7">
        <v>212</v>
      </c>
      <c r="G299" s="11" t="s">
        <v>2166</v>
      </c>
      <c r="H299" s="11" t="s">
        <v>68</v>
      </c>
    </row>
    <row r="300" spans="1:8" ht="15">
      <c r="A300" s="598" t="s">
        <v>2156</v>
      </c>
      <c r="B300" s="20" t="s">
        <v>2167</v>
      </c>
      <c r="C300" s="34" t="s">
        <v>56</v>
      </c>
      <c r="D300" s="57">
        <v>30</v>
      </c>
      <c r="E300" s="622">
        <v>32</v>
      </c>
      <c r="F300" s="7">
        <v>112</v>
      </c>
      <c r="G300" s="11" t="s">
        <v>2168</v>
      </c>
      <c r="H300" s="11" t="s">
        <v>2169</v>
      </c>
    </row>
    <row r="301" spans="1:8" ht="15">
      <c r="A301" s="598" t="s">
        <v>2156</v>
      </c>
      <c r="B301" s="20" t="s">
        <v>2167</v>
      </c>
      <c r="C301" s="120" t="s">
        <v>176</v>
      </c>
      <c r="D301" s="57">
        <v>30</v>
      </c>
      <c r="E301" s="622">
        <v>32</v>
      </c>
      <c r="F301" s="7">
        <v>112</v>
      </c>
      <c r="G301" s="11" t="s">
        <v>2168</v>
      </c>
      <c r="H301" s="11" t="s">
        <v>2169</v>
      </c>
    </row>
    <row r="302" spans="1:8" ht="15">
      <c r="A302" s="598" t="s">
        <v>2156</v>
      </c>
      <c r="B302" s="20" t="s">
        <v>2167</v>
      </c>
      <c r="C302" s="170" t="s">
        <v>2161</v>
      </c>
      <c r="D302" s="57">
        <v>30</v>
      </c>
      <c r="E302" s="622">
        <v>32</v>
      </c>
      <c r="F302" s="7">
        <v>112</v>
      </c>
      <c r="G302" s="11" t="s">
        <v>2168</v>
      </c>
      <c r="H302" s="11" t="s">
        <v>2169</v>
      </c>
    </row>
    <row r="303" spans="1:8" ht="15">
      <c r="A303" s="598" t="s">
        <v>2156</v>
      </c>
      <c r="B303" s="20" t="s">
        <v>2167</v>
      </c>
      <c r="C303" s="623" t="s">
        <v>2170</v>
      </c>
      <c r="D303" s="57">
        <v>15</v>
      </c>
      <c r="E303" s="622">
        <v>32</v>
      </c>
      <c r="F303" s="7">
        <v>112</v>
      </c>
      <c r="G303" s="11" t="s">
        <v>2168</v>
      </c>
      <c r="H303" s="11" t="s">
        <v>2169</v>
      </c>
    </row>
    <row r="304" spans="1:8" ht="15">
      <c r="A304" s="598" t="s">
        <v>2156</v>
      </c>
      <c r="B304" s="20" t="s">
        <v>2171</v>
      </c>
      <c r="C304" s="34" t="s">
        <v>56</v>
      </c>
      <c r="D304" s="57">
        <v>30</v>
      </c>
      <c r="E304" s="622">
        <v>87</v>
      </c>
      <c r="F304" s="7">
        <v>167</v>
      </c>
      <c r="G304" s="11" t="s">
        <v>2172</v>
      </c>
      <c r="H304" s="11" t="s">
        <v>68</v>
      </c>
    </row>
    <row r="305" spans="1:8" ht="15">
      <c r="A305" s="598" t="s">
        <v>2156</v>
      </c>
      <c r="B305" s="20" t="s">
        <v>2171</v>
      </c>
      <c r="C305" s="120" t="s">
        <v>176</v>
      </c>
      <c r="D305" s="57">
        <v>30</v>
      </c>
      <c r="E305" s="622">
        <v>87</v>
      </c>
      <c r="F305" s="7">
        <v>167</v>
      </c>
      <c r="G305" s="11" t="s">
        <v>2172</v>
      </c>
      <c r="H305" s="11" t="s">
        <v>68</v>
      </c>
    </row>
    <row r="306" spans="1:8" ht="15">
      <c r="A306" s="598" t="s">
        <v>2156</v>
      </c>
      <c r="B306" s="20" t="s">
        <v>2171</v>
      </c>
      <c r="C306" s="170" t="s">
        <v>2161</v>
      </c>
      <c r="D306" s="57">
        <v>30</v>
      </c>
      <c r="E306" s="622">
        <v>87</v>
      </c>
      <c r="F306" s="7">
        <v>167</v>
      </c>
      <c r="G306" s="11" t="s">
        <v>2172</v>
      </c>
      <c r="H306" s="11" t="s">
        <v>68</v>
      </c>
    </row>
    <row r="307" spans="1:8" ht="15">
      <c r="A307" s="598" t="s">
        <v>2156</v>
      </c>
      <c r="B307" s="20" t="s">
        <v>2171</v>
      </c>
      <c r="C307" s="623" t="s">
        <v>2170</v>
      </c>
      <c r="D307" s="57">
        <v>15</v>
      </c>
      <c r="E307" s="622">
        <v>87</v>
      </c>
      <c r="F307" s="7">
        <v>167</v>
      </c>
      <c r="G307" s="11" t="s">
        <v>2172</v>
      </c>
      <c r="H307" s="11" t="s">
        <v>68</v>
      </c>
    </row>
    <row r="308" spans="1:8" ht="15">
      <c r="A308" s="598" t="s">
        <v>2156</v>
      </c>
      <c r="B308" s="20" t="s">
        <v>2173</v>
      </c>
      <c r="C308" s="34" t="s">
        <v>56</v>
      </c>
      <c r="D308" s="57">
        <v>30</v>
      </c>
      <c r="E308" s="622">
        <v>36</v>
      </c>
      <c r="F308" s="7">
        <v>116</v>
      </c>
      <c r="G308" s="11" t="s">
        <v>2174</v>
      </c>
      <c r="H308" s="11" t="s">
        <v>68</v>
      </c>
    </row>
    <row r="309" spans="1:8" ht="15">
      <c r="A309" s="598" t="s">
        <v>2156</v>
      </c>
      <c r="B309" s="20" t="s">
        <v>2173</v>
      </c>
      <c r="C309" s="120" t="s">
        <v>176</v>
      </c>
      <c r="D309" s="57">
        <v>30</v>
      </c>
      <c r="E309" s="622">
        <v>36</v>
      </c>
      <c r="F309" s="7">
        <v>116</v>
      </c>
      <c r="G309" s="11" t="s">
        <v>2174</v>
      </c>
      <c r="H309" s="11" t="s">
        <v>68</v>
      </c>
    </row>
    <row r="310" spans="1:8" ht="15">
      <c r="A310" s="598" t="s">
        <v>2156</v>
      </c>
      <c r="B310" s="20" t="s">
        <v>2173</v>
      </c>
      <c r="C310" s="170" t="s">
        <v>2161</v>
      </c>
      <c r="D310" s="57">
        <v>30</v>
      </c>
      <c r="E310" s="622">
        <v>36</v>
      </c>
      <c r="F310" s="7">
        <v>116</v>
      </c>
      <c r="G310" s="11" t="s">
        <v>2174</v>
      </c>
      <c r="H310" s="11" t="s">
        <v>68</v>
      </c>
    </row>
    <row r="311" spans="1:8" ht="15">
      <c r="A311" s="598" t="s">
        <v>2156</v>
      </c>
      <c r="B311" s="20" t="s">
        <v>2173</v>
      </c>
      <c r="C311" s="623" t="s">
        <v>2170</v>
      </c>
      <c r="D311" s="57">
        <v>15</v>
      </c>
      <c r="E311" s="622">
        <v>36</v>
      </c>
      <c r="F311" s="7">
        <v>116</v>
      </c>
      <c r="G311" s="11" t="s">
        <v>2174</v>
      </c>
      <c r="H311" s="11" t="s">
        <v>68</v>
      </c>
    </row>
    <row r="312" spans="1:8" ht="15">
      <c r="A312" s="598" t="s">
        <v>2156</v>
      </c>
      <c r="B312" s="20" t="s">
        <v>2175</v>
      </c>
      <c r="C312" s="34" t="s">
        <v>56</v>
      </c>
      <c r="D312" s="57">
        <v>30</v>
      </c>
      <c r="E312" s="622">
        <v>42</v>
      </c>
      <c r="F312" s="7">
        <v>112</v>
      </c>
      <c r="G312" s="11" t="s">
        <v>2176</v>
      </c>
      <c r="H312" s="11" t="s">
        <v>174</v>
      </c>
    </row>
    <row r="313" spans="1:8" ht="15">
      <c r="A313" s="598" t="s">
        <v>2156</v>
      </c>
      <c r="B313" s="20" t="s">
        <v>2175</v>
      </c>
      <c r="C313" s="125" t="s">
        <v>2160</v>
      </c>
      <c r="D313" s="57">
        <v>30</v>
      </c>
      <c r="E313" s="622">
        <v>42</v>
      </c>
      <c r="F313" s="7">
        <v>112</v>
      </c>
      <c r="G313" s="11" t="s">
        <v>2176</v>
      </c>
      <c r="H313" s="11" t="s">
        <v>174</v>
      </c>
    </row>
    <row r="314" spans="1:8" ht="15">
      <c r="A314" s="598" t="s">
        <v>2156</v>
      </c>
      <c r="B314" s="20" t="s">
        <v>2175</v>
      </c>
      <c r="C314" s="624" t="s">
        <v>2177</v>
      </c>
      <c r="D314" s="57">
        <v>30</v>
      </c>
      <c r="E314" s="622">
        <v>42</v>
      </c>
      <c r="F314" s="7">
        <v>112</v>
      </c>
      <c r="G314" s="11" t="s">
        <v>2176</v>
      </c>
      <c r="H314" s="11" t="s">
        <v>174</v>
      </c>
    </row>
    <row r="315" spans="1:8" ht="15">
      <c r="A315" s="598" t="s">
        <v>2156</v>
      </c>
      <c r="B315" s="20" t="s">
        <v>2175</v>
      </c>
      <c r="C315" s="218" t="s">
        <v>2178</v>
      </c>
      <c r="D315" s="57">
        <v>20</v>
      </c>
      <c r="E315" s="622">
        <v>42</v>
      </c>
      <c r="F315" s="7">
        <v>112</v>
      </c>
      <c r="G315" s="11" t="s">
        <v>2176</v>
      </c>
      <c r="H315" s="11" t="s">
        <v>174</v>
      </c>
    </row>
    <row r="316" spans="1:8" ht="15">
      <c r="A316" s="598" t="s">
        <v>2156</v>
      </c>
      <c r="B316" s="20" t="s">
        <v>2175</v>
      </c>
      <c r="C316" s="625" t="s">
        <v>2179</v>
      </c>
      <c r="D316" s="57">
        <v>20</v>
      </c>
      <c r="E316" s="622">
        <v>42</v>
      </c>
      <c r="F316" s="7">
        <v>112</v>
      </c>
      <c r="G316" s="11" t="s">
        <v>2176</v>
      </c>
      <c r="H316" s="11" t="s">
        <v>174</v>
      </c>
    </row>
    <row r="317" spans="1:8" ht="15">
      <c r="A317" s="598" t="s">
        <v>2156</v>
      </c>
      <c r="B317" s="20" t="s">
        <v>2180</v>
      </c>
      <c r="C317" s="34" t="s">
        <v>56</v>
      </c>
      <c r="D317" s="57">
        <v>20</v>
      </c>
      <c r="E317" s="622">
        <v>135</v>
      </c>
      <c r="F317" s="7">
        <v>215</v>
      </c>
      <c r="G317" s="11" t="s">
        <v>2181</v>
      </c>
      <c r="H317" s="11" t="s">
        <v>68</v>
      </c>
    </row>
    <row r="318" spans="1:8" ht="15">
      <c r="A318" s="598" t="s">
        <v>2156</v>
      </c>
      <c r="B318" s="20" t="s">
        <v>2180</v>
      </c>
      <c r="C318" s="125" t="s">
        <v>2160</v>
      </c>
      <c r="D318" s="57">
        <v>20</v>
      </c>
      <c r="E318" s="622">
        <v>135</v>
      </c>
      <c r="F318" s="7">
        <v>215</v>
      </c>
      <c r="G318" s="11" t="s">
        <v>2181</v>
      </c>
      <c r="H318" s="11" t="s">
        <v>68</v>
      </c>
    </row>
    <row r="319" spans="1:8" ht="15">
      <c r="A319" s="598" t="s">
        <v>2156</v>
      </c>
      <c r="B319" s="20" t="s">
        <v>2180</v>
      </c>
      <c r="C319" s="624" t="s">
        <v>2177</v>
      </c>
      <c r="D319" s="57">
        <v>20</v>
      </c>
      <c r="E319" s="622">
        <v>135</v>
      </c>
      <c r="F319" s="7">
        <v>215</v>
      </c>
      <c r="G319" s="11" t="s">
        <v>2181</v>
      </c>
      <c r="H319" s="11" t="s">
        <v>68</v>
      </c>
    </row>
    <row r="320" spans="1:8" ht="15">
      <c r="A320" s="598" t="s">
        <v>2156</v>
      </c>
      <c r="B320" s="20" t="s">
        <v>2180</v>
      </c>
      <c r="C320" s="218" t="s">
        <v>2178</v>
      </c>
      <c r="D320" s="57">
        <v>20</v>
      </c>
      <c r="E320" s="622">
        <v>135</v>
      </c>
      <c r="F320" s="7">
        <v>215</v>
      </c>
      <c r="G320" s="11" t="s">
        <v>2181</v>
      </c>
      <c r="H320" s="11" t="s">
        <v>68</v>
      </c>
    </row>
    <row r="321" spans="1:8" ht="15">
      <c r="A321" s="598" t="s">
        <v>2156</v>
      </c>
      <c r="B321" s="20" t="s">
        <v>2180</v>
      </c>
      <c r="C321" s="625" t="s">
        <v>2179</v>
      </c>
      <c r="D321" s="57">
        <v>20</v>
      </c>
      <c r="E321" s="622">
        <v>135</v>
      </c>
      <c r="F321" s="7">
        <v>215</v>
      </c>
      <c r="G321" s="11" t="s">
        <v>2181</v>
      </c>
      <c r="H321" s="11" t="s">
        <v>68</v>
      </c>
    </row>
    <row r="322" spans="1:8" ht="15">
      <c r="A322" s="598" t="s">
        <v>2156</v>
      </c>
      <c r="B322" s="20" t="s">
        <v>2180</v>
      </c>
      <c r="C322" s="20" t="s">
        <v>2182</v>
      </c>
      <c r="D322" s="8" t="s">
        <v>61</v>
      </c>
      <c r="E322" s="622">
        <v>6000</v>
      </c>
      <c r="F322" s="19"/>
      <c r="G322" s="7">
        <v>6000</v>
      </c>
      <c r="H322" s="7"/>
    </row>
    <row r="323" spans="1:8" ht="15">
      <c r="A323" s="598" t="s">
        <v>2156</v>
      </c>
      <c r="B323" s="78"/>
      <c r="C323" s="20" t="s">
        <v>186</v>
      </c>
      <c r="D323" s="8" t="s">
        <v>2183</v>
      </c>
      <c r="E323" s="622" t="s">
        <v>2184</v>
      </c>
      <c r="F323" s="19"/>
      <c r="G323" s="7" t="s">
        <v>2185</v>
      </c>
      <c r="H323" s="7"/>
    </row>
    <row r="326" spans="1:8" ht="15.75">
      <c r="C326" s="1323" t="s">
        <v>161</v>
      </c>
      <c r="D326" s="1324"/>
    </row>
    <row r="327" spans="1:8" ht="15">
      <c r="C327" s="34" t="s">
        <v>56</v>
      </c>
      <c r="D327" s="57">
        <v>230</v>
      </c>
    </row>
    <row r="328" spans="1:8" ht="15">
      <c r="C328" s="125" t="s">
        <v>2160</v>
      </c>
      <c r="D328" s="57">
        <v>110</v>
      </c>
    </row>
    <row r="329" spans="1:8" ht="15">
      <c r="C329" s="170" t="s">
        <v>2161</v>
      </c>
      <c r="D329" s="57">
        <v>150</v>
      </c>
    </row>
    <row r="330" spans="1:8" ht="15">
      <c r="C330" s="120" t="s">
        <v>176</v>
      </c>
      <c r="D330" s="57">
        <v>90</v>
      </c>
    </row>
    <row r="331" spans="1:8" ht="15">
      <c r="C331" s="623" t="s">
        <v>2170</v>
      </c>
      <c r="D331" s="57">
        <v>45</v>
      </c>
    </row>
    <row r="332" spans="1:8" ht="15">
      <c r="C332" s="624" t="s">
        <v>2177</v>
      </c>
      <c r="D332" s="57">
        <v>50</v>
      </c>
    </row>
    <row r="333" spans="1:8" ht="15">
      <c r="C333" s="218" t="s">
        <v>2178</v>
      </c>
      <c r="D333" s="57">
        <v>40</v>
      </c>
    </row>
    <row r="334" spans="1:8" ht="15">
      <c r="C334" s="625" t="s">
        <v>2179</v>
      </c>
      <c r="D334" s="57">
        <v>40</v>
      </c>
    </row>
    <row r="337" spans="1:5" ht="15">
      <c r="A337" s="79" t="s">
        <v>2035</v>
      </c>
      <c r="B337" s="79" t="s">
        <v>33</v>
      </c>
      <c r="C337" s="80" t="s">
        <v>34</v>
      </c>
      <c r="D337" s="80" t="s">
        <v>35</v>
      </c>
      <c r="E337" s="80" t="s">
        <v>155</v>
      </c>
    </row>
    <row r="338" spans="1:5" ht="15">
      <c r="A338" s="20" t="s">
        <v>6</v>
      </c>
      <c r="B338" s="102">
        <v>160</v>
      </c>
      <c r="C338" s="20" t="s">
        <v>195</v>
      </c>
      <c r="D338" s="8">
        <v>50</v>
      </c>
      <c r="E338" s="8" t="s">
        <v>2186</v>
      </c>
    </row>
    <row r="339" spans="1:5" ht="15">
      <c r="A339" s="20" t="s">
        <v>6</v>
      </c>
      <c r="B339" s="102">
        <v>160</v>
      </c>
      <c r="C339" s="20" t="s">
        <v>2090</v>
      </c>
      <c r="D339" s="8">
        <v>50</v>
      </c>
      <c r="E339" s="8" t="s">
        <v>2186</v>
      </c>
    </row>
    <row r="340" spans="1:5" ht="15">
      <c r="A340" s="20" t="s">
        <v>6</v>
      </c>
      <c r="B340" s="102">
        <v>160</v>
      </c>
      <c r="C340" s="20" t="s">
        <v>2187</v>
      </c>
      <c r="D340" s="8">
        <v>50</v>
      </c>
      <c r="E340" s="8" t="s">
        <v>2188</v>
      </c>
    </row>
    <row r="341" spans="1:5" ht="15">
      <c r="A341" s="79" t="s">
        <v>2035</v>
      </c>
      <c r="B341" s="79" t="s">
        <v>33</v>
      </c>
      <c r="C341" s="80" t="s">
        <v>34</v>
      </c>
      <c r="D341" s="80" t="s">
        <v>35</v>
      </c>
      <c r="E341" s="80" t="s">
        <v>155</v>
      </c>
    </row>
    <row r="342" spans="1:5" ht="15">
      <c r="A342" s="20" t="s">
        <v>187</v>
      </c>
      <c r="B342" s="102">
        <v>152</v>
      </c>
      <c r="C342" s="20" t="s">
        <v>2189</v>
      </c>
      <c r="D342" s="103">
        <v>30</v>
      </c>
      <c r="E342" s="8" t="s">
        <v>2186</v>
      </c>
    </row>
    <row r="343" spans="1:5" ht="15">
      <c r="A343" s="20" t="s">
        <v>187</v>
      </c>
      <c r="B343" s="102">
        <v>152</v>
      </c>
      <c r="C343" s="20" t="s">
        <v>2190</v>
      </c>
      <c r="D343" s="103">
        <v>38</v>
      </c>
      <c r="E343" s="8" t="s">
        <v>2186</v>
      </c>
    </row>
    <row r="344" spans="1:5" ht="15">
      <c r="A344" s="20" t="s">
        <v>187</v>
      </c>
      <c r="B344" s="102">
        <v>152</v>
      </c>
      <c r="C344" s="20" t="s">
        <v>2191</v>
      </c>
      <c r="D344" s="103">
        <v>50</v>
      </c>
      <c r="E344" s="8" t="s">
        <v>2186</v>
      </c>
    </row>
    <row r="345" spans="1:5" ht="15">
      <c r="A345" s="20" t="s">
        <v>187</v>
      </c>
      <c r="B345" s="102">
        <v>152</v>
      </c>
      <c r="C345" s="20" t="s">
        <v>2192</v>
      </c>
      <c r="D345" s="103">
        <v>23</v>
      </c>
      <c r="E345" s="8" t="s">
        <v>2186</v>
      </c>
    </row>
    <row r="346" spans="1:5" ht="15">
      <c r="A346" s="20" t="s">
        <v>187</v>
      </c>
      <c r="B346" s="102">
        <v>152</v>
      </c>
      <c r="C346" s="20" t="s">
        <v>2192</v>
      </c>
      <c r="D346" s="103">
        <v>28</v>
      </c>
      <c r="E346" s="8" t="s">
        <v>2186</v>
      </c>
    </row>
    <row r="347" spans="1:5" ht="15">
      <c r="A347" s="20" t="s">
        <v>187</v>
      </c>
      <c r="B347" s="102">
        <v>152</v>
      </c>
      <c r="C347" s="20" t="s">
        <v>2192</v>
      </c>
      <c r="D347" s="103">
        <v>54</v>
      </c>
      <c r="E347" s="8" t="s">
        <v>2186</v>
      </c>
    </row>
    <row r="348" spans="1:5" ht="15">
      <c r="A348" s="20" t="s">
        <v>187</v>
      </c>
      <c r="B348" s="102">
        <v>152</v>
      </c>
      <c r="C348" s="20" t="s">
        <v>86</v>
      </c>
      <c r="D348" s="103">
        <v>50</v>
      </c>
      <c r="E348" s="8" t="s">
        <v>2186</v>
      </c>
    </row>
    <row r="349" spans="1:5" ht="15">
      <c r="A349" s="20" t="s">
        <v>187</v>
      </c>
      <c r="B349" s="102">
        <v>152</v>
      </c>
      <c r="C349" s="20" t="s">
        <v>2193</v>
      </c>
      <c r="D349" s="103">
        <v>50</v>
      </c>
      <c r="E349" s="8" t="s">
        <v>2186</v>
      </c>
    </row>
    <row r="353" spans="1:6" ht="15">
      <c r="A353" s="79" t="s">
        <v>193</v>
      </c>
      <c r="B353" s="79" t="s">
        <v>2035</v>
      </c>
      <c r="C353" s="80" t="s">
        <v>34</v>
      </c>
      <c r="D353" s="80" t="s">
        <v>35</v>
      </c>
      <c r="E353" s="104"/>
      <c r="F353" s="105" t="s">
        <v>5</v>
      </c>
    </row>
    <row r="354" spans="1:6" ht="15">
      <c r="A354" s="6" t="s">
        <v>2194</v>
      </c>
      <c r="B354" s="20" t="s">
        <v>6</v>
      </c>
      <c r="C354" s="20" t="s">
        <v>2195</v>
      </c>
      <c r="D354" s="103">
        <v>10</v>
      </c>
      <c r="E354" s="104"/>
      <c r="F354" s="36">
        <v>3.88</v>
      </c>
    </row>
    <row r="355" spans="1:6" ht="15">
      <c r="A355" s="6" t="s">
        <v>2194</v>
      </c>
      <c r="B355" s="20" t="s">
        <v>6</v>
      </c>
      <c r="C355" s="20" t="s">
        <v>2195</v>
      </c>
      <c r="D355" s="103">
        <v>10</v>
      </c>
      <c r="E355" s="104"/>
      <c r="F355" s="36">
        <v>3.88</v>
      </c>
    </row>
    <row r="356" spans="1:6" ht="15">
      <c r="A356" s="6" t="s">
        <v>2194</v>
      </c>
      <c r="B356" s="20" t="s">
        <v>6</v>
      </c>
      <c r="C356" s="20" t="s">
        <v>2195</v>
      </c>
      <c r="D356" s="103">
        <v>5</v>
      </c>
      <c r="E356" s="104"/>
      <c r="F356" s="36">
        <v>3.88</v>
      </c>
    </row>
    <row r="357" spans="1:6" ht="15">
      <c r="A357" s="6" t="s">
        <v>2194</v>
      </c>
      <c r="B357" s="20" t="s">
        <v>6</v>
      </c>
      <c r="C357" s="20" t="s">
        <v>2088</v>
      </c>
      <c r="D357" s="103">
        <v>29.4</v>
      </c>
      <c r="E357" s="626" t="s">
        <v>2196</v>
      </c>
      <c r="F357" s="36">
        <v>3.88</v>
      </c>
    </row>
    <row r="358" spans="1:6" ht="15">
      <c r="A358" s="6" t="s">
        <v>2194</v>
      </c>
      <c r="B358" s="20" t="s">
        <v>6</v>
      </c>
      <c r="C358" s="20" t="s">
        <v>2197</v>
      </c>
      <c r="D358" s="103">
        <v>10</v>
      </c>
      <c r="E358" s="104"/>
      <c r="F358" s="36">
        <v>3.88</v>
      </c>
    </row>
    <row r="359" spans="1:6" ht="15">
      <c r="A359" s="6" t="s">
        <v>2194</v>
      </c>
      <c r="B359" s="20" t="s">
        <v>6</v>
      </c>
      <c r="C359" s="20" t="s">
        <v>2197</v>
      </c>
      <c r="D359" s="103">
        <v>10</v>
      </c>
      <c r="E359" s="104"/>
      <c r="F359" s="36">
        <v>3.88</v>
      </c>
    </row>
    <row r="360" spans="1:6" ht="15">
      <c r="A360" s="6" t="s">
        <v>2198</v>
      </c>
      <c r="B360" s="20" t="s">
        <v>6</v>
      </c>
      <c r="C360" s="20" t="s">
        <v>2197</v>
      </c>
      <c r="D360" s="103">
        <v>5</v>
      </c>
      <c r="E360" s="104" t="s">
        <v>2199</v>
      </c>
      <c r="F360" s="36">
        <v>3.88</v>
      </c>
    </row>
    <row r="361" spans="1:6" ht="15">
      <c r="A361" s="6" t="s">
        <v>2194</v>
      </c>
      <c r="B361" s="20" t="s">
        <v>6</v>
      </c>
      <c r="C361" s="20" t="s">
        <v>2200</v>
      </c>
      <c r="D361" s="103">
        <v>10</v>
      </c>
      <c r="E361" s="104"/>
      <c r="F361" s="36">
        <v>3.88</v>
      </c>
    </row>
    <row r="362" spans="1:6" ht="15">
      <c r="A362" s="6" t="s">
        <v>2194</v>
      </c>
      <c r="B362" s="20" t="s">
        <v>6</v>
      </c>
      <c r="C362" s="20" t="s">
        <v>2200</v>
      </c>
      <c r="D362" s="103">
        <v>10</v>
      </c>
      <c r="E362" s="104"/>
      <c r="F362" s="36">
        <v>3.88</v>
      </c>
    </row>
    <row r="363" spans="1:6" ht="15">
      <c r="A363" s="6" t="s">
        <v>2194</v>
      </c>
      <c r="B363" s="20" t="s">
        <v>6</v>
      </c>
      <c r="C363" s="20" t="s">
        <v>2200</v>
      </c>
      <c r="D363" s="103">
        <v>5</v>
      </c>
      <c r="E363" s="104"/>
      <c r="F363" s="36">
        <v>3.88</v>
      </c>
    </row>
    <row r="364" spans="1:6" ht="15">
      <c r="A364" s="6" t="s">
        <v>2194</v>
      </c>
      <c r="B364" s="20" t="s">
        <v>6</v>
      </c>
      <c r="C364" s="20" t="s">
        <v>2201</v>
      </c>
      <c r="D364" s="103">
        <v>10</v>
      </c>
      <c r="E364" s="104"/>
      <c r="F364" s="36">
        <v>3.88</v>
      </c>
    </row>
    <row r="365" spans="1:6" ht="15">
      <c r="A365" s="6" t="s">
        <v>2194</v>
      </c>
      <c r="B365" s="20" t="s">
        <v>6</v>
      </c>
      <c r="C365" s="20" t="s">
        <v>2201</v>
      </c>
      <c r="D365" s="103">
        <v>10</v>
      </c>
      <c r="E365" s="104"/>
      <c r="F365" s="36">
        <v>3.88</v>
      </c>
    </row>
    <row r="366" spans="1:6" ht="15">
      <c r="A366" s="6" t="s">
        <v>2194</v>
      </c>
      <c r="B366" s="20" t="s">
        <v>6</v>
      </c>
      <c r="C366" s="20" t="s">
        <v>2201</v>
      </c>
      <c r="D366" s="103">
        <v>5</v>
      </c>
      <c r="E366" s="104"/>
      <c r="F366" s="36">
        <v>3.88</v>
      </c>
    </row>
    <row r="367" spans="1:6" ht="15">
      <c r="A367" s="6" t="s">
        <v>2194</v>
      </c>
      <c r="B367" s="20" t="s">
        <v>6</v>
      </c>
      <c r="C367" s="20" t="s">
        <v>2202</v>
      </c>
      <c r="D367" s="103">
        <v>25</v>
      </c>
      <c r="E367" s="626" t="s">
        <v>2196</v>
      </c>
      <c r="F367" s="36">
        <v>3.88</v>
      </c>
    </row>
    <row r="368" spans="1:6" ht="15">
      <c r="A368" s="6" t="s">
        <v>2194</v>
      </c>
      <c r="B368" s="20"/>
      <c r="C368" s="20" t="s">
        <v>55</v>
      </c>
      <c r="D368" s="8" t="s">
        <v>2203</v>
      </c>
      <c r="E368" s="33"/>
      <c r="F368" s="36">
        <v>12</v>
      </c>
    </row>
    <row r="371" spans="1:7" ht="15">
      <c r="A371" s="79" t="s">
        <v>193</v>
      </c>
      <c r="B371" s="79" t="s">
        <v>2035</v>
      </c>
      <c r="C371" s="80" t="s">
        <v>34</v>
      </c>
      <c r="D371" s="80" t="s">
        <v>35</v>
      </c>
      <c r="E371" s="231"/>
      <c r="F371" s="105" t="s">
        <v>5</v>
      </c>
    </row>
    <row r="372" spans="1:7" ht="15">
      <c r="A372" s="6" t="s">
        <v>2204</v>
      </c>
      <c r="B372" s="20" t="s">
        <v>7</v>
      </c>
      <c r="C372" s="20" t="s">
        <v>2205</v>
      </c>
      <c r="D372" s="103">
        <v>25</v>
      </c>
      <c r="E372" s="104"/>
      <c r="F372" s="36">
        <v>3.57</v>
      </c>
    </row>
    <row r="373" spans="1:7" ht="15">
      <c r="A373" s="6" t="s">
        <v>2204</v>
      </c>
      <c r="B373" s="20" t="s">
        <v>7</v>
      </c>
      <c r="C373" s="20" t="s">
        <v>2206</v>
      </c>
      <c r="D373" s="103">
        <v>50</v>
      </c>
      <c r="E373" s="104"/>
      <c r="F373" s="36">
        <v>3.57</v>
      </c>
    </row>
    <row r="374" spans="1:7" ht="15">
      <c r="A374" s="6" t="s">
        <v>2204</v>
      </c>
      <c r="B374" s="20" t="s">
        <v>7</v>
      </c>
      <c r="C374" s="20" t="s">
        <v>2032</v>
      </c>
      <c r="D374" s="103">
        <v>25</v>
      </c>
      <c r="E374" s="104"/>
      <c r="F374" s="36">
        <v>3.57</v>
      </c>
    </row>
    <row r="375" spans="1:7" ht="15">
      <c r="A375" s="6" t="s">
        <v>2204</v>
      </c>
      <c r="B375" s="20" t="s">
        <v>7</v>
      </c>
      <c r="C375" s="20" t="s">
        <v>2207</v>
      </c>
      <c r="D375" s="103">
        <v>25</v>
      </c>
      <c r="E375" s="104"/>
      <c r="F375" s="36">
        <v>3.57</v>
      </c>
    </row>
    <row r="376" spans="1:7" ht="15">
      <c r="A376" s="6" t="s">
        <v>2204</v>
      </c>
      <c r="B376" s="20" t="s">
        <v>7</v>
      </c>
      <c r="C376" s="20" t="s">
        <v>2208</v>
      </c>
      <c r="D376" s="103">
        <v>25</v>
      </c>
      <c r="E376" s="104"/>
      <c r="F376" s="36">
        <v>3.57</v>
      </c>
    </row>
    <row r="377" spans="1:7" ht="15">
      <c r="A377" s="6" t="s">
        <v>2204</v>
      </c>
      <c r="B377" s="20" t="s">
        <v>7</v>
      </c>
      <c r="C377" s="20" t="s">
        <v>2209</v>
      </c>
      <c r="D377" s="103">
        <v>10</v>
      </c>
      <c r="E377" s="104"/>
      <c r="F377" s="36">
        <v>3.57</v>
      </c>
    </row>
    <row r="378" spans="1:7" ht="15">
      <c r="A378" s="6" t="s">
        <v>2204</v>
      </c>
      <c r="B378" s="20" t="s">
        <v>7</v>
      </c>
      <c r="C378" s="20" t="s">
        <v>2210</v>
      </c>
      <c r="D378" s="103">
        <v>10</v>
      </c>
      <c r="E378" s="104"/>
      <c r="F378" s="36">
        <v>3.57</v>
      </c>
    </row>
    <row r="379" spans="1:7" ht="15">
      <c r="A379" s="6" t="s">
        <v>2204</v>
      </c>
      <c r="B379" s="20"/>
      <c r="C379" s="20" t="s">
        <v>55</v>
      </c>
      <c r="D379" s="118" t="s">
        <v>179</v>
      </c>
      <c r="E379" s="103"/>
      <c r="F379" s="36">
        <v>12</v>
      </c>
    </row>
    <row r="384" spans="1:7" ht="15">
      <c r="A384" s="79" t="s">
        <v>2035</v>
      </c>
      <c r="B384" s="79" t="s">
        <v>33</v>
      </c>
      <c r="C384" s="80" t="s">
        <v>34</v>
      </c>
      <c r="D384" s="81" t="s">
        <v>2040</v>
      </c>
      <c r="E384" s="603" t="s">
        <v>2041</v>
      </c>
      <c r="F384" s="81" t="s">
        <v>112</v>
      </c>
      <c r="G384" s="81" t="s">
        <v>2211</v>
      </c>
    </row>
    <row r="385" spans="1:8" ht="15">
      <c r="A385" s="20">
        <v>14552</v>
      </c>
      <c r="B385" s="34">
        <v>25</v>
      </c>
      <c r="C385" s="34" t="s">
        <v>163</v>
      </c>
      <c r="D385" s="103">
        <v>30</v>
      </c>
      <c r="E385" s="104">
        <v>5</v>
      </c>
      <c r="F385" s="8">
        <v>150</v>
      </c>
      <c r="G385" s="622">
        <v>48</v>
      </c>
    </row>
    <row r="386" spans="1:8" ht="15">
      <c r="A386" s="20">
        <v>14552</v>
      </c>
      <c r="B386" s="34">
        <v>25</v>
      </c>
      <c r="C386" s="34" t="s">
        <v>2212</v>
      </c>
      <c r="D386" s="103">
        <v>30</v>
      </c>
      <c r="E386" s="104">
        <v>4</v>
      </c>
      <c r="F386" s="8">
        <v>120</v>
      </c>
      <c r="G386" s="622">
        <v>48</v>
      </c>
    </row>
    <row r="387" spans="1:8" ht="15">
      <c r="A387" s="20">
        <v>14552</v>
      </c>
      <c r="B387" s="34">
        <v>10</v>
      </c>
      <c r="C387" s="34" t="s">
        <v>2213</v>
      </c>
      <c r="D387" s="103">
        <v>30</v>
      </c>
      <c r="E387" s="104">
        <v>107</v>
      </c>
      <c r="F387" s="8">
        <v>3210</v>
      </c>
      <c r="G387" s="622">
        <v>27</v>
      </c>
    </row>
    <row r="388" spans="1:8" ht="15">
      <c r="A388" s="20">
        <v>14552</v>
      </c>
      <c r="B388" s="34">
        <v>10</v>
      </c>
      <c r="C388" s="34" t="s">
        <v>11</v>
      </c>
      <c r="D388" s="103">
        <v>30</v>
      </c>
      <c r="E388" s="104">
        <v>191</v>
      </c>
      <c r="F388" s="8">
        <v>5730</v>
      </c>
      <c r="G388" s="622">
        <v>27</v>
      </c>
    </row>
    <row r="389" spans="1:8" ht="15">
      <c r="A389" s="20">
        <v>14552</v>
      </c>
      <c r="B389" s="34">
        <v>50</v>
      </c>
      <c r="C389" s="34" t="s">
        <v>2213</v>
      </c>
      <c r="D389" s="103">
        <v>30</v>
      </c>
      <c r="E389" s="104">
        <v>7</v>
      </c>
      <c r="F389" s="8">
        <v>210</v>
      </c>
      <c r="G389" s="622">
        <v>101</v>
      </c>
    </row>
    <row r="390" spans="1:8" ht="15">
      <c r="A390" s="20" t="s">
        <v>1940</v>
      </c>
      <c r="B390" s="34">
        <v>9</v>
      </c>
      <c r="C390" s="34" t="s">
        <v>2214</v>
      </c>
      <c r="D390" s="103">
        <v>30</v>
      </c>
      <c r="E390" s="104">
        <v>8</v>
      </c>
      <c r="F390" s="8">
        <v>240</v>
      </c>
      <c r="G390" s="622">
        <v>28</v>
      </c>
    </row>
    <row r="391" spans="1:8" ht="15">
      <c r="A391" s="20" t="s">
        <v>1940</v>
      </c>
      <c r="B391" s="34">
        <v>9</v>
      </c>
      <c r="C391" s="34" t="s">
        <v>2023</v>
      </c>
      <c r="D391" s="103">
        <v>30</v>
      </c>
      <c r="E391" s="104">
        <v>27</v>
      </c>
      <c r="F391" s="8">
        <v>810</v>
      </c>
      <c r="G391" s="622">
        <v>28</v>
      </c>
    </row>
    <row r="394" spans="1:8" ht="15.75">
      <c r="A394" s="79" t="s">
        <v>2035</v>
      </c>
      <c r="B394" s="79" t="s">
        <v>33</v>
      </c>
      <c r="C394" s="80" t="s">
        <v>34</v>
      </c>
      <c r="D394" s="81" t="s">
        <v>2040</v>
      </c>
      <c r="E394" s="603" t="s">
        <v>2041</v>
      </c>
      <c r="F394" s="81" t="s">
        <v>112</v>
      </c>
      <c r="G394" s="27" t="s">
        <v>5</v>
      </c>
    </row>
    <row r="395" spans="1:8" ht="15">
      <c r="A395" s="20">
        <v>3808</v>
      </c>
      <c r="B395" s="34">
        <v>9</v>
      </c>
      <c r="C395" s="20" t="s">
        <v>1877</v>
      </c>
      <c r="D395" s="8">
        <v>50</v>
      </c>
      <c r="E395" s="33">
        <v>2</v>
      </c>
      <c r="F395" s="103">
        <v>100</v>
      </c>
      <c r="G395" s="627">
        <v>15.6</v>
      </c>
    </row>
    <row r="396" spans="1:8" ht="15">
      <c r="A396" s="20">
        <v>3808</v>
      </c>
      <c r="B396" s="34">
        <v>9</v>
      </c>
      <c r="C396" s="20" t="s">
        <v>1879</v>
      </c>
      <c r="D396" s="8">
        <v>50</v>
      </c>
      <c r="E396" s="33">
        <v>1</v>
      </c>
      <c r="F396" s="103">
        <v>50</v>
      </c>
      <c r="G396" s="627">
        <v>15.6</v>
      </c>
    </row>
    <row r="400" spans="1:8" ht="15">
      <c r="A400" s="79" t="s">
        <v>2035</v>
      </c>
      <c r="B400" s="79" t="s">
        <v>33</v>
      </c>
      <c r="C400" s="80" t="s">
        <v>34</v>
      </c>
      <c r="D400" s="81" t="s">
        <v>2040</v>
      </c>
      <c r="E400" s="603" t="s">
        <v>2041</v>
      </c>
      <c r="F400" s="81" t="s">
        <v>112</v>
      </c>
      <c r="G400" s="81" t="s">
        <v>2211</v>
      </c>
      <c r="H400" s="80" t="s">
        <v>143</v>
      </c>
    </row>
    <row r="401" spans="1:8" ht="15.75">
      <c r="A401" s="20">
        <v>14552</v>
      </c>
      <c r="B401" s="34">
        <v>25</v>
      </c>
      <c r="C401" s="34" t="s">
        <v>163</v>
      </c>
      <c r="D401" s="103">
        <v>30</v>
      </c>
      <c r="E401" s="104">
        <v>5</v>
      </c>
      <c r="F401" s="8">
        <v>150</v>
      </c>
      <c r="G401" s="36">
        <v>1.03</v>
      </c>
      <c r="H401" s="628" t="s">
        <v>199</v>
      </c>
    </row>
    <row r="402" spans="1:8" ht="15.75">
      <c r="A402" s="20">
        <v>14552</v>
      </c>
      <c r="B402" s="34">
        <v>25</v>
      </c>
      <c r="C402" s="34" t="s">
        <v>2212</v>
      </c>
      <c r="D402" s="103">
        <v>30</v>
      </c>
      <c r="E402" s="104">
        <v>4</v>
      </c>
      <c r="F402" s="8">
        <v>120</v>
      </c>
      <c r="G402" s="36">
        <v>1.03</v>
      </c>
      <c r="H402" s="628" t="s">
        <v>2215</v>
      </c>
    </row>
    <row r="403" spans="1:8" ht="15.75">
      <c r="A403" s="20">
        <v>14552</v>
      </c>
      <c r="B403" s="34">
        <v>10</v>
      </c>
      <c r="C403" s="34" t="s">
        <v>2213</v>
      </c>
      <c r="D403" s="103">
        <v>30</v>
      </c>
      <c r="E403" s="104">
        <v>107</v>
      </c>
      <c r="F403" s="8">
        <v>3210</v>
      </c>
      <c r="G403" s="36">
        <v>0.68</v>
      </c>
      <c r="H403" s="628" t="s">
        <v>199</v>
      </c>
    </row>
    <row r="404" spans="1:8" ht="15.75">
      <c r="A404" s="20">
        <v>14552</v>
      </c>
      <c r="B404" s="34">
        <v>10</v>
      </c>
      <c r="C404" s="34" t="s">
        <v>11</v>
      </c>
      <c r="D404" s="103">
        <v>30</v>
      </c>
      <c r="E404" s="104">
        <v>191</v>
      </c>
      <c r="F404" s="8">
        <v>5730</v>
      </c>
      <c r="G404" s="36">
        <v>0.68</v>
      </c>
      <c r="H404" s="628" t="s">
        <v>2216</v>
      </c>
    </row>
    <row r="405" spans="1:8" ht="15.75">
      <c r="A405" s="20">
        <v>14552</v>
      </c>
      <c r="B405" s="34">
        <v>50</v>
      </c>
      <c r="C405" s="34" t="s">
        <v>2213</v>
      </c>
      <c r="D405" s="103">
        <v>30</v>
      </c>
      <c r="E405" s="104">
        <v>7</v>
      </c>
      <c r="F405" s="8">
        <v>210</v>
      </c>
      <c r="G405" s="36">
        <v>1.91</v>
      </c>
      <c r="H405" s="628" t="s">
        <v>199</v>
      </c>
    </row>
    <row r="406" spans="1:8" ht="15.75">
      <c r="A406" s="20" t="s">
        <v>1940</v>
      </c>
      <c r="B406" s="34">
        <v>9</v>
      </c>
      <c r="C406" s="34" t="s">
        <v>2214</v>
      </c>
      <c r="D406" s="103">
        <v>30</v>
      </c>
      <c r="E406" s="104">
        <v>8</v>
      </c>
      <c r="F406" s="8">
        <v>240</v>
      </c>
      <c r="G406" s="36">
        <v>0.74</v>
      </c>
      <c r="H406" s="628" t="s">
        <v>199</v>
      </c>
    </row>
    <row r="407" spans="1:8" ht="15.75">
      <c r="A407" s="20" t="s">
        <v>1940</v>
      </c>
      <c r="B407" s="34">
        <v>9</v>
      </c>
      <c r="C407" s="34" t="s">
        <v>2023</v>
      </c>
      <c r="D407" s="103">
        <v>30</v>
      </c>
      <c r="E407" s="104">
        <v>27</v>
      </c>
      <c r="F407" s="8">
        <v>810</v>
      </c>
      <c r="G407" s="36">
        <v>0.74</v>
      </c>
      <c r="H407" s="628" t="s">
        <v>199</v>
      </c>
    </row>
    <row r="408" spans="1:8" ht="15.75">
      <c r="A408" s="20">
        <v>3808</v>
      </c>
      <c r="B408" s="34">
        <v>9</v>
      </c>
      <c r="C408" s="20" t="s">
        <v>1877</v>
      </c>
      <c r="D408" s="8">
        <v>50</v>
      </c>
      <c r="E408" s="33">
        <v>2</v>
      </c>
      <c r="F408" s="103">
        <v>100</v>
      </c>
      <c r="G408" s="36">
        <v>0.46</v>
      </c>
      <c r="H408" s="628" t="s">
        <v>199</v>
      </c>
    </row>
    <row r="409" spans="1:8" ht="15.75">
      <c r="A409" s="20">
        <v>3808</v>
      </c>
      <c r="B409" s="34">
        <v>9</v>
      </c>
      <c r="C409" s="20" t="s">
        <v>1879</v>
      </c>
      <c r="D409" s="8">
        <v>50</v>
      </c>
      <c r="E409" s="33">
        <v>1</v>
      </c>
      <c r="F409" s="103">
        <v>50</v>
      </c>
      <c r="G409" s="36">
        <v>0.46</v>
      </c>
      <c r="H409" s="628" t="s">
        <v>199</v>
      </c>
    </row>
    <row r="412" spans="1:8" ht="15">
      <c r="A412" s="46" t="s">
        <v>2217</v>
      </c>
      <c r="B412" s="34" t="s">
        <v>56</v>
      </c>
      <c r="C412" s="103">
        <v>5</v>
      </c>
      <c r="D412" s="36">
        <v>2.09</v>
      </c>
    </row>
    <row r="413" spans="1:8" ht="15">
      <c r="A413" s="46" t="s">
        <v>182</v>
      </c>
      <c r="B413" s="34" t="s">
        <v>56</v>
      </c>
      <c r="C413" s="103">
        <v>5</v>
      </c>
      <c r="D413" s="36">
        <v>4.1399999999999997</v>
      </c>
    </row>
    <row r="414" spans="1:8" ht="15">
      <c r="A414" s="46" t="s">
        <v>2218</v>
      </c>
      <c r="B414" s="34" t="s">
        <v>56</v>
      </c>
      <c r="C414" s="103">
        <v>5</v>
      </c>
      <c r="D414" s="36">
        <v>3.44</v>
      </c>
    </row>
    <row r="416" spans="1:8" ht="15">
      <c r="A416" s="79" t="s">
        <v>2035</v>
      </c>
      <c r="B416" s="80" t="s">
        <v>34</v>
      </c>
      <c r="C416" s="603" t="s">
        <v>2041</v>
      </c>
      <c r="D416" s="81" t="s">
        <v>112</v>
      </c>
      <c r="E416" s="88" t="s">
        <v>183</v>
      </c>
    </row>
    <row r="417" spans="1:12" ht="15">
      <c r="A417" s="20" t="s">
        <v>1959</v>
      </c>
      <c r="B417" s="34" t="s">
        <v>56</v>
      </c>
      <c r="C417" s="104">
        <v>1</v>
      </c>
      <c r="D417" s="103">
        <v>13.7</v>
      </c>
      <c r="E417" s="622">
        <v>69</v>
      </c>
    </row>
    <row r="418" spans="1:12" ht="15">
      <c r="A418" s="20" t="s">
        <v>2079</v>
      </c>
      <c r="B418" s="34" t="s">
        <v>115</v>
      </c>
      <c r="C418" s="104">
        <v>1</v>
      </c>
      <c r="D418" s="103">
        <v>13.7</v>
      </c>
      <c r="E418" s="622">
        <v>106</v>
      </c>
    </row>
    <row r="419" spans="1:12" ht="15">
      <c r="A419" s="20" t="s">
        <v>2094</v>
      </c>
      <c r="B419" s="34" t="s">
        <v>121</v>
      </c>
      <c r="C419" s="104">
        <v>1</v>
      </c>
      <c r="D419" s="103">
        <v>13.7</v>
      </c>
      <c r="E419" s="622">
        <v>123</v>
      </c>
    </row>
    <row r="420" spans="1:12" ht="15">
      <c r="A420" s="20" t="s">
        <v>2020</v>
      </c>
      <c r="B420" s="34" t="s">
        <v>2008</v>
      </c>
      <c r="C420" s="104">
        <v>2</v>
      </c>
      <c r="D420" s="103">
        <v>27.4</v>
      </c>
      <c r="E420" s="622">
        <v>123</v>
      </c>
    </row>
    <row r="422" spans="1:12" ht="15.75">
      <c r="A422" s="79" t="s">
        <v>193</v>
      </c>
      <c r="B422" s="79" t="s">
        <v>2035</v>
      </c>
      <c r="C422" s="79" t="s">
        <v>33</v>
      </c>
      <c r="D422" s="80" t="s">
        <v>34</v>
      </c>
      <c r="E422" s="81" t="s">
        <v>2040</v>
      </c>
      <c r="F422" s="603" t="s">
        <v>2041</v>
      </c>
      <c r="G422" s="81" t="s">
        <v>112</v>
      </c>
      <c r="H422" s="81" t="s">
        <v>2036</v>
      </c>
      <c r="I422" s="105" t="s">
        <v>5</v>
      </c>
    </row>
    <row r="423" spans="1:12" ht="15">
      <c r="A423" s="6" t="s">
        <v>2219</v>
      </c>
      <c r="B423" s="20" t="s">
        <v>2220</v>
      </c>
      <c r="C423" s="34">
        <v>10</v>
      </c>
      <c r="D423" s="20" t="s">
        <v>115</v>
      </c>
      <c r="E423" s="103">
        <v>100</v>
      </c>
      <c r="F423" s="104">
        <v>3</v>
      </c>
      <c r="G423" s="57">
        <f>E423*F423</f>
        <v>300</v>
      </c>
      <c r="H423" s="36">
        <v>0.7</v>
      </c>
    </row>
    <row r="424" spans="1:12" ht="15">
      <c r="A424" s="6" t="s">
        <v>2219</v>
      </c>
      <c r="B424" s="78"/>
      <c r="C424" s="34"/>
      <c r="D424" s="20" t="s">
        <v>125</v>
      </c>
      <c r="E424" s="35" t="s">
        <v>61</v>
      </c>
      <c r="F424" s="33"/>
      <c r="G424" s="103"/>
      <c r="H424" s="36">
        <v>150</v>
      </c>
    </row>
    <row r="426" spans="1:12" ht="15">
      <c r="A426" s="79" t="s">
        <v>2035</v>
      </c>
      <c r="B426" s="80" t="s">
        <v>34</v>
      </c>
      <c r="C426" s="81" t="s">
        <v>112</v>
      </c>
      <c r="D426" s="88" t="s">
        <v>183</v>
      </c>
      <c r="E426" s="88" t="s">
        <v>2221</v>
      </c>
      <c r="F426" s="31"/>
      <c r="G426" s="126"/>
      <c r="H426" s="257"/>
      <c r="I426" s="32"/>
      <c r="J426" s="45"/>
      <c r="K426" s="1" t="s">
        <v>2222</v>
      </c>
      <c r="L426" s="1" t="s">
        <v>305</v>
      </c>
    </row>
    <row r="427" spans="1:12" ht="15">
      <c r="A427" s="45" t="s">
        <v>2223</v>
      </c>
      <c r="B427" s="45" t="s">
        <v>2224</v>
      </c>
      <c r="C427" s="44">
        <v>1180</v>
      </c>
      <c r="D427" s="622">
        <v>97</v>
      </c>
      <c r="E427" s="622"/>
      <c r="F427" s="31"/>
      <c r="G427" s="126"/>
      <c r="H427" s="4"/>
      <c r="I427" s="32">
        <v>2.36</v>
      </c>
      <c r="J427" s="629">
        <v>177</v>
      </c>
      <c r="K427" s="1">
        <v>97</v>
      </c>
      <c r="L427" t="s">
        <v>2225</v>
      </c>
    </row>
    <row r="428" spans="1:12" ht="15">
      <c r="A428" s="45" t="s">
        <v>2130</v>
      </c>
      <c r="B428" s="61" t="s">
        <v>2142</v>
      </c>
      <c r="C428" s="44">
        <v>100</v>
      </c>
      <c r="D428" s="622">
        <v>127</v>
      </c>
      <c r="E428" s="622">
        <v>80</v>
      </c>
      <c r="F428" s="31"/>
      <c r="G428" s="126"/>
      <c r="H428" s="236"/>
      <c r="I428" s="32">
        <v>2.76</v>
      </c>
      <c r="J428" s="1">
        <v>207</v>
      </c>
      <c r="K428" s="1">
        <v>127</v>
      </c>
      <c r="L428" s="24" t="s">
        <v>2138</v>
      </c>
    </row>
    <row r="429" spans="1:12" ht="15">
      <c r="A429" s="45" t="s">
        <v>2130</v>
      </c>
      <c r="B429" s="45" t="s">
        <v>2224</v>
      </c>
      <c r="C429" s="44">
        <v>2150</v>
      </c>
      <c r="D429" s="622">
        <v>127</v>
      </c>
      <c r="E429" s="622"/>
      <c r="F429" s="31"/>
      <c r="G429" s="126"/>
      <c r="H429" s="236"/>
      <c r="I429" s="32">
        <v>2.76</v>
      </c>
      <c r="J429" s="1">
        <v>207</v>
      </c>
      <c r="K429" s="1">
        <v>127</v>
      </c>
      <c r="L429" s="24" t="s">
        <v>2138</v>
      </c>
    </row>
    <row r="430" spans="1:12" ht="15">
      <c r="A430" s="45" t="s">
        <v>2134</v>
      </c>
      <c r="B430" s="61" t="s">
        <v>2142</v>
      </c>
      <c r="C430" s="44">
        <v>330</v>
      </c>
      <c r="D430" s="622">
        <v>189</v>
      </c>
      <c r="E430" s="622">
        <v>70</v>
      </c>
      <c r="F430" s="31"/>
      <c r="G430" s="126"/>
      <c r="H430" s="236"/>
      <c r="I430" s="32">
        <v>3.46</v>
      </c>
      <c r="J430" s="1">
        <v>259</v>
      </c>
      <c r="K430" s="1">
        <v>189</v>
      </c>
      <c r="L430" s="24" t="s">
        <v>2148</v>
      </c>
    </row>
    <row r="431" spans="1:12" ht="15">
      <c r="A431" s="45" t="s">
        <v>2133</v>
      </c>
      <c r="B431" s="45" t="s">
        <v>2224</v>
      </c>
      <c r="C431" s="44">
        <v>2460</v>
      </c>
      <c r="D431" s="622">
        <v>119</v>
      </c>
      <c r="E431" s="622"/>
      <c r="F431" s="31"/>
      <c r="G431" s="126"/>
      <c r="H431" s="236"/>
      <c r="I431" s="32">
        <v>2.66</v>
      </c>
      <c r="J431" s="1">
        <v>199</v>
      </c>
      <c r="K431" s="1">
        <v>119</v>
      </c>
      <c r="L431" s="24" t="s">
        <v>2138</v>
      </c>
    </row>
    <row r="432" spans="1:12" ht="15">
      <c r="A432" s="45" t="s">
        <v>2133</v>
      </c>
      <c r="B432" s="45" t="s">
        <v>2139</v>
      </c>
      <c r="C432" s="44">
        <v>350</v>
      </c>
      <c r="D432" s="622">
        <v>119</v>
      </c>
      <c r="E432" s="622">
        <v>80</v>
      </c>
      <c r="F432" s="31"/>
      <c r="G432" s="126"/>
      <c r="H432" s="236"/>
      <c r="I432" s="32">
        <v>2.66</v>
      </c>
      <c r="J432" s="1">
        <v>199</v>
      </c>
      <c r="K432" s="1">
        <v>119</v>
      </c>
      <c r="L432" s="24" t="s">
        <v>2138</v>
      </c>
    </row>
    <row r="435" spans="1:12" ht="15.75">
      <c r="A435" s="79" t="s">
        <v>2035</v>
      </c>
      <c r="B435" s="80" t="s">
        <v>34</v>
      </c>
      <c r="C435" s="81" t="s">
        <v>112</v>
      </c>
      <c r="D435" s="88" t="s">
        <v>183</v>
      </c>
      <c r="E435" s="106"/>
      <c r="F435" s="10"/>
      <c r="G435" s="127"/>
      <c r="H435" s="12"/>
      <c r="I435" s="36"/>
      <c r="J435" s="20"/>
      <c r="K435" s="7" t="s">
        <v>2222</v>
      </c>
      <c r="L435" s="7"/>
    </row>
    <row r="436" spans="1:12" ht="15.75">
      <c r="A436" s="20" t="s">
        <v>2226</v>
      </c>
      <c r="B436" s="20" t="s">
        <v>37</v>
      </c>
      <c r="C436" s="103">
        <v>5</v>
      </c>
      <c r="D436" s="622">
        <v>69</v>
      </c>
      <c r="E436" s="106"/>
      <c r="F436" s="10"/>
      <c r="G436" s="127"/>
      <c r="H436" s="36">
        <f>J436/0.75/100</f>
        <v>1.8533333333333335</v>
      </c>
      <c r="I436" s="36">
        <v>1.86</v>
      </c>
      <c r="J436" s="630">
        <v>139</v>
      </c>
      <c r="K436" s="7">
        <v>69</v>
      </c>
      <c r="L436" s="24" t="s">
        <v>2148</v>
      </c>
    </row>
    <row r="437" spans="1:12" ht="15.75">
      <c r="A437" s="20" t="s">
        <v>2227</v>
      </c>
      <c r="B437" s="20" t="s">
        <v>37</v>
      </c>
      <c r="C437" s="103">
        <v>5</v>
      </c>
      <c r="D437" s="622">
        <v>72</v>
      </c>
      <c r="E437" s="106"/>
      <c r="F437" s="10"/>
      <c r="G437" s="127"/>
      <c r="H437" s="36">
        <f>J437/0.75/100</f>
        <v>1.8933333333333335</v>
      </c>
      <c r="I437" s="36">
        <v>1.9</v>
      </c>
      <c r="J437" s="630">
        <v>142</v>
      </c>
      <c r="K437" s="7">
        <v>72</v>
      </c>
      <c r="L437" s="24" t="s">
        <v>2148</v>
      </c>
    </row>
    <row r="438" spans="1:12" ht="15.75">
      <c r="A438" s="20" t="s">
        <v>2228</v>
      </c>
      <c r="B438" s="20" t="s">
        <v>37</v>
      </c>
      <c r="C438" s="103">
        <v>5</v>
      </c>
      <c r="D438" s="622">
        <v>78</v>
      </c>
      <c r="E438" s="106"/>
      <c r="F438" s="10"/>
      <c r="G438" s="127"/>
      <c r="H438" s="36">
        <f>J438/0.75/100</f>
        <v>1.9733333333333334</v>
      </c>
      <c r="I438" s="36">
        <v>1.98</v>
      </c>
      <c r="J438" s="630">
        <v>148</v>
      </c>
      <c r="K438" s="7">
        <v>78</v>
      </c>
      <c r="L438" s="24" t="s">
        <v>2148</v>
      </c>
    </row>
    <row r="439" spans="1:12" ht="15.75">
      <c r="A439" s="20" t="s">
        <v>2229</v>
      </c>
      <c r="B439" s="20" t="s">
        <v>37</v>
      </c>
      <c r="C439" s="103">
        <v>5</v>
      </c>
      <c r="D439" s="622">
        <v>60</v>
      </c>
      <c r="E439" s="106"/>
      <c r="F439" s="10"/>
      <c r="G439" s="127"/>
      <c r="H439" s="36">
        <f>J439/0.75/100</f>
        <v>1.7333333333333334</v>
      </c>
      <c r="I439" s="36">
        <v>1.74</v>
      </c>
      <c r="J439" s="630">
        <v>130</v>
      </c>
      <c r="K439" s="7">
        <v>60</v>
      </c>
      <c r="L439" s="24" t="s">
        <v>2148</v>
      </c>
    </row>
    <row r="440" spans="1:12" ht="15.75">
      <c r="A440" s="20" t="s">
        <v>2230</v>
      </c>
      <c r="B440" s="20" t="s">
        <v>37</v>
      </c>
      <c r="C440" s="103">
        <v>5</v>
      </c>
      <c r="D440" s="622">
        <v>19</v>
      </c>
      <c r="E440" s="106"/>
      <c r="F440" s="10"/>
      <c r="G440" s="127"/>
      <c r="H440" s="36">
        <f>J440/0.75/100</f>
        <v>1.1866666666666668</v>
      </c>
      <c r="I440" s="36">
        <v>1.19</v>
      </c>
      <c r="J440" s="630">
        <v>89</v>
      </c>
      <c r="K440" s="7">
        <v>19</v>
      </c>
      <c r="L440" s="24" t="s">
        <v>2148</v>
      </c>
    </row>
    <row r="441" spans="1:12" ht="15.75">
      <c r="A441" s="20"/>
      <c r="B441" s="20" t="s">
        <v>2231</v>
      </c>
      <c r="C441" s="35" t="s">
        <v>2232</v>
      </c>
      <c r="D441" s="622">
        <v>3000</v>
      </c>
      <c r="E441" s="106"/>
      <c r="F441" s="10"/>
      <c r="G441" s="127"/>
      <c r="H441" s="6"/>
      <c r="I441" s="36"/>
      <c r="J441" s="7"/>
      <c r="K441" s="7">
        <v>3000</v>
      </c>
      <c r="L441" s="7"/>
    </row>
    <row r="442" spans="1:12" ht="15.75">
      <c r="A442" s="20" t="s">
        <v>2233</v>
      </c>
      <c r="B442" s="20" t="s">
        <v>56</v>
      </c>
      <c r="C442" s="103">
        <v>5</v>
      </c>
      <c r="D442" s="622">
        <v>44</v>
      </c>
      <c r="E442" s="30"/>
      <c r="F442" s="31"/>
      <c r="G442" s="126"/>
      <c r="H442" s="6"/>
      <c r="I442" s="36">
        <v>1.52</v>
      </c>
      <c r="J442" s="631">
        <v>114</v>
      </c>
      <c r="K442" s="7">
        <v>44</v>
      </c>
      <c r="L442" s="7">
        <v>70</v>
      </c>
    </row>
    <row r="443" spans="1:12" ht="15.75">
      <c r="A443" s="20" t="s">
        <v>2234</v>
      </c>
      <c r="B443" s="20" t="s">
        <v>121</v>
      </c>
      <c r="C443" s="103">
        <v>5</v>
      </c>
      <c r="D443" s="622">
        <v>268</v>
      </c>
      <c r="E443" s="30"/>
      <c r="F443" s="31"/>
      <c r="G443" s="126"/>
      <c r="H443" s="6"/>
      <c r="I443" s="36">
        <v>3.58</v>
      </c>
      <c r="J443" s="631"/>
      <c r="K443" s="7">
        <v>268</v>
      </c>
      <c r="L443" s="7"/>
    </row>
    <row r="444" spans="1:12" ht="15.75">
      <c r="A444" s="20" t="s">
        <v>2235</v>
      </c>
      <c r="B444" s="20" t="s">
        <v>121</v>
      </c>
      <c r="C444" s="103">
        <v>5</v>
      </c>
      <c r="D444" s="622">
        <v>120</v>
      </c>
      <c r="E444" s="30"/>
      <c r="F444" s="31"/>
      <c r="G444" s="126"/>
      <c r="H444" s="6"/>
      <c r="I444" s="36">
        <v>1.6</v>
      </c>
      <c r="J444" s="631"/>
      <c r="K444" s="7">
        <v>120</v>
      </c>
      <c r="L444" s="7"/>
    </row>
    <row r="445" spans="1:12" ht="15.75">
      <c r="A445" s="79" t="s">
        <v>2035</v>
      </c>
      <c r="B445" s="80" t="s">
        <v>34</v>
      </c>
      <c r="C445" s="81" t="s">
        <v>112</v>
      </c>
      <c r="D445" s="88" t="s">
        <v>183</v>
      </c>
      <c r="E445" s="106"/>
      <c r="F445" s="10"/>
      <c r="G445" s="127"/>
      <c r="H445" s="12"/>
      <c r="I445" s="36"/>
      <c r="J445" s="20"/>
      <c r="K445" s="7" t="s">
        <v>2222</v>
      </c>
      <c r="L445" s="7"/>
    </row>
    <row r="446" spans="1:12" ht="15.75">
      <c r="A446" s="20" t="s">
        <v>2234</v>
      </c>
      <c r="B446" s="20" t="s">
        <v>2021</v>
      </c>
      <c r="C446" s="103">
        <v>5</v>
      </c>
      <c r="D446" s="622">
        <v>268</v>
      </c>
      <c r="E446" s="30"/>
      <c r="F446" s="31"/>
      <c r="G446" s="126"/>
      <c r="H446" s="6"/>
      <c r="I446" s="36">
        <v>3.58</v>
      </c>
      <c r="J446" s="631"/>
      <c r="K446" s="7">
        <v>268</v>
      </c>
      <c r="L446" s="7"/>
    </row>
    <row r="447" spans="1:12" ht="15.75">
      <c r="A447" s="20" t="s">
        <v>2235</v>
      </c>
      <c r="B447" s="20" t="s">
        <v>2021</v>
      </c>
      <c r="C447" s="103">
        <v>5</v>
      </c>
      <c r="D447" s="622">
        <v>120</v>
      </c>
      <c r="E447" s="30"/>
      <c r="F447" s="31"/>
      <c r="G447" s="126"/>
      <c r="H447" s="6"/>
      <c r="I447" s="36">
        <v>1.6</v>
      </c>
      <c r="J447" s="631"/>
      <c r="K447" s="7">
        <v>120</v>
      </c>
      <c r="L447" s="7"/>
    </row>
    <row r="451" spans="1:8" ht="15">
      <c r="A451" s="79" t="s">
        <v>2035</v>
      </c>
      <c r="B451" s="80" t="s">
        <v>34</v>
      </c>
      <c r="C451" s="81" t="s">
        <v>112</v>
      </c>
      <c r="D451" s="88" t="s">
        <v>183</v>
      </c>
      <c r="E451" s="88" t="s">
        <v>2221</v>
      </c>
      <c r="F451" s="20"/>
      <c r="G451" s="7" t="s">
        <v>2222</v>
      </c>
      <c r="H451" s="7" t="s">
        <v>305</v>
      </c>
    </row>
    <row r="452" spans="1:8" ht="15.75">
      <c r="A452" s="20" t="s">
        <v>2233</v>
      </c>
      <c r="B452" s="20" t="s">
        <v>2139</v>
      </c>
      <c r="C452" s="103">
        <v>175</v>
      </c>
      <c r="D452" s="622">
        <v>44</v>
      </c>
      <c r="E452" s="622">
        <v>70</v>
      </c>
      <c r="F452" s="631">
        <v>114</v>
      </c>
      <c r="G452" s="7">
        <v>44</v>
      </c>
      <c r="H452" s="7">
        <v>70</v>
      </c>
    </row>
    <row r="453" spans="1:8" ht="15">
      <c r="A453" s="20" t="s">
        <v>2236</v>
      </c>
      <c r="B453" s="34" t="s">
        <v>2142</v>
      </c>
      <c r="C453" s="103">
        <v>100</v>
      </c>
      <c r="D453" s="622">
        <v>127</v>
      </c>
      <c r="E453" s="622">
        <v>80</v>
      </c>
      <c r="F453" s="7">
        <v>207</v>
      </c>
      <c r="G453" s="7">
        <v>127</v>
      </c>
      <c r="H453" s="11" t="s">
        <v>2138</v>
      </c>
    </row>
    <row r="454" spans="1:8" ht="15">
      <c r="A454" s="20" t="s">
        <v>2236</v>
      </c>
      <c r="B454" s="20" t="s">
        <v>2224</v>
      </c>
      <c r="C454" s="103">
        <v>1430</v>
      </c>
      <c r="D454" s="622">
        <v>127</v>
      </c>
      <c r="E454" s="622"/>
      <c r="F454" s="7">
        <v>207</v>
      </c>
      <c r="G454" s="7">
        <v>127</v>
      </c>
      <c r="H454" s="11" t="s">
        <v>2138</v>
      </c>
    </row>
    <row r="455" spans="1:8" ht="15">
      <c r="A455" s="20" t="s">
        <v>2236</v>
      </c>
      <c r="B455" s="20" t="s">
        <v>2139</v>
      </c>
      <c r="C455" s="103">
        <v>245</v>
      </c>
      <c r="D455" s="622">
        <v>127</v>
      </c>
      <c r="E455" s="622">
        <v>80</v>
      </c>
      <c r="F455" s="7">
        <v>207</v>
      </c>
      <c r="G455" s="7">
        <v>127</v>
      </c>
      <c r="H455" s="11" t="s">
        <v>2138</v>
      </c>
    </row>
    <row r="456" spans="1:8" ht="15">
      <c r="A456" s="20" t="s">
        <v>2134</v>
      </c>
      <c r="B456" s="34" t="s">
        <v>2142</v>
      </c>
      <c r="C456" s="103">
        <v>1890</v>
      </c>
      <c r="D456" s="622">
        <v>189</v>
      </c>
      <c r="E456" s="622">
        <v>70</v>
      </c>
      <c r="F456" s="7">
        <v>259</v>
      </c>
      <c r="G456" s="7">
        <v>189</v>
      </c>
      <c r="H456" s="11" t="s">
        <v>2148</v>
      </c>
    </row>
    <row r="457" spans="1:8" ht="15">
      <c r="A457" s="20" t="s">
        <v>2134</v>
      </c>
      <c r="B457" s="20" t="s">
        <v>2139</v>
      </c>
      <c r="C457" s="103">
        <v>245</v>
      </c>
      <c r="D457" s="622">
        <v>189</v>
      </c>
      <c r="E457" s="622">
        <v>70</v>
      </c>
      <c r="F457" s="7">
        <v>259</v>
      </c>
      <c r="G457" s="7">
        <v>189</v>
      </c>
      <c r="H457" s="11" t="s">
        <v>2148</v>
      </c>
    </row>
    <row r="458" spans="1:8" ht="15">
      <c r="A458" s="20" t="s">
        <v>2134</v>
      </c>
      <c r="B458" s="20" t="s">
        <v>2224</v>
      </c>
      <c r="C458" s="103">
        <v>1345</v>
      </c>
      <c r="D458" s="622">
        <v>189</v>
      </c>
      <c r="E458" s="622"/>
      <c r="F458" s="7">
        <v>259</v>
      </c>
      <c r="G458" s="7">
        <v>189</v>
      </c>
      <c r="H458" s="11" t="s">
        <v>2148</v>
      </c>
    </row>
    <row r="459" spans="1:8" ht="15">
      <c r="A459" s="20" t="s">
        <v>2133</v>
      </c>
      <c r="B459" s="20" t="s">
        <v>2224</v>
      </c>
      <c r="C459" s="103">
        <v>1430</v>
      </c>
      <c r="D459" s="622">
        <v>119</v>
      </c>
      <c r="E459" s="622"/>
      <c r="F459" s="7">
        <v>199</v>
      </c>
      <c r="G459" s="7">
        <v>119</v>
      </c>
      <c r="H459" s="11" t="s">
        <v>2138</v>
      </c>
    </row>
    <row r="460" spans="1:8" ht="15">
      <c r="A460" s="20" t="s">
        <v>2133</v>
      </c>
      <c r="B460" s="20" t="s">
        <v>2139</v>
      </c>
      <c r="C460" s="103">
        <v>350</v>
      </c>
      <c r="D460" s="622">
        <v>119</v>
      </c>
      <c r="E460" s="622">
        <v>80</v>
      </c>
      <c r="F460" s="7">
        <v>199</v>
      </c>
      <c r="G460" s="7">
        <v>119</v>
      </c>
      <c r="H460" s="11" t="s">
        <v>2138</v>
      </c>
    </row>
    <row r="461" spans="1:8" ht="15">
      <c r="A461" s="79" t="s">
        <v>2035</v>
      </c>
      <c r="B461" s="80" t="s">
        <v>34</v>
      </c>
      <c r="C461" s="81" t="s">
        <v>112</v>
      </c>
      <c r="D461" s="88" t="s">
        <v>183</v>
      </c>
      <c r="E461" s="88" t="s">
        <v>2221</v>
      </c>
    </row>
    <row r="462" spans="1:8" ht="15">
      <c r="A462" s="20" t="s">
        <v>2233</v>
      </c>
      <c r="B462" s="20" t="s">
        <v>2139</v>
      </c>
      <c r="C462" s="103">
        <v>5</v>
      </c>
      <c r="D462" s="622">
        <v>44</v>
      </c>
      <c r="E462" s="622">
        <v>70</v>
      </c>
    </row>
    <row r="463" spans="1:8" ht="15">
      <c r="A463" s="20" t="s">
        <v>2236</v>
      </c>
      <c r="B463" s="34" t="s">
        <v>2142</v>
      </c>
      <c r="C463" s="103">
        <v>5</v>
      </c>
      <c r="D463" s="622">
        <v>127</v>
      </c>
      <c r="E463" s="622">
        <v>80</v>
      </c>
    </row>
    <row r="464" spans="1:8" ht="15">
      <c r="A464" s="20" t="s">
        <v>2236</v>
      </c>
      <c r="B464" s="20" t="s">
        <v>2224</v>
      </c>
      <c r="C464" s="103">
        <v>5</v>
      </c>
      <c r="D464" s="622">
        <v>127</v>
      </c>
      <c r="E464" s="622"/>
    </row>
    <row r="465" spans="1:6" ht="15">
      <c r="A465" s="20" t="s">
        <v>2236</v>
      </c>
      <c r="B465" s="20" t="s">
        <v>2139</v>
      </c>
      <c r="C465" s="103">
        <v>5</v>
      </c>
      <c r="D465" s="622">
        <v>127</v>
      </c>
      <c r="E465" s="622">
        <v>80</v>
      </c>
    </row>
    <row r="466" spans="1:6" ht="15">
      <c r="A466" s="20" t="s">
        <v>2134</v>
      </c>
      <c r="B466" s="34" t="s">
        <v>2142</v>
      </c>
      <c r="C466" s="103">
        <v>5</v>
      </c>
      <c r="D466" s="622">
        <v>189</v>
      </c>
      <c r="E466" s="622">
        <v>70</v>
      </c>
    </row>
    <row r="467" spans="1:6" ht="15">
      <c r="A467" s="20" t="s">
        <v>2134</v>
      </c>
      <c r="B467" s="20" t="s">
        <v>2139</v>
      </c>
      <c r="C467" s="103">
        <v>5</v>
      </c>
      <c r="D467" s="622">
        <v>189</v>
      </c>
      <c r="E467" s="622">
        <v>70</v>
      </c>
    </row>
    <row r="468" spans="1:6" ht="15">
      <c r="A468" s="20" t="s">
        <v>2134</v>
      </c>
      <c r="B468" s="20" t="s">
        <v>2224</v>
      </c>
      <c r="C468" s="103">
        <v>5</v>
      </c>
      <c r="D468" s="622">
        <v>189</v>
      </c>
      <c r="E468" s="622"/>
    </row>
    <row r="469" spans="1:6" ht="15">
      <c r="A469" s="20" t="s">
        <v>2133</v>
      </c>
      <c r="B469" s="20" t="s">
        <v>2224</v>
      </c>
      <c r="C469" s="103">
        <v>5</v>
      </c>
      <c r="D469" s="622">
        <v>119</v>
      </c>
      <c r="E469" s="622"/>
    </row>
    <row r="470" spans="1:6" ht="15">
      <c r="A470" s="20" t="s">
        <v>2133</v>
      </c>
      <c r="B470" s="20" t="s">
        <v>2139</v>
      </c>
      <c r="C470" s="103">
        <v>5</v>
      </c>
      <c r="D470" s="622">
        <v>119</v>
      </c>
      <c r="E470" s="622">
        <v>80</v>
      </c>
    </row>
    <row r="473" spans="1:6" ht="15">
      <c r="A473" s="79" t="s">
        <v>2035</v>
      </c>
      <c r="B473" s="79" t="s">
        <v>33</v>
      </c>
      <c r="C473" s="80" t="s">
        <v>34</v>
      </c>
      <c r="D473" s="81" t="s">
        <v>112</v>
      </c>
      <c r="E473" s="88" t="s">
        <v>183</v>
      </c>
      <c r="F473" s="88" t="s">
        <v>2237</v>
      </c>
    </row>
    <row r="474" spans="1:6" ht="15">
      <c r="A474" s="20" t="s">
        <v>2238</v>
      </c>
      <c r="B474" s="13">
        <v>10</v>
      </c>
      <c r="C474" s="20" t="s">
        <v>2239</v>
      </c>
      <c r="D474" s="103">
        <v>200</v>
      </c>
      <c r="E474" s="622">
        <v>52</v>
      </c>
      <c r="F474" s="622">
        <v>22000</v>
      </c>
    </row>
    <row r="475" spans="1:6" ht="15">
      <c r="A475" s="20" t="s">
        <v>2238</v>
      </c>
      <c r="B475" s="13">
        <v>10</v>
      </c>
      <c r="C475" s="20" t="s">
        <v>2240</v>
      </c>
      <c r="D475" s="103">
        <v>200</v>
      </c>
      <c r="E475" s="622">
        <v>52</v>
      </c>
      <c r="F475" s="622">
        <v>22000</v>
      </c>
    </row>
    <row r="476" spans="1:6" ht="15">
      <c r="A476" s="20" t="s">
        <v>2037</v>
      </c>
      <c r="B476" s="13">
        <v>8</v>
      </c>
      <c r="C476" s="20" t="s">
        <v>2240</v>
      </c>
      <c r="D476" s="103">
        <v>200</v>
      </c>
      <c r="E476" s="627">
        <v>46.5</v>
      </c>
      <c r="F476" s="622">
        <v>11000</v>
      </c>
    </row>
    <row r="477" spans="1:6" ht="15">
      <c r="A477" s="20" t="s">
        <v>2037</v>
      </c>
      <c r="B477" s="13">
        <v>8</v>
      </c>
      <c r="C477" s="20" t="s">
        <v>2239</v>
      </c>
      <c r="D477" s="103">
        <v>200</v>
      </c>
      <c r="E477" s="627">
        <v>46.5</v>
      </c>
      <c r="F477" s="622">
        <v>11000</v>
      </c>
    </row>
    <row r="480" spans="1:6" ht="15">
      <c r="A480" s="79" t="s">
        <v>2035</v>
      </c>
      <c r="B480" s="80" t="s">
        <v>34</v>
      </c>
      <c r="C480" s="81" t="s">
        <v>2040</v>
      </c>
      <c r="D480" s="603" t="s">
        <v>2041</v>
      </c>
      <c r="E480" s="81" t="s">
        <v>112</v>
      </c>
    </row>
    <row r="481" spans="1:16" ht="15">
      <c r="A481" s="20" t="s">
        <v>1967</v>
      </c>
      <c r="B481" s="34" t="s">
        <v>56</v>
      </c>
      <c r="C481" s="103">
        <v>13.7</v>
      </c>
      <c r="D481" s="104">
        <v>7</v>
      </c>
      <c r="E481" s="103">
        <v>95.899999999999991</v>
      </c>
    </row>
    <row r="482" spans="1:16" ht="15">
      <c r="A482" s="20" t="s">
        <v>2241</v>
      </c>
      <c r="B482" s="34" t="s">
        <v>56</v>
      </c>
      <c r="C482" s="103">
        <v>13.7</v>
      </c>
      <c r="D482" s="104">
        <v>7</v>
      </c>
      <c r="E482" s="103">
        <v>95.899999999999991</v>
      </c>
    </row>
    <row r="483" spans="1:16" ht="15">
      <c r="A483" s="20" t="s">
        <v>2104</v>
      </c>
      <c r="B483" s="34" t="s">
        <v>56</v>
      </c>
      <c r="C483" s="103">
        <v>13.7</v>
      </c>
      <c r="D483" s="104">
        <v>2</v>
      </c>
      <c r="E483" s="103">
        <v>27.4</v>
      </c>
    </row>
    <row r="484" spans="1:16" ht="15">
      <c r="A484" s="20" t="s">
        <v>159</v>
      </c>
      <c r="B484" s="34" t="s">
        <v>56</v>
      </c>
      <c r="C484" s="103">
        <v>13.7</v>
      </c>
      <c r="D484" s="104">
        <v>2</v>
      </c>
      <c r="E484" s="103">
        <v>27.4</v>
      </c>
    </row>
    <row r="485" spans="1:16" ht="15">
      <c r="A485" s="20" t="s">
        <v>2103</v>
      </c>
      <c r="B485" s="34" t="s">
        <v>56</v>
      </c>
      <c r="C485" s="103">
        <v>13.7</v>
      </c>
      <c r="D485" s="104">
        <v>2</v>
      </c>
      <c r="E485" s="103">
        <v>27.4</v>
      </c>
    </row>
    <row r="486" spans="1:16" ht="15">
      <c r="A486" s="20" t="s">
        <v>2242</v>
      </c>
      <c r="B486" s="34" t="s">
        <v>56</v>
      </c>
      <c r="C486" s="103">
        <v>13.7</v>
      </c>
      <c r="D486" s="104">
        <v>2</v>
      </c>
      <c r="E486" s="103">
        <v>27.4</v>
      </c>
    </row>
    <row r="487" spans="1:16" ht="15">
      <c r="A487" s="20" t="s">
        <v>2243</v>
      </c>
      <c r="B487" s="34" t="s">
        <v>56</v>
      </c>
      <c r="C487" s="103">
        <v>13.7</v>
      </c>
      <c r="D487" s="104">
        <v>2</v>
      </c>
      <c r="E487" s="103">
        <v>27.4</v>
      </c>
    </row>
    <row r="488" spans="1:16" ht="15">
      <c r="A488" s="79" t="s">
        <v>2035</v>
      </c>
      <c r="B488" s="80" t="s">
        <v>34</v>
      </c>
      <c r="C488" s="81" t="s">
        <v>2040</v>
      </c>
      <c r="D488" s="603" t="s">
        <v>2041</v>
      </c>
      <c r="E488" s="81" t="s">
        <v>112</v>
      </c>
      <c r="F488" s="88" t="s">
        <v>183</v>
      </c>
    </row>
    <row r="489" spans="1:16" ht="15">
      <c r="A489" s="20" t="s">
        <v>2101</v>
      </c>
      <c r="B489" s="34" t="s">
        <v>56</v>
      </c>
      <c r="C489" s="103">
        <v>13.7</v>
      </c>
      <c r="D489" s="104">
        <v>2</v>
      </c>
      <c r="E489" s="103">
        <v>27.4</v>
      </c>
      <c r="F489" s="622">
        <v>510</v>
      </c>
    </row>
    <row r="490" spans="1:16" ht="15">
      <c r="A490" s="20" t="s">
        <v>2244</v>
      </c>
      <c r="B490" s="34" t="s">
        <v>56</v>
      </c>
      <c r="C490" s="103">
        <v>13.7</v>
      </c>
      <c r="D490" s="104">
        <v>2</v>
      </c>
      <c r="E490" s="103">
        <v>27.4</v>
      </c>
      <c r="F490" s="622">
        <v>195</v>
      </c>
    </row>
    <row r="491" spans="1:16" ht="18" customHeight="1"/>
    <row r="492" spans="1:16" ht="15">
      <c r="A492" s="45" t="s">
        <v>60</v>
      </c>
      <c r="B492" s="80" t="s">
        <v>34</v>
      </c>
      <c r="C492" s="81" t="s">
        <v>2040</v>
      </c>
      <c r="D492" s="603" t="s">
        <v>2041</v>
      </c>
      <c r="E492" s="81" t="s">
        <v>112</v>
      </c>
      <c r="F492" s="60" t="s">
        <v>5</v>
      </c>
      <c r="G492" s="30"/>
      <c r="H492" s="31"/>
      <c r="I492" s="31"/>
      <c r="J492" s="4"/>
      <c r="K492" s="612"/>
      <c r="L492" s="632"/>
      <c r="M492" s="1"/>
      <c r="N492" s="1"/>
      <c r="O492" s="1"/>
      <c r="P492" s="1"/>
    </row>
    <row r="493" spans="1:16" ht="15">
      <c r="A493" s="20" t="s">
        <v>1967</v>
      </c>
      <c r="B493" s="34" t="s">
        <v>56</v>
      </c>
      <c r="C493" s="103">
        <v>13.7</v>
      </c>
      <c r="D493" s="104">
        <v>7</v>
      </c>
      <c r="E493" s="103">
        <v>95.899999999999991</v>
      </c>
      <c r="F493" s="36">
        <v>6.7</v>
      </c>
      <c r="G493" s="30"/>
      <c r="H493" s="31"/>
      <c r="I493" s="126"/>
      <c r="J493" s="36"/>
      <c r="K493" s="36">
        <v>5.36</v>
      </c>
      <c r="L493" s="7"/>
      <c r="M493" s="7">
        <v>402</v>
      </c>
      <c r="N493" s="11"/>
      <c r="O493" s="7"/>
      <c r="P493" s="7"/>
    </row>
    <row r="494" spans="1:16" ht="15">
      <c r="A494" s="20" t="s">
        <v>2241</v>
      </c>
      <c r="B494" s="34" t="s">
        <v>56</v>
      </c>
      <c r="C494" s="103">
        <v>13.7</v>
      </c>
      <c r="D494" s="104">
        <v>7</v>
      </c>
      <c r="E494" s="103">
        <v>95.899999999999991</v>
      </c>
      <c r="F494" s="36">
        <v>3.52</v>
      </c>
      <c r="G494" s="30"/>
      <c r="H494" s="31"/>
      <c r="I494" s="126"/>
      <c r="J494" s="36"/>
      <c r="K494" s="36">
        <v>2.82</v>
      </c>
      <c r="L494" s="7"/>
      <c r="M494" s="7">
        <v>211</v>
      </c>
      <c r="N494" s="11"/>
      <c r="O494" s="7"/>
      <c r="P494" s="7"/>
    </row>
    <row r="495" spans="1:16" ht="15">
      <c r="A495" s="20" t="s">
        <v>2104</v>
      </c>
      <c r="B495" s="34" t="s">
        <v>56</v>
      </c>
      <c r="C495" s="103">
        <v>13.7</v>
      </c>
      <c r="D495" s="104">
        <v>2</v>
      </c>
      <c r="E495" s="103">
        <v>27.4</v>
      </c>
      <c r="F495" s="36">
        <v>1.69</v>
      </c>
      <c r="G495" s="30"/>
      <c r="H495" s="31"/>
      <c r="I495" s="126"/>
      <c r="J495" s="36"/>
      <c r="K495" s="36">
        <v>1.35</v>
      </c>
      <c r="L495" s="7"/>
      <c r="M495" s="7">
        <v>101</v>
      </c>
      <c r="N495" s="11"/>
      <c r="O495" s="7"/>
      <c r="P495" s="7"/>
    </row>
    <row r="496" spans="1:16" ht="15">
      <c r="A496" s="20" t="s">
        <v>159</v>
      </c>
      <c r="B496" s="34" t="s">
        <v>56</v>
      </c>
      <c r="C496" s="103">
        <v>13.7</v>
      </c>
      <c r="D496" s="104">
        <v>2</v>
      </c>
      <c r="E496" s="103">
        <v>27.4</v>
      </c>
      <c r="F496" s="36">
        <v>4.04</v>
      </c>
      <c r="G496" s="30"/>
      <c r="H496" s="31"/>
      <c r="I496" s="126"/>
      <c r="J496" s="36"/>
      <c r="K496" s="36">
        <v>3.23</v>
      </c>
      <c r="L496" s="7"/>
      <c r="M496" s="7">
        <v>242</v>
      </c>
      <c r="N496" s="11"/>
      <c r="O496" s="7"/>
      <c r="P496" s="7"/>
    </row>
    <row r="497" spans="1:17" ht="15">
      <c r="A497" s="20" t="s">
        <v>2103</v>
      </c>
      <c r="B497" s="34" t="s">
        <v>56</v>
      </c>
      <c r="C497" s="103">
        <v>13.7</v>
      </c>
      <c r="D497" s="104">
        <v>2</v>
      </c>
      <c r="E497" s="103">
        <v>27.4</v>
      </c>
      <c r="F497" s="36">
        <v>2.74</v>
      </c>
      <c r="G497" s="30"/>
      <c r="H497" s="31"/>
      <c r="I497" s="126"/>
      <c r="J497" s="36"/>
      <c r="K497" s="36">
        <v>2.19</v>
      </c>
      <c r="L497" s="7"/>
      <c r="M497" s="7">
        <v>164</v>
      </c>
      <c r="N497" s="11"/>
      <c r="O497" s="7"/>
      <c r="P497" s="7"/>
    </row>
    <row r="498" spans="1:17" ht="15">
      <c r="A498" s="20" t="s">
        <v>2242</v>
      </c>
      <c r="B498" s="34" t="s">
        <v>56</v>
      </c>
      <c r="C498" s="103">
        <v>13.7</v>
      </c>
      <c r="D498" s="104">
        <v>2</v>
      </c>
      <c r="E498" s="103">
        <v>27.4</v>
      </c>
      <c r="F498" s="36">
        <v>2.37</v>
      </c>
      <c r="G498" s="30"/>
      <c r="H498" s="31"/>
      <c r="I498" s="126"/>
      <c r="J498" s="36"/>
      <c r="K498" s="36">
        <v>1.9</v>
      </c>
      <c r="L498" s="7"/>
      <c r="M498" s="7">
        <v>142</v>
      </c>
      <c r="N498" s="11"/>
      <c r="O498" s="7"/>
      <c r="P498" s="7"/>
    </row>
    <row r="499" spans="1:17" ht="15">
      <c r="A499" s="20" t="s">
        <v>2243</v>
      </c>
      <c r="B499" s="34" t="s">
        <v>56</v>
      </c>
      <c r="C499" s="103">
        <v>13.7</v>
      </c>
      <c r="D499" s="104">
        <v>2</v>
      </c>
      <c r="E499" s="103">
        <v>27.4</v>
      </c>
      <c r="F499" s="36">
        <v>3.49</v>
      </c>
      <c r="G499" s="30"/>
      <c r="H499" s="31"/>
      <c r="I499" s="126"/>
      <c r="J499" s="36"/>
      <c r="K499" s="36">
        <v>2.79</v>
      </c>
      <c r="L499" s="7"/>
      <c r="M499" s="7">
        <v>209</v>
      </c>
      <c r="N499" s="11"/>
      <c r="O499" s="7"/>
      <c r="P499" s="7"/>
    </row>
    <row r="501" spans="1:17" s="7" customFormat="1" ht="18" customHeight="1">
      <c r="A501" s="6" t="s">
        <v>2245</v>
      </c>
      <c r="B501" s="12" t="s">
        <v>1898</v>
      </c>
      <c r="C501" s="78" t="s">
        <v>2246</v>
      </c>
      <c r="D501" s="34"/>
      <c r="E501" s="34" t="s">
        <v>56</v>
      </c>
      <c r="F501" s="103">
        <f>G501*H501</f>
        <v>27.4</v>
      </c>
      <c r="G501" s="103">
        <v>13.7</v>
      </c>
      <c r="H501" s="104">
        <v>2</v>
      </c>
      <c r="I501" s="36">
        <v>9</v>
      </c>
      <c r="J501" s="30"/>
      <c r="K501" s="31"/>
      <c r="L501" s="126"/>
      <c r="M501" s="36"/>
      <c r="N501" s="36">
        <v>7.2</v>
      </c>
      <c r="P501" s="7">
        <v>540</v>
      </c>
      <c r="Q501" s="11"/>
    </row>
    <row r="503" spans="1:17" ht="15">
      <c r="A503" s="79" t="s">
        <v>2035</v>
      </c>
      <c r="B503" s="80" t="s">
        <v>34</v>
      </c>
      <c r="C503" s="81" t="s">
        <v>2040</v>
      </c>
      <c r="D503" s="603" t="s">
        <v>2041</v>
      </c>
      <c r="E503" s="81" t="s">
        <v>112</v>
      </c>
      <c r="F503" s="88" t="s">
        <v>183</v>
      </c>
    </row>
    <row r="504" spans="1:17" ht="15">
      <c r="A504" s="20" t="s">
        <v>2246</v>
      </c>
      <c r="B504" s="34" t="s">
        <v>56</v>
      </c>
      <c r="C504" s="103">
        <v>13.7</v>
      </c>
      <c r="D504" s="104">
        <v>2</v>
      </c>
      <c r="E504" s="103">
        <v>27.4</v>
      </c>
      <c r="F504" s="622">
        <v>540</v>
      </c>
    </row>
    <row r="508" spans="1:17" ht="15">
      <c r="A508" s="79" t="s">
        <v>2035</v>
      </c>
      <c r="B508" s="80" t="s">
        <v>34</v>
      </c>
      <c r="C508" s="81" t="s">
        <v>112</v>
      </c>
      <c r="D508" s="81" t="s">
        <v>2036</v>
      </c>
      <c r="E508" s="81" t="s">
        <v>2247</v>
      </c>
    </row>
    <row r="509" spans="1:17" ht="15">
      <c r="A509" s="20" t="s">
        <v>2233</v>
      </c>
      <c r="B509" s="20" t="s">
        <v>2139</v>
      </c>
      <c r="C509" s="103">
        <v>175</v>
      </c>
      <c r="D509" s="36">
        <v>1.9</v>
      </c>
      <c r="E509" s="34" t="s">
        <v>2248</v>
      </c>
    </row>
    <row r="510" spans="1:17" ht="15">
      <c r="A510" s="20" t="s">
        <v>2130</v>
      </c>
      <c r="B510" s="34" t="s">
        <v>2142</v>
      </c>
      <c r="C510" s="103">
        <v>100</v>
      </c>
      <c r="D510" s="36">
        <v>3.45</v>
      </c>
      <c r="E510" s="34" t="s">
        <v>2249</v>
      </c>
    </row>
    <row r="511" spans="1:17" ht="15">
      <c r="A511" s="20" t="s">
        <v>2130</v>
      </c>
      <c r="B511" s="20" t="s">
        <v>2224</v>
      </c>
      <c r="C511" s="103">
        <v>1430</v>
      </c>
      <c r="D511" s="36">
        <v>3.45</v>
      </c>
      <c r="E511" s="34" t="s">
        <v>2250</v>
      </c>
    </row>
    <row r="512" spans="1:17" ht="15">
      <c r="A512" s="20" t="s">
        <v>2130</v>
      </c>
      <c r="B512" s="20" t="s">
        <v>2139</v>
      </c>
      <c r="C512" s="103">
        <v>245</v>
      </c>
      <c r="D512" s="36">
        <v>3.45</v>
      </c>
      <c r="E512" s="129"/>
    </row>
    <row r="513" spans="1:6" ht="15">
      <c r="A513" s="20" t="s">
        <v>2134</v>
      </c>
      <c r="B513" s="34" t="s">
        <v>2142</v>
      </c>
      <c r="C513" s="103">
        <v>1890</v>
      </c>
      <c r="D513" s="36">
        <v>4.32</v>
      </c>
      <c r="E513" s="129"/>
    </row>
    <row r="514" spans="1:6" ht="15">
      <c r="A514" s="20" t="s">
        <v>2134</v>
      </c>
      <c r="B514" s="20" t="s">
        <v>2139</v>
      </c>
      <c r="C514" s="103">
        <v>245</v>
      </c>
      <c r="D514" s="36">
        <v>4.32</v>
      </c>
      <c r="E514" s="129"/>
    </row>
    <row r="515" spans="1:6" ht="15">
      <c r="A515" s="20" t="s">
        <v>2134</v>
      </c>
      <c r="B515" s="20" t="s">
        <v>2224</v>
      </c>
      <c r="C515" s="103">
        <v>1345</v>
      </c>
      <c r="D515" s="36">
        <v>4.32</v>
      </c>
      <c r="E515" s="34" t="s">
        <v>2251</v>
      </c>
    </row>
    <row r="516" spans="1:6" ht="15">
      <c r="A516" s="20" t="s">
        <v>2133</v>
      </c>
      <c r="B516" s="20" t="s">
        <v>2224</v>
      </c>
      <c r="C516" s="103">
        <v>1430</v>
      </c>
      <c r="D516" s="36">
        <v>3.32</v>
      </c>
      <c r="E516" s="129"/>
    </row>
    <row r="517" spans="1:6" ht="15">
      <c r="A517" s="20" t="s">
        <v>2133</v>
      </c>
      <c r="B517" s="20" t="s">
        <v>2139</v>
      </c>
      <c r="C517" s="103">
        <v>350</v>
      </c>
      <c r="D517" s="36">
        <v>3.32</v>
      </c>
      <c r="E517" s="129"/>
    </row>
    <row r="518" spans="1:6" ht="15">
      <c r="A518" s="78" t="s">
        <v>2217</v>
      </c>
      <c r="B518" s="34" t="s">
        <v>2142</v>
      </c>
      <c r="C518" s="103"/>
      <c r="D518" s="36">
        <v>2.09</v>
      </c>
      <c r="E518" s="34" t="s">
        <v>2252</v>
      </c>
    </row>
    <row r="519" spans="1:6" ht="15">
      <c r="A519" s="78" t="s">
        <v>2233</v>
      </c>
      <c r="B519" s="20" t="s">
        <v>2224</v>
      </c>
      <c r="C519" s="103"/>
      <c r="D519" s="36">
        <v>1.9</v>
      </c>
      <c r="E519" s="34" t="s">
        <v>2253</v>
      </c>
    </row>
    <row r="521" spans="1:6" ht="15">
      <c r="A521" s="79" t="s">
        <v>2035</v>
      </c>
      <c r="B521" s="80" t="s">
        <v>34</v>
      </c>
      <c r="C521" s="81" t="s">
        <v>2040</v>
      </c>
      <c r="D521" s="603" t="s">
        <v>2041</v>
      </c>
      <c r="E521" s="81" t="s">
        <v>112</v>
      </c>
      <c r="F521" s="81" t="s">
        <v>2036</v>
      </c>
    </row>
    <row r="522" spans="1:6" ht="15">
      <c r="A522" s="20" t="s">
        <v>2254</v>
      </c>
      <c r="B522" s="34" t="s">
        <v>2255</v>
      </c>
      <c r="C522" s="103">
        <v>13.7</v>
      </c>
      <c r="D522" s="104">
        <v>2</v>
      </c>
      <c r="E522" s="103">
        <v>27.4</v>
      </c>
      <c r="F522" s="36">
        <v>3.25</v>
      </c>
    </row>
    <row r="523" spans="1:6" ht="15">
      <c r="A523" s="20" t="s">
        <v>2254</v>
      </c>
      <c r="B523" s="34" t="s">
        <v>2256</v>
      </c>
      <c r="C523" s="103">
        <v>13.7</v>
      </c>
      <c r="D523" s="104">
        <v>2</v>
      </c>
      <c r="E523" s="103">
        <v>27.4</v>
      </c>
      <c r="F523" s="36">
        <v>3.25</v>
      </c>
    </row>
    <row r="524" spans="1:6" ht="15">
      <c r="A524" s="20" t="s">
        <v>2254</v>
      </c>
      <c r="B524" s="34" t="s">
        <v>2257</v>
      </c>
      <c r="C524" s="103">
        <v>13.7</v>
      </c>
      <c r="D524" s="104">
        <v>2</v>
      </c>
      <c r="E524" s="103">
        <v>27.4</v>
      </c>
      <c r="F524" s="36">
        <v>3.25</v>
      </c>
    </row>
    <row r="525" spans="1:6" ht="15">
      <c r="A525" s="20" t="s">
        <v>2254</v>
      </c>
      <c r="B525" s="34" t="s">
        <v>2258</v>
      </c>
      <c r="C525" s="103">
        <v>13.7</v>
      </c>
      <c r="D525" s="104">
        <v>2</v>
      </c>
      <c r="E525" s="103">
        <v>27.4</v>
      </c>
      <c r="F525" s="36">
        <v>3.25</v>
      </c>
    </row>
    <row r="526" spans="1:6" ht="15">
      <c r="A526" s="20" t="s">
        <v>2254</v>
      </c>
      <c r="B526" s="34" t="s">
        <v>177</v>
      </c>
      <c r="C526" s="103">
        <v>13.7</v>
      </c>
      <c r="D526" s="104">
        <v>2</v>
      </c>
      <c r="E526" s="103">
        <v>27.4</v>
      </c>
      <c r="F526" s="36">
        <v>3.25</v>
      </c>
    </row>
    <row r="527" spans="1:6" ht="15">
      <c r="A527" s="20" t="s">
        <v>2254</v>
      </c>
      <c r="B527" s="34" t="s">
        <v>2259</v>
      </c>
      <c r="C527" s="103">
        <v>13.7</v>
      </c>
      <c r="D527" s="104">
        <v>2</v>
      </c>
      <c r="E527" s="103">
        <v>27.4</v>
      </c>
      <c r="F527" s="36">
        <v>3.25</v>
      </c>
    </row>
    <row r="528" spans="1:6" ht="15">
      <c r="A528" s="20" t="s">
        <v>2254</v>
      </c>
      <c r="B528" s="34" t="s">
        <v>176</v>
      </c>
      <c r="C528" s="103">
        <v>13.7</v>
      </c>
      <c r="D528" s="104">
        <v>2</v>
      </c>
      <c r="E528" s="103">
        <v>27.4</v>
      </c>
      <c r="F528" s="36">
        <v>3.25</v>
      </c>
    </row>
    <row r="529" spans="1:6" ht="15">
      <c r="A529" s="20" t="s">
        <v>2260</v>
      </c>
      <c r="B529" s="34" t="s">
        <v>2255</v>
      </c>
      <c r="C529" s="103">
        <v>13.7</v>
      </c>
      <c r="D529" s="104">
        <v>2</v>
      </c>
      <c r="E529" s="103">
        <v>27.4</v>
      </c>
      <c r="F529" s="36">
        <v>3.59</v>
      </c>
    </row>
    <row r="530" spans="1:6" ht="15">
      <c r="A530" s="20" t="s">
        <v>2260</v>
      </c>
      <c r="B530" s="34" t="s">
        <v>2256</v>
      </c>
      <c r="C530" s="103">
        <v>13.7</v>
      </c>
      <c r="D530" s="104">
        <v>2</v>
      </c>
      <c r="E530" s="103">
        <v>27.4</v>
      </c>
      <c r="F530" s="36">
        <v>3.59</v>
      </c>
    </row>
    <row r="531" spans="1:6" ht="15">
      <c r="A531" s="20" t="s">
        <v>2260</v>
      </c>
      <c r="B531" s="34" t="s">
        <v>2257</v>
      </c>
      <c r="C531" s="103">
        <v>13.7</v>
      </c>
      <c r="D531" s="104">
        <v>2</v>
      </c>
      <c r="E531" s="103">
        <v>27.4</v>
      </c>
      <c r="F531" s="36">
        <v>3.59</v>
      </c>
    </row>
    <row r="532" spans="1:6" ht="15">
      <c r="A532" s="20" t="s">
        <v>2260</v>
      </c>
      <c r="B532" s="34" t="s">
        <v>2258</v>
      </c>
      <c r="C532" s="103">
        <v>13.7</v>
      </c>
      <c r="D532" s="104">
        <v>2</v>
      </c>
      <c r="E532" s="103">
        <v>27.4</v>
      </c>
      <c r="F532" s="36">
        <v>3.59</v>
      </c>
    </row>
    <row r="533" spans="1:6" ht="15">
      <c r="A533" s="20" t="s">
        <v>2260</v>
      </c>
      <c r="B533" s="34" t="s">
        <v>177</v>
      </c>
      <c r="C533" s="103">
        <v>13.7</v>
      </c>
      <c r="D533" s="104">
        <v>2</v>
      </c>
      <c r="E533" s="103">
        <v>27.4</v>
      </c>
      <c r="F533" s="36">
        <v>3.59</v>
      </c>
    </row>
    <row r="534" spans="1:6" ht="15">
      <c r="A534" s="20" t="s">
        <v>2260</v>
      </c>
      <c r="B534" s="34" t="s">
        <v>2259</v>
      </c>
      <c r="C534" s="103">
        <v>13.7</v>
      </c>
      <c r="D534" s="104">
        <v>2</v>
      </c>
      <c r="E534" s="103">
        <v>27.4</v>
      </c>
      <c r="F534" s="36">
        <v>3.59</v>
      </c>
    </row>
    <row r="535" spans="1:6" ht="15">
      <c r="A535" s="20" t="s">
        <v>2260</v>
      </c>
      <c r="B535" s="34" t="s">
        <v>176</v>
      </c>
      <c r="C535" s="103">
        <v>13.7</v>
      </c>
      <c r="D535" s="104">
        <v>2</v>
      </c>
      <c r="E535" s="103">
        <v>27.4</v>
      </c>
      <c r="F535" s="36">
        <v>3.59</v>
      </c>
    </row>
    <row r="536" spans="1:6" ht="15">
      <c r="A536" s="20" t="s">
        <v>2261</v>
      </c>
      <c r="B536" s="34" t="s">
        <v>2255</v>
      </c>
      <c r="C536" s="103">
        <v>13.7</v>
      </c>
      <c r="D536" s="104">
        <v>2</v>
      </c>
      <c r="E536" s="103">
        <v>27.4</v>
      </c>
      <c r="F536" s="36">
        <v>4.17</v>
      </c>
    </row>
    <row r="537" spans="1:6" ht="15">
      <c r="A537" s="20" t="s">
        <v>2261</v>
      </c>
      <c r="B537" s="34" t="s">
        <v>2256</v>
      </c>
      <c r="C537" s="103">
        <v>13.7</v>
      </c>
      <c r="D537" s="104">
        <v>2</v>
      </c>
      <c r="E537" s="103">
        <v>27.4</v>
      </c>
      <c r="F537" s="36">
        <v>4.17</v>
      </c>
    </row>
    <row r="538" spans="1:6" ht="15">
      <c r="A538" s="20" t="s">
        <v>2261</v>
      </c>
      <c r="B538" s="34" t="s">
        <v>2257</v>
      </c>
      <c r="C538" s="103">
        <v>13.7</v>
      </c>
      <c r="D538" s="104">
        <v>2</v>
      </c>
      <c r="E538" s="103">
        <v>27.4</v>
      </c>
      <c r="F538" s="36">
        <v>4.17</v>
      </c>
    </row>
    <row r="539" spans="1:6" ht="15">
      <c r="A539" s="20" t="s">
        <v>2261</v>
      </c>
      <c r="B539" s="34" t="s">
        <v>2258</v>
      </c>
      <c r="C539" s="103">
        <v>13.7</v>
      </c>
      <c r="D539" s="104">
        <v>2</v>
      </c>
      <c r="E539" s="103">
        <v>27.4</v>
      </c>
      <c r="F539" s="36">
        <v>4.17</v>
      </c>
    </row>
    <row r="540" spans="1:6" ht="15">
      <c r="A540" s="20" t="s">
        <v>2261</v>
      </c>
      <c r="B540" s="34" t="s">
        <v>177</v>
      </c>
      <c r="C540" s="103">
        <v>13.7</v>
      </c>
      <c r="D540" s="104">
        <v>2</v>
      </c>
      <c r="E540" s="103">
        <v>27.4</v>
      </c>
      <c r="F540" s="36">
        <v>4.17</v>
      </c>
    </row>
    <row r="541" spans="1:6" ht="15">
      <c r="A541" s="20" t="s">
        <v>2261</v>
      </c>
      <c r="B541" s="34" t="s">
        <v>2259</v>
      </c>
      <c r="C541" s="103">
        <v>13.7</v>
      </c>
      <c r="D541" s="104">
        <v>2</v>
      </c>
      <c r="E541" s="103">
        <v>27.4</v>
      </c>
      <c r="F541" s="36">
        <v>4.17</v>
      </c>
    </row>
    <row r="542" spans="1:6" ht="15">
      <c r="A542" s="20" t="s">
        <v>2261</v>
      </c>
      <c r="B542" s="34" t="s">
        <v>176</v>
      </c>
      <c r="C542" s="103">
        <v>13.7</v>
      </c>
      <c r="D542" s="104">
        <v>2</v>
      </c>
      <c r="E542" s="103">
        <v>27.4</v>
      </c>
      <c r="F542" s="36">
        <v>4.17</v>
      </c>
    </row>
    <row r="543" spans="1:6" ht="15">
      <c r="A543" s="20"/>
      <c r="B543" s="20" t="s">
        <v>125</v>
      </c>
      <c r="C543" s="8" t="s">
        <v>265</v>
      </c>
      <c r="D543" s="33"/>
      <c r="E543" s="8"/>
      <c r="F543" s="36"/>
    </row>
    <row r="544" spans="1:6" ht="15">
      <c r="A544" s="20"/>
      <c r="B544" s="20"/>
      <c r="C544" s="8"/>
      <c r="D544" s="33"/>
      <c r="E544" s="8"/>
      <c r="F544" s="633"/>
    </row>
    <row r="545" spans="1:7" ht="15">
      <c r="A545" s="20"/>
      <c r="B545" s="20"/>
      <c r="C545" s="8"/>
      <c r="D545" s="33"/>
      <c r="E545" s="8"/>
      <c r="F545" s="633"/>
    </row>
    <row r="546" spans="1:7" ht="15">
      <c r="A546" s="79" t="s">
        <v>2035</v>
      </c>
      <c r="B546" s="80" t="s">
        <v>34</v>
      </c>
      <c r="C546" s="81" t="s">
        <v>2040</v>
      </c>
      <c r="D546" s="603" t="s">
        <v>2041</v>
      </c>
      <c r="E546" s="81" t="s">
        <v>112</v>
      </c>
      <c r="F546" s="81" t="s">
        <v>2036</v>
      </c>
      <c r="G546" s="81" t="s">
        <v>2262</v>
      </c>
    </row>
    <row r="547" spans="1:7" ht="15">
      <c r="A547" s="20" t="s">
        <v>2260</v>
      </c>
      <c r="B547" s="34" t="s">
        <v>176</v>
      </c>
      <c r="C547" s="103">
        <v>13.7</v>
      </c>
      <c r="D547" s="104">
        <v>2</v>
      </c>
      <c r="E547" s="103">
        <v>27.4</v>
      </c>
      <c r="F547" s="36">
        <v>3.59</v>
      </c>
      <c r="G547" s="36">
        <f t="shared" ref="G547:G560" si="1">F547*E547</f>
        <v>98.365999999999985</v>
      </c>
    </row>
    <row r="548" spans="1:7" ht="15">
      <c r="A548" s="20" t="s">
        <v>2260</v>
      </c>
      <c r="B548" s="34" t="s">
        <v>2256</v>
      </c>
      <c r="C548" s="103">
        <v>13.7</v>
      </c>
      <c r="D548" s="104">
        <v>2</v>
      </c>
      <c r="E548" s="103">
        <v>27.4</v>
      </c>
      <c r="F548" s="36">
        <v>3.59</v>
      </c>
      <c r="G548" s="36">
        <f t="shared" si="1"/>
        <v>98.365999999999985</v>
      </c>
    </row>
    <row r="549" spans="1:7" ht="15">
      <c r="A549" s="20" t="s">
        <v>2260</v>
      </c>
      <c r="B549" s="34" t="s">
        <v>177</v>
      </c>
      <c r="C549" s="103">
        <v>13.7</v>
      </c>
      <c r="D549" s="104">
        <v>2</v>
      </c>
      <c r="E549" s="103">
        <v>27.4</v>
      </c>
      <c r="F549" s="36">
        <v>3.59</v>
      </c>
      <c r="G549" s="36">
        <f t="shared" si="1"/>
        <v>98.365999999999985</v>
      </c>
    </row>
    <row r="550" spans="1:7" ht="15">
      <c r="A550" s="20" t="s">
        <v>2260</v>
      </c>
      <c r="B550" s="34" t="s">
        <v>2257</v>
      </c>
      <c r="C550" s="103">
        <v>13.7</v>
      </c>
      <c r="D550" s="104">
        <v>2</v>
      </c>
      <c r="E550" s="103">
        <v>27.4</v>
      </c>
      <c r="F550" s="36">
        <v>3.59</v>
      </c>
      <c r="G550" s="36">
        <f t="shared" si="1"/>
        <v>98.365999999999985</v>
      </c>
    </row>
    <row r="551" spans="1:7" ht="15">
      <c r="A551" s="20" t="s">
        <v>2260</v>
      </c>
      <c r="B551" s="34" t="s">
        <v>2258</v>
      </c>
      <c r="C551" s="103">
        <v>13.7</v>
      </c>
      <c r="D551" s="104">
        <v>2</v>
      </c>
      <c r="E551" s="103">
        <v>27.4</v>
      </c>
      <c r="F551" s="36">
        <v>3.59</v>
      </c>
      <c r="G551" s="36">
        <f t="shared" si="1"/>
        <v>98.365999999999985</v>
      </c>
    </row>
    <row r="552" spans="1:7" ht="15">
      <c r="A552" s="20" t="s">
        <v>2260</v>
      </c>
      <c r="B552" s="34" t="s">
        <v>171</v>
      </c>
      <c r="C552" s="103">
        <v>13.7</v>
      </c>
      <c r="D552" s="104">
        <v>2</v>
      </c>
      <c r="E552" s="103">
        <v>27.4</v>
      </c>
      <c r="F552" s="36">
        <v>3.59</v>
      </c>
      <c r="G552" s="36">
        <f t="shared" si="1"/>
        <v>98.365999999999985</v>
      </c>
    </row>
    <row r="553" spans="1:7" ht="15">
      <c r="A553" s="20" t="s">
        <v>2260</v>
      </c>
      <c r="B553" s="34" t="s">
        <v>2255</v>
      </c>
      <c r="C553" s="103">
        <v>13.7</v>
      </c>
      <c r="D553" s="104">
        <v>2</v>
      </c>
      <c r="E553" s="103">
        <v>27.4</v>
      </c>
      <c r="F553" s="36">
        <v>3.59</v>
      </c>
      <c r="G553" s="36">
        <f t="shared" si="1"/>
        <v>98.365999999999985</v>
      </c>
    </row>
    <row r="554" spans="1:7" ht="15">
      <c r="A554" s="20" t="s">
        <v>2261</v>
      </c>
      <c r="B554" s="34" t="s">
        <v>176</v>
      </c>
      <c r="C554" s="103">
        <v>13.7</v>
      </c>
      <c r="D554" s="104">
        <v>2</v>
      </c>
      <c r="E554" s="103">
        <v>27.4</v>
      </c>
      <c r="F554" s="36">
        <v>4.17</v>
      </c>
      <c r="G554" s="36">
        <f t="shared" si="1"/>
        <v>114.258</v>
      </c>
    </row>
    <row r="555" spans="1:7" ht="15">
      <c r="A555" s="20" t="s">
        <v>2261</v>
      </c>
      <c r="B555" s="34" t="s">
        <v>2256</v>
      </c>
      <c r="C555" s="103">
        <v>13.7</v>
      </c>
      <c r="D555" s="104">
        <v>2</v>
      </c>
      <c r="E555" s="103">
        <v>27.4</v>
      </c>
      <c r="F555" s="36">
        <v>4.17</v>
      </c>
      <c r="G555" s="36">
        <f t="shared" si="1"/>
        <v>114.258</v>
      </c>
    </row>
    <row r="556" spans="1:7" ht="15">
      <c r="A556" s="20" t="s">
        <v>2261</v>
      </c>
      <c r="B556" s="34" t="s">
        <v>177</v>
      </c>
      <c r="C556" s="103">
        <v>13.7</v>
      </c>
      <c r="D556" s="104">
        <v>2</v>
      </c>
      <c r="E556" s="103">
        <v>27.4</v>
      </c>
      <c r="F556" s="36">
        <v>4.17</v>
      </c>
      <c r="G556" s="36">
        <f t="shared" si="1"/>
        <v>114.258</v>
      </c>
    </row>
    <row r="557" spans="1:7" ht="15">
      <c r="A557" s="20" t="s">
        <v>2261</v>
      </c>
      <c r="B557" s="34" t="s">
        <v>2257</v>
      </c>
      <c r="C557" s="103">
        <v>13.7</v>
      </c>
      <c r="D557" s="104">
        <v>2</v>
      </c>
      <c r="E557" s="103">
        <v>27.4</v>
      </c>
      <c r="F557" s="36">
        <v>4.17</v>
      </c>
      <c r="G557" s="36">
        <f t="shared" si="1"/>
        <v>114.258</v>
      </c>
    </row>
    <row r="558" spans="1:7" ht="15">
      <c r="A558" s="20" t="s">
        <v>2261</v>
      </c>
      <c r="B558" s="34" t="s">
        <v>2258</v>
      </c>
      <c r="C558" s="103">
        <v>13.7</v>
      </c>
      <c r="D558" s="104">
        <v>2</v>
      </c>
      <c r="E558" s="103">
        <v>27.4</v>
      </c>
      <c r="F558" s="36">
        <v>4.17</v>
      </c>
      <c r="G558" s="36">
        <f t="shared" si="1"/>
        <v>114.258</v>
      </c>
    </row>
    <row r="559" spans="1:7" ht="15">
      <c r="A559" s="20" t="s">
        <v>2261</v>
      </c>
      <c r="B559" s="34" t="s">
        <v>171</v>
      </c>
      <c r="C559" s="103">
        <v>13.7</v>
      </c>
      <c r="D559" s="104">
        <v>2</v>
      </c>
      <c r="E559" s="103">
        <v>27.4</v>
      </c>
      <c r="F559" s="36">
        <v>4.17</v>
      </c>
      <c r="G559" s="36">
        <f t="shared" si="1"/>
        <v>114.258</v>
      </c>
    </row>
    <row r="560" spans="1:7" ht="15">
      <c r="A560" s="20" t="s">
        <v>2261</v>
      </c>
      <c r="B560" s="34" t="s">
        <v>2255</v>
      </c>
      <c r="C560" s="103">
        <v>13.7</v>
      </c>
      <c r="D560" s="104">
        <v>2</v>
      </c>
      <c r="E560" s="103">
        <v>27.4</v>
      </c>
      <c r="F560" s="36">
        <v>4.17</v>
      </c>
      <c r="G560" s="36">
        <f t="shared" si="1"/>
        <v>114.258</v>
      </c>
    </row>
    <row r="561" spans="1:7" ht="15">
      <c r="A561" s="78"/>
      <c r="B561" s="20" t="s">
        <v>186</v>
      </c>
      <c r="C561" s="8" t="s">
        <v>179</v>
      </c>
      <c r="D561" s="33"/>
      <c r="E561" s="8"/>
      <c r="F561" s="36">
        <v>115</v>
      </c>
      <c r="G561" s="36">
        <v>690</v>
      </c>
    </row>
    <row r="562" spans="1:7" ht="15.75">
      <c r="A562" s="78"/>
      <c r="B562" s="20"/>
      <c r="C562" s="8"/>
      <c r="D562" s="33"/>
      <c r="E562" s="8"/>
      <c r="F562" s="112" t="s">
        <v>161</v>
      </c>
      <c r="G562" s="113">
        <f>SUM(G547:G561)</f>
        <v>2178.3680000000004</v>
      </c>
    </row>
    <row r="565" spans="1:7">
      <c r="A565" t="s">
        <v>286</v>
      </c>
      <c r="B565" s="634">
        <v>134</v>
      </c>
      <c r="C565" t="s">
        <v>2263</v>
      </c>
      <c r="D565" s="635">
        <v>50</v>
      </c>
    </row>
    <row r="566" spans="1:7">
      <c r="A566" t="s">
        <v>286</v>
      </c>
      <c r="B566" s="634">
        <v>134</v>
      </c>
      <c r="C566" t="s">
        <v>2264</v>
      </c>
      <c r="D566" s="635">
        <v>16</v>
      </c>
    </row>
    <row r="570" spans="1:7" ht="15">
      <c r="A570" s="79" t="s">
        <v>2035</v>
      </c>
      <c r="B570" s="79" t="s">
        <v>160</v>
      </c>
      <c r="C570" s="80" t="s">
        <v>34</v>
      </c>
      <c r="D570" s="81" t="s">
        <v>2040</v>
      </c>
      <c r="E570" s="603" t="s">
        <v>2041</v>
      </c>
      <c r="F570" s="81" t="s">
        <v>112</v>
      </c>
      <c r="G570" s="81" t="s">
        <v>2036</v>
      </c>
    </row>
    <row r="571" spans="1:7" ht="15">
      <c r="A571" s="20">
        <v>3819</v>
      </c>
      <c r="B571" s="13">
        <v>38</v>
      </c>
      <c r="C571" s="20" t="s">
        <v>37</v>
      </c>
      <c r="D571" s="103">
        <v>50</v>
      </c>
      <c r="E571" s="33">
        <v>1</v>
      </c>
      <c r="F571" s="103">
        <v>50</v>
      </c>
      <c r="G571" s="36">
        <v>0.97</v>
      </c>
    </row>
    <row r="572" spans="1:7" ht="15">
      <c r="A572" s="20">
        <v>3819</v>
      </c>
      <c r="B572" s="13">
        <v>30</v>
      </c>
      <c r="C572" s="20" t="s">
        <v>37</v>
      </c>
      <c r="D572" s="103">
        <v>50</v>
      </c>
      <c r="E572" s="33">
        <v>1</v>
      </c>
      <c r="F572" s="103">
        <v>50</v>
      </c>
      <c r="G572" s="36">
        <v>0.75</v>
      </c>
    </row>
    <row r="573" spans="1:7" ht="15">
      <c r="A573" s="46"/>
      <c r="B573" s="97"/>
      <c r="C573" s="20" t="s">
        <v>12</v>
      </c>
      <c r="D573" s="8" t="s">
        <v>61</v>
      </c>
      <c r="E573" s="33"/>
      <c r="F573" s="8"/>
      <c r="G573" s="36">
        <v>12</v>
      </c>
    </row>
    <row r="576" spans="1:7" ht="15.75">
      <c r="A576" s="79" t="s">
        <v>2035</v>
      </c>
      <c r="B576" s="80" t="s">
        <v>34</v>
      </c>
      <c r="C576" s="81" t="s">
        <v>2265</v>
      </c>
      <c r="D576" s="103"/>
      <c r="E576" s="104"/>
      <c r="F576" s="105" t="s">
        <v>5</v>
      </c>
    </row>
    <row r="577" spans="1:12" ht="15">
      <c r="A577" s="20" t="s">
        <v>2130</v>
      </c>
      <c r="B577" s="20" t="s">
        <v>2224</v>
      </c>
      <c r="C577" s="103">
        <v>1213</v>
      </c>
      <c r="D577" s="103">
        <v>1213</v>
      </c>
      <c r="E577" s="103">
        <v>1213</v>
      </c>
      <c r="F577" s="36">
        <v>3.45</v>
      </c>
      <c r="G577" s="36">
        <f t="shared" ref="G577:G583" si="2">F577*C577</f>
        <v>4184.8500000000004</v>
      </c>
    </row>
    <row r="578" spans="1:12" ht="15">
      <c r="A578" s="20" t="s">
        <v>2130</v>
      </c>
      <c r="B578" s="20" t="s">
        <v>2139</v>
      </c>
      <c r="C578" s="103">
        <v>245</v>
      </c>
      <c r="D578" s="103">
        <v>245</v>
      </c>
      <c r="E578" s="103">
        <v>245</v>
      </c>
      <c r="F578" s="36">
        <v>3.45</v>
      </c>
      <c r="G578" s="36">
        <f t="shared" si="2"/>
        <v>845.25</v>
      </c>
    </row>
    <row r="579" spans="1:12" ht="15">
      <c r="A579" s="20" t="s">
        <v>2134</v>
      </c>
      <c r="B579" s="34" t="s">
        <v>2142</v>
      </c>
      <c r="C579" s="103">
        <v>1890</v>
      </c>
      <c r="D579" s="103">
        <v>1890</v>
      </c>
      <c r="E579" s="103">
        <v>1890</v>
      </c>
      <c r="F579" s="36">
        <v>4.32</v>
      </c>
      <c r="G579" s="36">
        <f t="shared" si="2"/>
        <v>8164.8</v>
      </c>
    </row>
    <row r="580" spans="1:12" ht="15">
      <c r="A580" s="20" t="s">
        <v>2134</v>
      </c>
      <c r="B580" s="20" t="s">
        <v>2139</v>
      </c>
      <c r="C580" s="103">
        <v>245</v>
      </c>
      <c r="D580" s="103">
        <v>245</v>
      </c>
      <c r="E580" s="103">
        <v>245</v>
      </c>
      <c r="F580" s="36">
        <v>4.32</v>
      </c>
      <c r="G580" s="36">
        <f t="shared" si="2"/>
        <v>1058.4000000000001</v>
      </c>
    </row>
    <row r="581" spans="1:12" ht="15">
      <c r="A581" s="20" t="s">
        <v>2134</v>
      </c>
      <c r="B581" s="20" t="s">
        <v>2224</v>
      </c>
      <c r="C581" s="103">
        <v>1140</v>
      </c>
      <c r="D581" s="103">
        <v>1140</v>
      </c>
      <c r="E581" s="103">
        <v>1140</v>
      </c>
      <c r="F581" s="36">
        <v>4.32</v>
      </c>
      <c r="G581" s="36">
        <f t="shared" si="2"/>
        <v>4924.8</v>
      </c>
    </row>
    <row r="582" spans="1:12" ht="15">
      <c r="A582" s="20" t="s">
        <v>2133</v>
      </c>
      <c r="B582" s="20" t="s">
        <v>2224</v>
      </c>
      <c r="C582" s="103">
        <v>1430</v>
      </c>
      <c r="D582" s="103">
        <v>1430</v>
      </c>
      <c r="E582" s="103">
        <v>1430</v>
      </c>
      <c r="F582" s="36">
        <v>3.32</v>
      </c>
      <c r="G582" s="36">
        <f t="shared" si="2"/>
        <v>4747.5999999999995</v>
      </c>
    </row>
    <row r="583" spans="1:12" ht="15">
      <c r="A583" s="20" t="s">
        <v>2133</v>
      </c>
      <c r="B583" s="20" t="s">
        <v>2139</v>
      </c>
      <c r="C583" s="103">
        <v>350</v>
      </c>
      <c r="D583" s="103">
        <v>350</v>
      </c>
      <c r="E583" s="103">
        <v>350</v>
      </c>
      <c r="F583" s="36">
        <v>3.32</v>
      </c>
      <c r="G583" s="36">
        <f t="shared" si="2"/>
        <v>1162</v>
      </c>
    </row>
    <row r="587" spans="1:12" ht="15">
      <c r="A587" s="79" t="s">
        <v>2035</v>
      </c>
      <c r="B587" s="80" t="s">
        <v>160</v>
      </c>
      <c r="C587" s="81" t="s">
        <v>95</v>
      </c>
      <c r="D587" s="81" t="s">
        <v>2040</v>
      </c>
      <c r="E587" s="603" t="s">
        <v>2041</v>
      </c>
      <c r="F587" s="81" t="s">
        <v>112</v>
      </c>
      <c r="G587" s="81" t="s">
        <v>2266</v>
      </c>
    </row>
    <row r="588" spans="1:12" ht="14.25">
      <c r="A588" s="45">
        <v>11700</v>
      </c>
      <c r="B588" s="61">
        <v>24</v>
      </c>
      <c r="C588" s="45" t="s">
        <v>27</v>
      </c>
      <c r="D588" s="28">
        <v>10</v>
      </c>
      <c r="E588" s="29">
        <v>1</v>
      </c>
      <c r="F588" s="28">
        <v>10</v>
      </c>
      <c r="G588" s="32">
        <v>20.2</v>
      </c>
    </row>
    <row r="589" spans="1:12" ht="14.25">
      <c r="A589" s="45">
        <v>11700</v>
      </c>
      <c r="B589" s="61">
        <v>24</v>
      </c>
      <c r="C589" s="45" t="s">
        <v>2013</v>
      </c>
      <c r="D589" s="28">
        <v>10</v>
      </c>
      <c r="E589" s="29">
        <v>1</v>
      </c>
      <c r="F589" s="28">
        <v>10</v>
      </c>
      <c r="G589" s="32">
        <v>20.2</v>
      </c>
    </row>
    <row r="592" spans="1:12" s="1" customFormat="1" ht="18" customHeight="1">
      <c r="A592" s="79" t="s">
        <v>2035</v>
      </c>
      <c r="B592" s="81" t="s">
        <v>95</v>
      </c>
      <c r="C592" s="81" t="s">
        <v>2040</v>
      </c>
      <c r="D592" s="603" t="s">
        <v>2041</v>
      </c>
      <c r="E592" s="81" t="s">
        <v>112</v>
      </c>
      <c r="F592" s="81" t="s">
        <v>2267</v>
      </c>
      <c r="G592" s="81" t="s">
        <v>2268</v>
      </c>
      <c r="H592" s="31"/>
      <c r="I592" s="31"/>
      <c r="J592" s="4"/>
      <c r="K592" s="612"/>
      <c r="L592" s="632"/>
    </row>
    <row r="593" spans="1:14" s="1" customFormat="1" ht="18" customHeight="1">
      <c r="A593" s="45" t="s">
        <v>93</v>
      </c>
      <c r="B593" s="61" t="s">
        <v>56</v>
      </c>
      <c r="C593" s="44">
        <v>13.7</v>
      </c>
      <c r="D593" s="54">
        <v>2</v>
      </c>
      <c r="E593" s="44">
        <v>27.4</v>
      </c>
      <c r="F593" s="32">
        <v>1.84</v>
      </c>
      <c r="G593" s="30" t="s">
        <v>2269</v>
      </c>
      <c r="H593" s="31"/>
      <c r="I593" s="126"/>
      <c r="J593" s="4"/>
      <c r="K593" s="32">
        <v>1.45</v>
      </c>
      <c r="M593" s="1">
        <v>98</v>
      </c>
      <c r="N593" s="24"/>
    </row>
    <row r="594" spans="1:14" s="1" customFormat="1" ht="18" customHeight="1">
      <c r="A594" s="45"/>
      <c r="B594" s="61"/>
      <c r="C594" s="44"/>
      <c r="D594" s="54"/>
      <c r="E594" s="44"/>
      <c r="F594" s="32"/>
      <c r="G594" s="30"/>
      <c r="H594" s="31"/>
      <c r="I594" s="126"/>
      <c r="J594" s="4"/>
      <c r="K594" s="32"/>
      <c r="N594" s="24"/>
    </row>
    <row r="595" spans="1:14" s="1" customFormat="1" ht="18" customHeight="1">
      <c r="A595" s="79" t="s">
        <v>2035</v>
      </c>
      <c r="B595" s="81" t="s">
        <v>95</v>
      </c>
      <c r="C595" s="81" t="s">
        <v>2040</v>
      </c>
      <c r="D595" s="603" t="s">
        <v>2041</v>
      </c>
      <c r="E595" s="81" t="s">
        <v>112</v>
      </c>
      <c r="F595" s="81" t="s">
        <v>2267</v>
      </c>
      <c r="G595" s="30"/>
      <c r="H595" s="31"/>
      <c r="I595" s="31"/>
      <c r="J595" s="4"/>
      <c r="K595" s="612"/>
      <c r="L595" s="632"/>
    </row>
    <row r="596" spans="1:14" s="1" customFormat="1" ht="18" customHeight="1">
      <c r="A596" s="45" t="s">
        <v>93</v>
      </c>
      <c r="B596" s="61" t="s">
        <v>56</v>
      </c>
      <c r="C596" s="44">
        <v>13.7</v>
      </c>
      <c r="D596" s="54">
        <v>36</v>
      </c>
      <c r="E596" s="44">
        <v>493.2</v>
      </c>
      <c r="F596" s="32">
        <v>1.84</v>
      </c>
      <c r="G596" s="1325" t="s">
        <v>2270</v>
      </c>
      <c r="H596" s="31"/>
      <c r="I596" s="126"/>
      <c r="J596" s="4"/>
      <c r="K596" s="32">
        <v>1.45</v>
      </c>
      <c r="M596" s="1">
        <v>98</v>
      </c>
      <c r="N596" s="24"/>
    </row>
    <row r="597" spans="1:14" s="1" customFormat="1" ht="18" customHeight="1">
      <c r="A597" s="45" t="s">
        <v>93</v>
      </c>
      <c r="B597" s="61" t="s">
        <v>122</v>
      </c>
      <c r="C597" s="44">
        <v>13.7</v>
      </c>
      <c r="D597" s="54">
        <v>112</v>
      </c>
      <c r="E597" s="44">
        <v>1534.3999999999999</v>
      </c>
      <c r="F597" s="32">
        <v>2.14</v>
      </c>
      <c r="G597" s="1326"/>
      <c r="H597" s="31"/>
      <c r="I597" s="126"/>
      <c r="J597" s="4"/>
      <c r="K597" s="32">
        <v>1.71</v>
      </c>
      <c r="L597" s="1">
        <v>128</v>
      </c>
      <c r="M597" s="1">
        <v>98</v>
      </c>
      <c r="N597" s="24" t="s">
        <v>94</v>
      </c>
    </row>
    <row r="598" spans="1:14" s="1" customFormat="1" ht="18" customHeight="1">
      <c r="A598" s="45" t="s">
        <v>93</v>
      </c>
      <c r="B598" s="61" t="s">
        <v>115</v>
      </c>
      <c r="C598" s="44">
        <v>13.7</v>
      </c>
      <c r="D598" s="54">
        <v>21</v>
      </c>
      <c r="E598" s="44">
        <v>287.7</v>
      </c>
      <c r="F598" s="32">
        <v>2.2400000000000002</v>
      </c>
      <c r="G598" s="1327"/>
      <c r="H598" s="31"/>
      <c r="I598" s="126"/>
      <c r="J598" s="4"/>
      <c r="K598" s="32">
        <v>1.79</v>
      </c>
      <c r="M598" s="1">
        <v>134</v>
      </c>
      <c r="N598" s="24"/>
    </row>
    <row r="602" spans="1:14" ht="15">
      <c r="A602" s="79" t="s">
        <v>2035</v>
      </c>
      <c r="B602" s="80" t="s">
        <v>160</v>
      </c>
      <c r="C602" s="81" t="s">
        <v>95</v>
      </c>
      <c r="D602" s="81" t="s">
        <v>2040</v>
      </c>
      <c r="E602" s="603" t="s">
        <v>2041</v>
      </c>
      <c r="F602" s="81" t="s">
        <v>112</v>
      </c>
      <c r="G602" s="81" t="s">
        <v>2266</v>
      </c>
      <c r="H602" s="81" t="s">
        <v>106</v>
      </c>
    </row>
    <row r="603" spans="1:14" ht="15.75">
      <c r="A603" s="45">
        <v>11700</v>
      </c>
      <c r="B603" s="61">
        <v>24</v>
      </c>
      <c r="C603" s="45" t="s">
        <v>27</v>
      </c>
      <c r="D603" s="28">
        <v>10</v>
      </c>
      <c r="E603" s="29">
        <v>1</v>
      </c>
      <c r="F603" s="28">
        <v>10</v>
      </c>
      <c r="G603" s="32">
        <v>20.2</v>
      </c>
      <c r="H603" s="636" t="s">
        <v>2271</v>
      </c>
    </row>
    <row r="604" spans="1:14" ht="15.75">
      <c r="A604" s="45">
        <v>11700</v>
      </c>
      <c r="B604" s="61">
        <v>24</v>
      </c>
      <c r="C604" s="45" t="s">
        <v>2013</v>
      </c>
      <c r="D604" s="28">
        <v>10</v>
      </c>
      <c r="E604" s="29">
        <v>1</v>
      </c>
      <c r="F604" s="28">
        <v>10</v>
      </c>
      <c r="G604" s="32">
        <v>20.2</v>
      </c>
      <c r="H604" s="628" t="s">
        <v>2272</v>
      </c>
    </row>
    <row r="608" spans="1:14" ht="15">
      <c r="A608" s="79" t="s">
        <v>2035</v>
      </c>
      <c r="B608" s="80" t="s">
        <v>160</v>
      </c>
      <c r="C608" s="81" t="s">
        <v>95</v>
      </c>
      <c r="D608" s="81" t="s">
        <v>2040</v>
      </c>
      <c r="E608" s="603" t="s">
        <v>2041</v>
      </c>
      <c r="F608" s="81" t="s">
        <v>112</v>
      </c>
      <c r="G608" s="81" t="s">
        <v>2266</v>
      </c>
      <c r="H608" s="81" t="s">
        <v>106</v>
      </c>
    </row>
    <row r="609" spans="1:8" ht="15.75">
      <c r="A609" s="45">
        <v>12701</v>
      </c>
      <c r="B609" s="61">
        <v>4</v>
      </c>
      <c r="C609" s="45" t="s">
        <v>2028</v>
      </c>
      <c r="D609" s="28">
        <v>40</v>
      </c>
      <c r="E609" s="29">
        <v>1</v>
      </c>
      <c r="F609" s="28">
        <v>40</v>
      </c>
      <c r="G609" s="32">
        <v>15.16</v>
      </c>
      <c r="H609" s="628" t="s">
        <v>2272</v>
      </c>
    </row>
    <row r="610" spans="1:8" ht="15.75">
      <c r="A610" s="45">
        <v>12701</v>
      </c>
      <c r="B610" s="61">
        <v>9</v>
      </c>
      <c r="C610" s="45" t="s">
        <v>197</v>
      </c>
      <c r="D610" s="28">
        <v>10</v>
      </c>
      <c r="E610" s="29">
        <v>1</v>
      </c>
      <c r="F610" s="28">
        <v>10</v>
      </c>
      <c r="G610" s="32">
        <v>4.4000000000000004</v>
      </c>
      <c r="H610" s="628" t="s">
        <v>2272</v>
      </c>
    </row>
    <row r="611" spans="1:8" ht="15.75">
      <c r="A611" s="45">
        <v>12701</v>
      </c>
      <c r="B611" s="61">
        <v>9</v>
      </c>
      <c r="C611" s="45" t="s">
        <v>1925</v>
      </c>
      <c r="D611" s="28">
        <v>10</v>
      </c>
      <c r="E611" s="29">
        <v>1</v>
      </c>
      <c r="F611" s="28">
        <v>10</v>
      </c>
      <c r="G611" s="32">
        <v>4.4000000000000004</v>
      </c>
      <c r="H611" s="628" t="s">
        <v>2272</v>
      </c>
    </row>
    <row r="612" spans="1:8" ht="15.75">
      <c r="A612" s="45">
        <v>12701</v>
      </c>
      <c r="B612" s="61">
        <v>9</v>
      </c>
      <c r="C612" s="45" t="s">
        <v>1885</v>
      </c>
      <c r="D612" s="28">
        <v>10</v>
      </c>
      <c r="E612" s="29">
        <v>1</v>
      </c>
      <c r="F612" s="28">
        <v>10</v>
      </c>
      <c r="G612" s="32">
        <v>4.4000000000000004</v>
      </c>
      <c r="H612" s="636" t="s">
        <v>2273</v>
      </c>
    </row>
    <row r="613" spans="1:8" ht="15.75">
      <c r="A613" s="45">
        <v>12701</v>
      </c>
      <c r="B613" s="61">
        <v>9</v>
      </c>
      <c r="C613" s="45" t="s">
        <v>1915</v>
      </c>
      <c r="D613" s="28">
        <v>10</v>
      </c>
      <c r="E613" s="29">
        <v>1</v>
      </c>
      <c r="F613" s="28">
        <v>10</v>
      </c>
      <c r="G613" s="32">
        <v>4.4000000000000004</v>
      </c>
      <c r="H613" s="628" t="s">
        <v>2272</v>
      </c>
    </row>
    <row r="614" spans="1:8" ht="15.75">
      <c r="A614" s="45">
        <v>12701</v>
      </c>
      <c r="B614" s="61">
        <v>12</v>
      </c>
      <c r="C614" s="45" t="s">
        <v>197</v>
      </c>
      <c r="D614" s="28">
        <v>10</v>
      </c>
      <c r="E614" s="29">
        <v>1</v>
      </c>
      <c r="F614" s="28">
        <v>10</v>
      </c>
      <c r="G614" s="32">
        <v>4.93</v>
      </c>
      <c r="H614" s="628" t="s">
        <v>2272</v>
      </c>
    </row>
    <row r="615" spans="1:8" ht="15.75">
      <c r="A615" s="45">
        <v>12701</v>
      </c>
      <c r="B615" s="61">
        <v>18</v>
      </c>
      <c r="C615" s="45" t="s">
        <v>197</v>
      </c>
      <c r="D615" s="28">
        <v>10</v>
      </c>
      <c r="E615" s="29">
        <v>1</v>
      </c>
      <c r="F615" s="28">
        <v>10</v>
      </c>
      <c r="G615" s="32">
        <v>6.4</v>
      </c>
      <c r="H615" s="628" t="s">
        <v>2272</v>
      </c>
    </row>
    <row r="616" spans="1:8" ht="15.75">
      <c r="A616" s="45">
        <v>12701</v>
      </c>
      <c r="B616" s="61">
        <v>24</v>
      </c>
      <c r="C616" s="45" t="s">
        <v>197</v>
      </c>
      <c r="D616" s="28">
        <v>10</v>
      </c>
      <c r="E616" s="29">
        <v>1</v>
      </c>
      <c r="F616" s="28">
        <v>10</v>
      </c>
      <c r="G616" s="32">
        <v>7.82</v>
      </c>
      <c r="H616" s="628" t="s">
        <v>2272</v>
      </c>
    </row>
    <row r="617" spans="1:8" ht="15.75">
      <c r="A617" s="45">
        <v>12701</v>
      </c>
      <c r="B617" s="61">
        <v>24</v>
      </c>
      <c r="C617" s="45" t="s">
        <v>2274</v>
      </c>
      <c r="D617" s="28">
        <v>10</v>
      </c>
      <c r="E617" s="29">
        <v>1</v>
      </c>
      <c r="F617" s="28">
        <v>10</v>
      </c>
      <c r="G617" s="32">
        <v>7.82</v>
      </c>
      <c r="H617" s="628" t="s">
        <v>2272</v>
      </c>
    </row>
    <row r="618" spans="1:8" ht="15.75">
      <c r="A618" s="45">
        <v>12701</v>
      </c>
      <c r="B618" s="61">
        <v>24</v>
      </c>
      <c r="C618" s="45" t="s">
        <v>304</v>
      </c>
      <c r="D618" s="28">
        <v>10</v>
      </c>
      <c r="E618" s="29">
        <v>1</v>
      </c>
      <c r="F618" s="28">
        <v>10</v>
      </c>
      <c r="G618" s="32">
        <v>7.82</v>
      </c>
      <c r="H618" s="628" t="s">
        <v>2272</v>
      </c>
    </row>
    <row r="619" spans="1:8" ht="15.75">
      <c r="A619" s="45">
        <v>12701</v>
      </c>
      <c r="B619" s="61">
        <v>24</v>
      </c>
      <c r="C619" s="45" t="s">
        <v>1915</v>
      </c>
      <c r="D619" s="28">
        <v>10</v>
      </c>
      <c r="E619" s="29">
        <v>1</v>
      </c>
      <c r="F619" s="28">
        <v>10</v>
      </c>
      <c r="G619" s="32">
        <v>7.82</v>
      </c>
      <c r="H619" s="628" t="s">
        <v>2272</v>
      </c>
    </row>
    <row r="621" spans="1:8" s="7" customFormat="1" ht="18" customHeight="1">
      <c r="A621" s="79" t="s">
        <v>2035</v>
      </c>
      <c r="B621" s="80" t="s">
        <v>160</v>
      </c>
      <c r="C621" s="81" t="s">
        <v>95</v>
      </c>
      <c r="D621" s="81" t="s">
        <v>35</v>
      </c>
      <c r="E621" s="81" t="s">
        <v>2267</v>
      </c>
    </row>
    <row r="622" spans="1:8" s="7" customFormat="1" ht="18" customHeight="1">
      <c r="A622" s="20">
        <v>3827</v>
      </c>
      <c r="B622" s="22">
        <v>50</v>
      </c>
      <c r="C622" s="20" t="s">
        <v>2275</v>
      </c>
      <c r="D622" s="57">
        <v>5</v>
      </c>
      <c r="E622" s="21">
        <v>1.92</v>
      </c>
    </row>
    <row r="623" spans="1:8" s="7" customFormat="1" ht="18" customHeight="1">
      <c r="A623" s="46"/>
      <c r="B623" s="34"/>
      <c r="C623" s="34" t="s">
        <v>12</v>
      </c>
      <c r="D623" s="8" t="s">
        <v>61</v>
      </c>
      <c r="E623" s="36">
        <v>12</v>
      </c>
    </row>
    <row r="625" spans="1:8" ht="15">
      <c r="A625" s="79" t="s">
        <v>2035</v>
      </c>
      <c r="B625" s="80" t="s">
        <v>160</v>
      </c>
      <c r="C625" s="81" t="s">
        <v>95</v>
      </c>
      <c r="D625" s="81" t="s">
        <v>2040</v>
      </c>
      <c r="E625" s="603" t="s">
        <v>2041</v>
      </c>
      <c r="F625" s="81" t="s">
        <v>112</v>
      </c>
      <c r="G625" s="81" t="s">
        <v>2266</v>
      </c>
      <c r="H625" s="81" t="s">
        <v>106</v>
      </c>
    </row>
    <row r="626" spans="1:8" ht="15.75">
      <c r="A626" s="45">
        <v>11700</v>
      </c>
      <c r="B626" s="61">
        <v>24</v>
      </c>
      <c r="C626" s="45" t="s">
        <v>75</v>
      </c>
      <c r="D626" s="28">
        <v>10</v>
      </c>
      <c r="E626" s="29">
        <v>1</v>
      </c>
      <c r="F626" s="28">
        <v>10</v>
      </c>
      <c r="G626" s="32">
        <v>20.2</v>
      </c>
      <c r="H626" s="628" t="s">
        <v>2276</v>
      </c>
    </row>
    <row r="627" spans="1:8" ht="15.75">
      <c r="A627" s="45">
        <v>11700</v>
      </c>
      <c r="B627" s="61">
        <v>24</v>
      </c>
      <c r="C627" s="45" t="s">
        <v>165</v>
      </c>
      <c r="D627" s="28">
        <v>10</v>
      </c>
      <c r="E627" s="29">
        <v>1</v>
      </c>
      <c r="F627" s="28">
        <v>10</v>
      </c>
      <c r="G627" s="32">
        <v>20.2</v>
      </c>
      <c r="H627" s="636" t="s">
        <v>2277</v>
      </c>
    </row>
    <row r="628" spans="1:8" ht="15.75">
      <c r="A628" s="45">
        <v>11700</v>
      </c>
      <c r="B628" s="61">
        <v>24</v>
      </c>
      <c r="C628" s="45" t="s">
        <v>119</v>
      </c>
      <c r="D628" s="28">
        <v>10</v>
      </c>
      <c r="E628" s="29">
        <v>1</v>
      </c>
      <c r="F628" s="28">
        <v>10</v>
      </c>
      <c r="G628" s="32">
        <v>20.2</v>
      </c>
      <c r="H628" s="628" t="s">
        <v>2276</v>
      </c>
    </row>
    <row r="629" spans="1:8" ht="15.75">
      <c r="A629" s="45">
        <v>11700</v>
      </c>
      <c r="B629" s="61">
        <v>24</v>
      </c>
      <c r="C629" s="45" t="s">
        <v>146</v>
      </c>
      <c r="D629" s="28">
        <v>10</v>
      </c>
      <c r="E629" s="29">
        <v>1</v>
      </c>
      <c r="F629" s="28">
        <v>10</v>
      </c>
      <c r="G629" s="32">
        <v>20.2</v>
      </c>
      <c r="H629" s="628" t="s">
        <v>2276</v>
      </c>
    </row>
    <row r="630" spans="1:8" ht="15.75">
      <c r="A630" s="45">
        <v>12701</v>
      </c>
      <c r="B630" s="61">
        <v>18</v>
      </c>
      <c r="C630" s="45" t="s">
        <v>2278</v>
      </c>
      <c r="D630" s="28">
        <v>10</v>
      </c>
      <c r="E630" s="29">
        <v>1</v>
      </c>
      <c r="F630" s="28">
        <v>10</v>
      </c>
      <c r="G630" s="32">
        <v>6.4</v>
      </c>
      <c r="H630" s="628" t="s">
        <v>2276</v>
      </c>
    </row>
    <row r="632" spans="1:8" ht="15">
      <c r="A632" s="79" t="s">
        <v>2035</v>
      </c>
      <c r="B632" s="80" t="s">
        <v>160</v>
      </c>
      <c r="C632" s="81" t="s">
        <v>95</v>
      </c>
      <c r="D632" s="81" t="s">
        <v>2040</v>
      </c>
      <c r="E632" s="603" t="s">
        <v>2041</v>
      </c>
      <c r="F632" s="81" t="s">
        <v>112</v>
      </c>
      <c r="G632" s="81" t="s">
        <v>2266</v>
      </c>
      <c r="H632" s="81" t="s">
        <v>106</v>
      </c>
    </row>
    <row r="633" spans="1:8" ht="15.75">
      <c r="A633" s="45">
        <v>11700</v>
      </c>
      <c r="B633" s="61">
        <v>24</v>
      </c>
      <c r="C633" s="45" t="s">
        <v>27</v>
      </c>
      <c r="D633" s="28">
        <v>10</v>
      </c>
      <c r="E633" s="29">
        <v>1</v>
      </c>
      <c r="F633" s="28">
        <v>10</v>
      </c>
      <c r="G633" s="32">
        <v>20.2</v>
      </c>
      <c r="H633" s="636" t="s">
        <v>2271</v>
      </c>
    </row>
    <row r="634" spans="1:8" ht="15.75">
      <c r="A634" s="45">
        <v>12701</v>
      </c>
      <c r="B634" s="61">
        <v>9</v>
      </c>
      <c r="C634" s="45" t="s">
        <v>1885</v>
      </c>
      <c r="D634" s="28">
        <v>10</v>
      </c>
      <c r="E634" s="29">
        <v>1</v>
      </c>
      <c r="F634" s="28">
        <v>10</v>
      </c>
      <c r="G634" s="32">
        <v>4.4000000000000004</v>
      </c>
      <c r="H634" s="636" t="s">
        <v>2273</v>
      </c>
    </row>
    <row r="638" spans="1:8" ht="15">
      <c r="A638" s="79" t="s">
        <v>2035</v>
      </c>
      <c r="B638" s="80" t="s">
        <v>160</v>
      </c>
      <c r="C638" s="81" t="s">
        <v>95</v>
      </c>
      <c r="D638" s="81" t="s">
        <v>112</v>
      </c>
    </row>
    <row r="639" spans="1:8" ht="15">
      <c r="A639" s="20">
        <v>5311</v>
      </c>
      <c r="B639" s="22" t="s">
        <v>153</v>
      </c>
      <c r="C639" s="20" t="s">
        <v>2279</v>
      </c>
      <c r="D639" s="57">
        <v>12</v>
      </c>
    </row>
    <row r="641" spans="1:7" ht="15.75">
      <c r="A641" s="79" t="s">
        <v>2035</v>
      </c>
      <c r="B641" s="80" t="s">
        <v>160</v>
      </c>
      <c r="C641" s="81" t="s">
        <v>95</v>
      </c>
      <c r="D641" s="81" t="s">
        <v>2040</v>
      </c>
      <c r="E641" s="603" t="s">
        <v>2041</v>
      </c>
      <c r="F641" s="81" t="s">
        <v>112</v>
      </c>
      <c r="G641" s="166" t="s">
        <v>2280</v>
      </c>
    </row>
    <row r="642" spans="1:7" ht="15">
      <c r="A642" s="20">
        <v>2250</v>
      </c>
      <c r="B642" s="34">
        <v>12</v>
      </c>
      <c r="C642" s="34" t="s">
        <v>2281</v>
      </c>
      <c r="D642" s="103">
        <v>30</v>
      </c>
      <c r="E642" s="104">
        <v>244</v>
      </c>
      <c r="F642" s="103">
        <v>7320</v>
      </c>
      <c r="G642" s="124" t="s">
        <v>2282</v>
      </c>
    </row>
    <row r="643" spans="1:7" ht="15">
      <c r="A643" s="20">
        <v>2250</v>
      </c>
      <c r="B643" s="34">
        <v>12</v>
      </c>
      <c r="C643" s="34" t="s">
        <v>2283</v>
      </c>
      <c r="D643" s="103">
        <v>30</v>
      </c>
      <c r="E643" s="104">
        <v>70</v>
      </c>
      <c r="F643" s="103">
        <v>2100</v>
      </c>
      <c r="G643" s="124" t="s">
        <v>2282</v>
      </c>
    </row>
    <row r="644" spans="1:7" ht="15">
      <c r="A644" s="20">
        <v>2250</v>
      </c>
      <c r="B644" s="34">
        <v>9</v>
      </c>
      <c r="C644" s="34" t="s">
        <v>2281</v>
      </c>
      <c r="D644" s="103">
        <v>30</v>
      </c>
      <c r="E644" s="104">
        <v>76</v>
      </c>
      <c r="F644" s="103">
        <v>2280</v>
      </c>
      <c r="G644" s="124" t="s">
        <v>2284</v>
      </c>
    </row>
    <row r="645" spans="1:7" ht="15">
      <c r="A645" s="20">
        <v>2250</v>
      </c>
      <c r="B645" s="34">
        <v>9</v>
      </c>
      <c r="C645" s="34" t="s">
        <v>2283</v>
      </c>
      <c r="D645" s="103">
        <v>30</v>
      </c>
      <c r="E645" s="104">
        <v>36</v>
      </c>
      <c r="F645" s="103">
        <v>1080</v>
      </c>
      <c r="G645" s="124" t="s">
        <v>2284</v>
      </c>
    </row>
    <row r="647" spans="1:7" ht="15.75">
      <c r="A647" s="79" t="s">
        <v>2035</v>
      </c>
      <c r="B647" s="81" t="s">
        <v>95</v>
      </c>
      <c r="C647" s="81" t="s">
        <v>2040</v>
      </c>
      <c r="D647" s="603" t="s">
        <v>2041</v>
      </c>
      <c r="E647" s="81" t="s">
        <v>112</v>
      </c>
      <c r="F647" s="166" t="s">
        <v>183</v>
      </c>
    </row>
    <row r="648" spans="1:7" ht="15">
      <c r="A648" s="20" t="s">
        <v>1960</v>
      </c>
      <c r="B648" s="34" t="s">
        <v>1961</v>
      </c>
      <c r="C648" s="103">
        <v>13.7</v>
      </c>
      <c r="D648" s="104">
        <v>2</v>
      </c>
      <c r="E648" s="103">
        <v>27.4</v>
      </c>
      <c r="F648" s="124" t="s">
        <v>2285</v>
      </c>
    </row>
    <row r="653" spans="1:7" ht="15">
      <c r="A653" s="79" t="s">
        <v>2035</v>
      </c>
      <c r="B653" s="80" t="s">
        <v>160</v>
      </c>
      <c r="C653" s="81" t="s">
        <v>95</v>
      </c>
      <c r="D653" s="81" t="s">
        <v>2040</v>
      </c>
      <c r="E653" s="603" t="s">
        <v>2041</v>
      </c>
      <c r="F653" s="81" t="s">
        <v>112</v>
      </c>
      <c r="G653" s="81" t="s">
        <v>2266</v>
      </c>
    </row>
    <row r="654" spans="1:7" ht="14.25">
      <c r="A654" s="45">
        <v>12701</v>
      </c>
      <c r="B654" s="61">
        <v>6</v>
      </c>
      <c r="C654" s="45" t="s">
        <v>2286</v>
      </c>
      <c r="D654" s="28">
        <v>10</v>
      </c>
      <c r="E654" s="29">
        <v>60</v>
      </c>
      <c r="F654" s="28">
        <v>600</v>
      </c>
      <c r="G654" s="32">
        <v>0.63</v>
      </c>
    </row>
    <row r="655" spans="1:7" ht="14.25">
      <c r="A655" s="45">
        <v>12701</v>
      </c>
      <c r="B655" s="61">
        <v>6</v>
      </c>
      <c r="C655" s="45" t="s">
        <v>2287</v>
      </c>
      <c r="D655" s="28">
        <v>10</v>
      </c>
      <c r="E655" s="29">
        <v>141</v>
      </c>
      <c r="F655" s="28">
        <v>1410</v>
      </c>
      <c r="G655" s="32">
        <v>0.63</v>
      </c>
    </row>
    <row r="656" spans="1:7" ht="15">
      <c r="A656" s="45"/>
      <c r="B656" s="61"/>
      <c r="C656" s="45" t="s">
        <v>2288</v>
      </c>
      <c r="D656" s="118" t="s">
        <v>61</v>
      </c>
      <c r="E656" s="104"/>
      <c r="F656" s="103"/>
      <c r="G656" s="32">
        <v>210</v>
      </c>
    </row>
    <row r="657" spans="1:9" ht="14.25">
      <c r="A657" s="45">
        <v>12701</v>
      </c>
      <c r="B657" s="61">
        <v>6</v>
      </c>
      <c r="C657" s="45" t="s">
        <v>2289</v>
      </c>
      <c r="D657" s="28">
        <v>10</v>
      </c>
      <c r="E657" s="29">
        <v>77</v>
      </c>
      <c r="F657" s="28">
        <v>770</v>
      </c>
      <c r="G657" s="32">
        <v>0.63</v>
      </c>
    </row>
    <row r="658" spans="1:9" ht="14.25">
      <c r="A658" s="45">
        <v>12701</v>
      </c>
      <c r="B658" s="61">
        <v>6</v>
      </c>
      <c r="C658" s="45" t="s">
        <v>2290</v>
      </c>
      <c r="D658" s="28">
        <v>10</v>
      </c>
      <c r="E658" s="29">
        <v>85</v>
      </c>
      <c r="F658" s="28">
        <v>850</v>
      </c>
      <c r="G658" s="32">
        <v>0.63</v>
      </c>
    </row>
    <row r="659" spans="1:9" ht="14.25">
      <c r="A659" s="45">
        <v>5004</v>
      </c>
      <c r="B659" s="61">
        <v>18</v>
      </c>
      <c r="C659" s="45" t="s">
        <v>2291</v>
      </c>
      <c r="D659" s="28">
        <v>50</v>
      </c>
      <c r="E659" s="29">
        <v>12</v>
      </c>
      <c r="F659" s="28">
        <v>600</v>
      </c>
      <c r="G659" s="32">
        <v>0.79</v>
      </c>
    </row>
    <row r="660" spans="1:9" ht="14.25">
      <c r="A660" s="45">
        <v>5004</v>
      </c>
      <c r="B660" s="61">
        <v>18</v>
      </c>
      <c r="C660" s="45" t="s">
        <v>2004</v>
      </c>
      <c r="D660" s="28">
        <v>50</v>
      </c>
      <c r="E660" s="29">
        <v>28</v>
      </c>
      <c r="F660" s="28">
        <v>1400</v>
      </c>
      <c r="G660" s="32">
        <v>0.79</v>
      </c>
    </row>
    <row r="661" spans="1:9" ht="14.25">
      <c r="A661" s="45">
        <v>5004</v>
      </c>
      <c r="B661" s="61">
        <v>18</v>
      </c>
      <c r="C661" s="45" t="s">
        <v>2292</v>
      </c>
      <c r="D661" s="28">
        <v>50</v>
      </c>
      <c r="E661" s="29">
        <v>16</v>
      </c>
      <c r="F661" s="28">
        <v>800</v>
      </c>
      <c r="G661" s="32">
        <v>0.79</v>
      </c>
    </row>
    <row r="662" spans="1:9" ht="14.25">
      <c r="A662" s="45">
        <v>5004</v>
      </c>
      <c r="B662" s="61">
        <v>18</v>
      </c>
      <c r="C662" s="45" t="s">
        <v>2293</v>
      </c>
      <c r="D662" s="28">
        <v>50</v>
      </c>
      <c r="E662" s="29">
        <v>17</v>
      </c>
      <c r="F662" s="28">
        <v>850</v>
      </c>
      <c r="G662" s="32">
        <v>0.79</v>
      </c>
    </row>
    <row r="667" spans="1:9" ht="15">
      <c r="A667" s="79" t="s">
        <v>2035</v>
      </c>
      <c r="B667" s="80" t="s">
        <v>160</v>
      </c>
      <c r="C667" s="81" t="s">
        <v>95</v>
      </c>
      <c r="D667" s="81" t="s">
        <v>2040</v>
      </c>
      <c r="E667" s="603" t="s">
        <v>2041</v>
      </c>
      <c r="F667" s="81" t="s">
        <v>112</v>
      </c>
      <c r="G667" s="81" t="s">
        <v>2266</v>
      </c>
      <c r="H667" s="81"/>
      <c r="I667" s="81" t="s">
        <v>106</v>
      </c>
    </row>
    <row r="668" spans="1:9" ht="14.25">
      <c r="A668" s="45">
        <v>12701</v>
      </c>
      <c r="B668" s="61">
        <v>9</v>
      </c>
      <c r="C668" s="45" t="s">
        <v>2294</v>
      </c>
      <c r="D668" s="28">
        <v>10</v>
      </c>
      <c r="E668" s="29">
        <v>1</v>
      </c>
      <c r="F668" s="28">
        <v>10</v>
      </c>
      <c r="G668" s="32">
        <v>5.04</v>
      </c>
      <c r="H668" s="32">
        <f t="shared" ref="H668:H677" si="3">G668*E668</f>
        <v>5.04</v>
      </c>
      <c r="I668" s="31" t="s">
        <v>2295</v>
      </c>
    </row>
    <row r="669" spans="1:9" ht="14.25">
      <c r="A669" s="45">
        <v>12701</v>
      </c>
      <c r="B669" s="61">
        <v>9</v>
      </c>
      <c r="C669" s="45" t="s">
        <v>88</v>
      </c>
      <c r="D669" s="28">
        <v>10</v>
      </c>
      <c r="E669" s="29">
        <v>1</v>
      </c>
      <c r="F669" s="28">
        <v>10</v>
      </c>
      <c r="G669" s="32">
        <v>5.04</v>
      </c>
      <c r="H669" s="32">
        <f t="shared" si="3"/>
        <v>5.04</v>
      </c>
      <c r="I669" s="31" t="s">
        <v>2295</v>
      </c>
    </row>
    <row r="670" spans="1:9" ht="14.25">
      <c r="A670" s="45">
        <v>12701</v>
      </c>
      <c r="B670" s="61">
        <v>9</v>
      </c>
      <c r="C670" s="45" t="s">
        <v>2296</v>
      </c>
      <c r="D670" s="28">
        <v>10</v>
      </c>
      <c r="E670" s="29">
        <v>10</v>
      </c>
      <c r="F670" s="28">
        <v>100</v>
      </c>
      <c r="G670" s="32">
        <v>5.04</v>
      </c>
      <c r="H670" s="32">
        <f t="shared" si="3"/>
        <v>50.4</v>
      </c>
      <c r="I670" s="31" t="s">
        <v>2295</v>
      </c>
    </row>
    <row r="671" spans="1:9" ht="14.25">
      <c r="A671" s="45">
        <v>12701</v>
      </c>
      <c r="B671" s="61">
        <v>12</v>
      </c>
      <c r="C671" s="45" t="s">
        <v>1885</v>
      </c>
      <c r="D671" s="28">
        <v>10</v>
      </c>
      <c r="E671" s="29">
        <v>1</v>
      </c>
      <c r="F671" s="28">
        <v>10</v>
      </c>
      <c r="G671" s="32">
        <v>5.68</v>
      </c>
      <c r="H671" s="32">
        <f t="shared" si="3"/>
        <v>5.68</v>
      </c>
      <c r="I671" s="31" t="s">
        <v>2295</v>
      </c>
    </row>
    <row r="672" spans="1:9" ht="14.25">
      <c r="A672" s="45">
        <v>12701</v>
      </c>
      <c r="B672" s="61">
        <v>18</v>
      </c>
      <c r="C672" s="45" t="s">
        <v>1916</v>
      </c>
      <c r="D672" s="28">
        <v>10</v>
      </c>
      <c r="E672" s="29">
        <v>1</v>
      </c>
      <c r="F672" s="28">
        <v>10</v>
      </c>
      <c r="G672" s="32">
        <v>7.34</v>
      </c>
      <c r="H672" s="32">
        <f t="shared" si="3"/>
        <v>7.34</v>
      </c>
      <c r="I672" s="31" t="s">
        <v>2295</v>
      </c>
    </row>
    <row r="673" spans="1:9" ht="14.25">
      <c r="A673" s="45">
        <v>12701</v>
      </c>
      <c r="B673" s="61">
        <v>18</v>
      </c>
      <c r="C673" s="45" t="s">
        <v>1926</v>
      </c>
      <c r="D673" s="28">
        <v>10</v>
      </c>
      <c r="E673" s="29">
        <v>1</v>
      </c>
      <c r="F673" s="28">
        <v>10</v>
      </c>
      <c r="G673" s="32">
        <v>7.34</v>
      </c>
      <c r="H673" s="32">
        <f t="shared" si="3"/>
        <v>7.34</v>
      </c>
      <c r="I673" s="31" t="s">
        <v>2295</v>
      </c>
    </row>
    <row r="674" spans="1:9" ht="14.25">
      <c r="A674" s="45">
        <v>12701</v>
      </c>
      <c r="B674" s="61">
        <v>24</v>
      </c>
      <c r="C674" s="45" t="s">
        <v>2278</v>
      </c>
      <c r="D674" s="28">
        <v>10</v>
      </c>
      <c r="E674" s="29">
        <v>1</v>
      </c>
      <c r="F674" s="28">
        <v>10</v>
      </c>
      <c r="G674" s="32">
        <v>8.99</v>
      </c>
      <c r="H674" s="32">
        <f t="shared" si="3"/>
        <v>8.99</v>
      </c>
      <c r="I674" s="31" t="s">
        <v>2295</v>
      </c>
    </row>
    <row r="675" spans="1:9" ht="14.25">
      <c r="A675" s="45">
        <v>12701</v>
      </c>
      <c r="B675" s="61">
        <v>50</v>
      </c>
      <c r="C675" s="45" t="s">
        <v>2028</v>
      </c>
      <c r="D675" s="28">
        <v>10</v>
      </c>
      <c r="E675" s="29">
        <v>1</v>
      </c>
      <c r="F675" s="28">
        <v>10</v>
      </c>
      <c r="G675" s="32">
        <v>20.399999999999999</v>
      </c>
      <c r="H675" s="32">
        <f t="shared" si="3"/>
        <v>20.399999999999999</v>
      </c>
      <c r="I675" s="31" t="s">
        <v>2295</v>
      </c>
    </row>
    <row r="676" spans="1:9" ht="14.25">
      <c r="A676" s="45">
        <v>11700</v>
      </c>
      <c r="B676" s="61">
        <v>24</v>
      </c>
      <c r="C676" s="45" t="s">
        <v>2297</v>
      </c>
      <c r="D676" s="28">
        <v>10</v>
      </c>
      <c r="E676" s="29">
        <v>1</v>
      </c>
      <c r="F676" s="28">
        <v>10</v>
      </c>
      <c r="G676" s="32">
        <v>21.12</v>
      </c>
      <c r="H676" s="32">
        <f t="shared" si="3"/>
        <v>21.12</v>
      </c>
      <c r="I676" s="31" t="s">
        <v>2295</v>
      </c>
    </row>
    <row r="677" spans="1:9" ht="14.25">
      <c r="A677" s="45">
        <v>11700</v>
      </c>
      <c r="B677" s="61">
        <v>24</v>
      </c>
      <c r="C677" s="45" t="s">
        <v>119</v>
      </c>
      <c r="D677" s="28">
        <v>10</v>
      </c>
      <c r="E677" s="29">
        <v>1</v>
      </c>
      <c r="F677" s="28">
        <v>10</v>
      </c>
      <c r="G677" s="32">
        <v>21.12</v>
      </c>
      <c r="H677" s="32">
        <f t="shared" si="3"/>
        <v>21.12</v>
      </c>
      <c r="I677" s="31" t="s">
        <v>2295</v>
      </c>
    </row>
    <row r="678" spans="1:9" ht="14.25">
      <c r="A678" s="45">
        <v>11700</v>
      </c>
      <c r="B678" s="61">
        <v>36</v>
      </c>
      <c r="C678" s="45" t="s">
        <v>151</v>
      </c>
      <c r="D678" s="28">
        <v>10</v>
      </c>
      <c r="E678" s="29">
        <v>1</v>
      </c>
      <c r="F678" s="28">
        <v>10</v>
      </c>
      <c r="G678" s="32">
        <v>35.14</v>
      </c>
      <c r="H678" s="32"/>
      <c r="I678" s="268" t="s">
        <v>2298</v>
      </c>
    </row>
    <row r="679" spans="1:9" ht="14.25">
      <c r="A679" s="45">
        <v>11700</v>
      </c>
      <c r="B679" s="61">
        <v>36</v>
      </c>
      <c r="C679" s="45" t="s">
        <v>119</v>
      </c>
      <c r="D679" s="28">
        <v>10</v>
      </c>
      <c r="E679" s="29">
        <v>1</v>
      </c>
      <c r="F679" s="28">
        <v>10</v>
      </c>
      <c r="G679" s="32">
        <v>35.14</v>
      </c>
      <c r="H679" s="32">
        <f>G679*E679</f>
        <v>35.14</v>
      </c>
      <c r="I679" s="31" t="s">
        <v>2295</v>
      </c>
    </row>
    <row r="680" spans="1:9" ht="14.25">
      <c r="A680" s="45">
        <v>12701</v>
      </c>
      <c r="B680" s="61">
        <v>9</v>
      </c>
      <c r="C680" s="45" t="s">
        <v>1885</v>
      </c>
      <c r="D680" s="28">
        <v>10</v>
      </c>
      <c r="E680" s="29">
        <v>1</v>
      </c>
      <c r="F680" s="28">
        <v>10</v>
      </c>
      <c r="G680" s="32">
        <v>4.4000000000000004</v>
      </c>
      <c r="H680" s="32">
        <f>G680*E680</f>
        <v>4.4000000000000004</v>
      </c>
      <c r="I680" s="31" t="s">
        <v>2295</v>
      </c>
    </row>
    <row r="681" spans="1:9" ht="14.25">
      <c r="A681" s="45">
        <v>11700</v>
      </c>
      <c r="B681" s="61">
        <v>24</v>
      </c>
      <c r="C681" s="45" t="s">
        <v>165</v>
      </c>
      <c r="D681" s="28">
        <v>10</v>
      </c>
      <c r="E681" s="29">
        <v>1</v>
      </c>
      <c r="F681" s="28">
        <v>10</v>
      </c>
      <c r="G681" s="32">
        <v>20.2</v>
      </c>
      <c r="H681" s="32"/>
      <c r="I681" s="268" t="s">
        <v>2299</v>
      </c>
    </row>
    <row r="684" spans="1:9">
      <c r="A684" s="129" t="s">
        <v>1966</v>
      </c>
      <c r="B684" s="129" t="s">
        <v>2300</v>
      </c>
      <c r="C684" s="637">
        <v>50</v>
      </c>
    </row>
    <row r="685" spans="1:9">
      <c r="A685" s="129" t="s">
        <v>1966</v>
      </c>
      <c r="B685" s="129" t="s">
        <v>2301</v>
      </c>
      <c r="C685" s="637">
        <v>300</v>
      </c>
    </row>
    <row r="686" spans="1:9">
      <c r="A686" s="129" t="s">
        <v>1966</v>
      </c>
      <c r="B686" s="129" t="s">
        <v>2301</v>
      </c>
      <c r="C686" s="637">
        <v>72</v>
      </c>
    </row>
    <row r="688" spans="1:9" ht="15">
      <c r="A688" s="79" t="s">
        <v>2035</v>
      </c>
      <c r="B688" s="80" t="s">
        <v>160</v>
      </c>
      <c r="C688" s="81" t="s">
        <v>95</v>
      </c>
      <c r="D688" s="81" t="s">
        <v>2040</v>
      </c>
      <c r="E688" s="603" t="s">
        <v>2041</v>
      </c>
      <c r="F688" s="81" t="s">
        <v>112</v>
      </c>
      <c r="G688" s="81" t="s">
        <v>2266</v>
      </c>
      <c r="H688" s="81"/>
      <c r="I688" s="81" t="s">
        <v>106</v>
      </c>
    </row>
    <row r="689" spans="1:9" ht="14.25">
      <c r="A689" s="45">
        <v>11700</v>
      </c>
      <c r="B689" s="61">
        <v>36</v>
      </c>
      <c r="C689" s="45" t="s">
        <v>151</v>
      </c>
      <c r="D689" s="28">
        <v>10</v>
      </c>
      <c r="E689" s="29">
        <v>1</v>
      </c>
      <c r="F689" s="28">
        <v>10</v>
      </c>
      <c r="G689" s="32">
        <v>35.14</v>
      </c>
      <c r="H689" s="32"/>
      <c r="I689" s="268" t="s">
        <v>2298</v>
      </c>
    </row>
    <row r="690" spans="1:9" ht="14.25">
      <c r="A690" s="45">
        <v>11700</v>
      </c>
      <c r="B690" s="61">
        <v>24</v>
      </c>
      <c r="C690" s="45" t="s">
        <v>165</v>
      </c>
      <c r="D690" s="28">
        <v>10</v>
      </c>
      <c r="E690" s="29">
        <v>1</v>
      </c>
      <c r="F690" s="28">
        <v>10</v>
      </c>
      <c r="G690" s="32">
        <v>20.2</v>
      </c>
      <c r="H690" s="32"/>
      <c r="I690" s="268" t="s">
        <v>2299</v>
      </c>
    </row>
    <row r="693" spans="1:9" ht="15.75">
      <c r="A693" s="72" t="s">
        <v>77</v>
      </c>
      <c r="B693" s="42" t="s">
        <v>1945</v>
      </c>
      <c r="C693" s="80" t="s">
        <v>160</v>
      </c>
      <c r="D693" s="61" t="s">
        <v>2302</v>
      </c>
      <c r="E693" s="81" t="s">
        <v>2040</v>
      </c>
      <c r="F693" s="603" t="s">
        <v>2041</v>
      </c>
      <c r="G693" s="81" t="s">
        <v>112</v>
      </c>
      <c r="H693" s="81" t="s">
        <v>2267</v>
      </c>
    </row>
    <row r="694" spans="1:9" ht="15">
      <c r="A694" s="6" t="s">
        <v>2303</v>
      </c>
      <c r="B694" s="20" t="s">
        <v>2304</v>
      </c>
      <c r="C694" s="34" t="s">
        <v>307</v>
      </c>
      <c r="D694" s="135" t="s">
        <v>2305</v>
      </c>
      <c r="E694" s="103">
        <v>50</v>
      </c>
      <c r="F694" s="104">
        <v>10</v>
      </c>
      <c r="G694" s="8">
        <v>500</v>
      </c>
      <c r="H694" s="36">
        <v>0.44</v>
      </c>
    </row>
    <row r="695" spans="1:9" ht="15">
      <c r="A695" s="6" t="s">
        <v>2303</v>
      </c>
      <c r="B695" s="20" t="s">
        <v>2304</v>
      </c>
      <c r="C695" s="34">
        <v>36</v>
      </c>
      <c r="D695" s="135" t="s">
        <v>2306</v>
      </c>
      <c r="E695" s="103">
        <v>50</v>
      </c>
      <c r="F695" s="104">
        <v>10</v>
      </c>
      <c r="G695" s="8">
        <v>500</v>
      </c>
      <c r="H695" s="36">
        <v>0.9</v>
      </c>
    </row>
    <row r="696" spans="1:9" ht="15">
      <c r="A696" s="6" t="s">
        <v>2303</v>
      </c>
      <c r="B696" s="20" t="s">
        <v>2304</v>
      </c>
      <c r="C696" s="34">
        <v>48</v>
      </c>
      <c r="D696" s="135" t="s">
        <v>2307</v>
      </c>
      <c r="E696" s="103">
        <v>50</v>
      </c>
      <c r="F696" s="104">
        <v>10</v>
      </c>
      <c r="G696" s="8">
        <v>500</v>
      </c>
      <c r="H696" s="36">
        <v>1.19</v>
      </c>
    </row>
    <row r="701" spans="1:9" ht="15">
      <c r="A701" s="17" t="s">
        <v>60</v>
      </c>
      <c r="B701" s="20"/>
      <c r="C701" s="57"/>
      <c r="D701" s="13"/>
      <c r="E701" s="58"/>
      <c r="F701" s="14" t="s">
        <v>5</v>
      </c>
    </row>
    <row r="702" spans="1:9" ht="15">
      <c r="A702" s="78" t="s">
        <v>2227</v>
      </c>
      <c r="B702" s="20" t="s">
        <v>37</v>
      </c>
      <c r="C702" s="103">
        <v>8380</v>
      </c>
      <c r="D702" s="103">
        <v>8380</v>
      </c>
      <c r="E702" s="103">
        <v>8380</v>
      </c>
      <c r="F702" s="36">
        <v>2.37</v>
      </c>
    </row>
    <row r="703" spans="1:9" ht="15">
      <c r="A703" s="78" t="s">
        <v>2227</v>
      </c>
      <c r="B703" s="20" t="s">
        <v>37</v>
      </c>
      <c r="C703" s="103">
        <v>7</v>
      </c>
      <c r="D703" s="103">
        <v>7</v>
      </c>
      <c r="E703" s="103">
        <v>7</v>
      </c>
      <c r="F703" s="36">
        <v>2.37</v>
      </c>
    </row>
    <row r="706" spans="1:8" ht="15.75">
      <c r="A706" s="72" t="s">
        <v>77</v>
      </c>
      <c r="B706" s="79" t="s">
        <v>2035</v>
      </c>
      <c r="C706" s="80" t="s">
        <v>160</v>
      </c>
      <c r="D706" s="81" t="s">
        <v>95</v>
      </c>
      <c r="E706" s="81" t="s">
        <v>2040</v>
      </c>
      <c r="F706" s="603" t="s">
        <v>2041</v>
      </c>
      <c r="G706" s="81" t="s">
        <v>112</v>
      </c>
      <c r="H706" s="81" t="s">
        <v>2308</v>
      </c>
    </row>
    <row r="707" spans="1:8" ht="15">
      <c r="A707" s="26" t="s">
        <v>2309</v>
      </c>
      <c r="B707" s="20">
        <v>2250</v>
      </c>
      <c r="C707" s="34">
        <v>12</v>
      </c>
      <c r="D707" s="34" t="s">
        <v>2310</v>
      </c>
      <c r="E707" s="103">
        <v>30</v>
      </c>
      <c r="F707" s="104">
        <v>6</v>
      </c>
      <c r="G707" s="8">
        <v>180</v>
      </c>
      <c r="H707" s="36">
        <v>0.3</v>
      </c>
    </row>
    <row r="708" spans="1:8" ht="15">
      <c r="A708" s="26" t="s">
        <v>2309</v>
      </c>
      <c r="B708" s="20">
        <v>2250</v>
      </c>
      <c r="C708" s="34">
        <v>24</v>
      </c>
      <c r="D708" s="34" t="s">
        <v>2310</v>
      </c>
      <c r="E708" s="103">
        <v>30</v>
      </c>
      <c r="F708" s="104">
        <v>7</v>
      </c>
      <c r="G708" s="8">
        <v>210</v>
      </c>
      <c r="H708" s="633">
        <v>0.53</v>
      </c>
    </row>
    <row r="709" spans="1:8" ht="15">
      <c r="A709" s="26" t="s">
        <v>2309</v>
      </c>
      <c r="B709" s="20">
        <v>2250</v>
      </c>
      <c r="C709" s="34">
        <v>24</v>
      </c>
      <c r="D709" s="34" t="s">
        <v>2311</v>
      </c>
      <c r="E709" s="103">
        <v>30</v>
      </c>
      <c r="F709" s="104">
        <v>35</v>
      </c>
      <c r="G709" s="8">
        <v>1050</v>
      </c>
      <c r="H709" s="36">
        <v>0.53</v>
      </c>
    </row>
    <row r="710" spans="1:8" ht="15">
      <c r="A710" s="26" t="s">
        <v>2309</v>
      </c>
      <c r="B710" s="20">
        <v>2250</v>
      </c>
      <c r="C710" s="34">
        <v>15</v>
      </c>
      <c r="D710" s="34" t="s">
        <v>1924</v>
      </c>
      <c r="E710" s="103">
        <v>30</v>
      </c>
      <c r="F710" s="104">
        <v>9</v>
      </c>
      <c r="G710" s="103">
        <v>270</v>
      </c>
      <c r="H710" s="36">
        <v>0.35</v>
      </c>
    </row>
    <row r="711" spans="1:8" ht="15">
      <c r="A711" s="26" t="s">
        <v>2309</v>
      </c>
      <c r="B711" s="20">
        <v>2250</v>
      </c>
      <c r="C711" s="34">
        <v>12</v>
      </c>
      <c r="D711" s="34" t="s">
        <v>2311</v>
      </c>
      <c r="E711" s="103">
        <v>30</v>
      </c>
      <c r="F711" s="104">
        <v>2</v>
      </c>
      <c r="G711" s="8">
        <v>60</v>
      </c>
      <c r="H711" s="36">
        <v>0.3</v>
      </c>
    </row>
    <row r="714" spans="1:8" ht="15">
      <c r="A714" s="79" t="s">
        <v>2035</v>
      </c>
      <c r="B714" s="80" t="s">
        <v>160</v>
      </c>
      <c r="C714" s="586" t="s">
        <v>2312</v>
      </c>
    </row>
    <row r="715" spans="1:8" ht="15">
      <c r="A715" s="20" t="s">
        <v>2313</v>
      </c>
      <c r="B715" s="34">
        <v>9</v>
      </c>
      <c r="C715" s="135" t="s">
        <v>2314</v>
      </c>
    </row>
    <row r="716" spans="1:8" ht="15">
      <c r="A716" s="20" t="s">
        <v>2315</v>
      </c>
      <c r="B716" s="34">
        <v>15</v>
      </c>
      <c r="C716" s="135" t="s">
        <v>2316</v>
      </c>
    </row>
    <row r="717" spans="1:8" ht="15">
      <c r="A717" s="20" t="s">
        <v>2317</v>
      </c>
      <c r="B717" s="34">
        <v>36</v>
      </c>
      <c r="C717" s="135" t="s">
        <v>2318</v>
      </c>
    </row>
    <row r="718" spans="1:8" ht="15">
      <c r="A718" s="20" t="s">
        <v>2319</v>
      </c>
      <c r="B718" s="34">
        <v>51</v>
      </c>
      <c r="C718" s="135" t="s">
        <v>2320</v>
      </c>
    </row>
    <row r="719" spans="1:8" ht="15">
      <c r="A719" s="79" t="s">
        <v>2035</v>
      </c>
      <c r="B719" s="81" t="s">
        <v>95</v>
      </c>
      <c r="C719" s="81" t="s">
        <v>112</v>
      </c>
      <c r="D719" s="81" t="s">
        <v>106</v>
      </c>
    </row>
    <row r="720" spans="1:8" ht="15">
      <c r="A720" s="20" t="s">
        <v>7</v>
      </c>
      <c r="B720" s="20" t="s">
        <v>2321</v>
      </c>
      <c r="C720" s="8">
        <v>150</v>
      </c>
      <c r="D720" s="31" t="s">
        <v>2322</v>
      </c>
    </row>
    <row r="721" spans="1:5" ht="15">
      <c r="A721" s="20" t="s">
        <v>7</v>
      </c>
      <c r="B721" s="20" t="s">
        <v>2323</v>
      </c>
      <c r="C721" s="8">
        <v>650</v>
      </c>
      <c r="D721" s="31" t="s">
        <v>2324</v>
      </c>
    </row>
    <row r="722" spans="1:5" ht="15">
      <c r="A722" s="20" t="s">
        <v>7</v>
      </c>
      <c r="B722" s="20" t="s">
        <v>2325</v>
      </c>
      <c r="C722" s="8">
        <v>94</v>
      </c>
      <c r="D722" s="268" t="s">
        <v>107</v>
      </c>
    </row>
    <row r="723" spans="1:5" ht="15">
      <c r="A723" s="20" t="s">
        <v>7</v>
      </c>
      <c r="B723" s="20" t="s">
        <v>2326</v>
      </c>
      <c r="C723" s="8">
        <v>100</v>
      </c>
      <c r="D723" s="268" t="s">
        <v>107</v>
      </c>
    </row>
    <row r="724" spans="1:5" ht="15">
      <c r="A724" s="20" t="s">
        <v>7</v>
      </c>
      <c r="B724" s="20" t="s">
        <v>2327</v>
      </c>
      <c r="C724" s="8">
        <v>100</v>
      </c>
      <c r="D724" s="31" t="s">
        <v>2322</v>
      </c>
    </row>
    <row r="725" spans="1:5" ht="15">
      <c r="A725" s="20" t="s">
        <v>7</v>
      </c>
      <c r="B725" s="20" t="s">
        <v>2328</v>
      </c>
      <c r="C725" s="8">
        <v>150</v>
      </c>
      <c r="D725" s="31">
        <v>43563</v>
      </c>
    </row>
    <row r="726" spans="1:5" ht="15">
      <c r="A726" s="20" t="s">
        <v>7</v>
      </c>
      <c r="B726" s="20" t="s">
        <v>1944</v>
      </c>
      <c r="C726" s="8">
        <v>100</v>
      </c>
      <c r="D726" s="268" t="s">
        <v>107</v>
      </c>
    </row>
    <row r="729" spans="1:5" ht="15">
      <c r="A729" s="79" t="s">
        <v>2035</v>
      </c>
      <c r="B729" s="80" t="s">
        <v>160</v>
      </c>
      <c r="C729" s="586" t="s">
        <v>2329</v>
      </c>
      <c r="D729" s="80" t="s">
        <v>263</v>
      </c>
      <c r="E729" s="81" t="s">
        <v>2330</v>
      </c>
    </row>
    <row r="730" spans="1:5" ht="15">
      <c r="A730" s="20" t="s">
        <v>2331</v>
      </c>
      <c r="B730" s="34">
        <v>15</v>
      </c>
      <c r="C730" s="173" t="s">
        <v>2332</v>
      </c>
      <c r="D730" s="8">
        <v>100</v>
      </c>
      <c r="E730" s="1328">
        <v>1800</v>
      </c>
    </row>
    <row r="731" spans="1:5" ht="15">
      <c r="A731" s="20" t="s">
        <v>2333</v>
      </c>
      <c r="B731" s="34">
        <v>36</v>
      </c>
      <c r="C731" s="173" t="s">
        <v>2334</v>
      </c>
      <c r="D731" s="8">
        <v>100</v>
      </c>
      <c r="E731" s="1329"/>
    </row>
    <row r="732" spans="1:5" ht="15">
      <c r="A732" s="20" t="s">
        <v>2335</v>
      </c>
      <c r="B732" s="34">
        <v>48</v>
      </c>
      <c r="C732" s="173" t="s">
        <v>2336</v>
      </c>
      <c r="D732" s="8">
        <v>100</v>
      </c>
      <c r="E732" s="1329"/>
    </row>
    <row r="733" spans="1:5" ht="15">
      <c r="A733" s="20" t="s">
        <v>2337</v>
      </c>
      <c r="B733" s="34">
        <v>9</v>
      </c>
      <c r="C733" s="173" t="s">
        <v>2338</v>
      </c>
      <c r="D733" s="8">
        <v>100</v>
      </c>
      <c r="E733" s="1330"/>
    </row>
    <row r="734" spans="1:5" ht="15">
      <c r="A734" s="20"/>
      <c r="B734" s="111"/>
      <c r="C734" s="20" t="s">
        <v>2339</v>
      </c>
      <c r="D734" s="8" t="s">
        <v>61</v>
      </c>
      <c r="E734" s="36">
        <v>700</v>
      </c>
    </row>
    <row r="738" spans="1:8" ht="15">
      <c r="A738" s="79" t="s">
        <v>2035</v>
      </c>
      <c r="B738" s="81" t="s">
        <v>95</v>
      </c>
      <c r="C738" s="80" t="s">
        <v>263</v>
      </c>
      <c r="D738" s="81" t="s">
        <v>178</v>
      </c>
      <c r="E738" s="7"/>
    </row>
    <row r="739" spans="1:8" ht="15">
      <c r="A739" s="20">
        <v>53022</v>
      </c>
      <c r="B739" s="20" t="s">
        <v>96</v>
      </c>
      <c r="C739" s="638">
        <v>27.4</v>
      </c>
      <c r="D739" s="86" t="s">
        <v>2340</v>
      </c>
      <c r="E739" s="7">
        <v>319</v>
      </c>
    </row>
    <row r="740" spans="1:8" ht="15">
      <c r="A740" s="20">
        <v>55436</v>
      </c>
      <c r="B740" s="20" t="s">
        <v>96</v>
      </c>
      <c r="C740" s="638">
        <v>27.4</v>
      </c>
      <c r="D740" s="86" t="s">
        <v>2341</v>
      </c>
      <c r="E740" s="7">
        <v>1100</v>
      </c>
    </row>
    <row r="741" spans="1:8" ht="15">
      <c r="A741" s="20">
        <v>55426</v>
      </c>
      <c r="B741" s="20" t="s">
        <v>96</v>
      </c>
      <c r="C741" s="638">
        <v>27.4</v>
      </c>
      <c r="D741" s="86" t="s">
        <v>2342</v>
      </c>
      <c r="E741" s="7">
        <v>482</v>
      </c>
    </row>
    <row r="742" spans="1:8" ht="15">
      <c r="A742" s="20">
        <v>52333</v>
      </c>
      <c r="B742" s="20" t="s">
        <v>96</v>
      </c>
      <c r="C742" s="638">
        <v>27.4</v>
      </c>
      <c r="D742" s="86" t="s">
        <v>2343</v>
      </c>
      <c r="E742" s="7">
        <v>172</v>
      </c>
    </row>
    <row r="746" spans="1:8" ht="15.75">
      <c r="A746" s="72" t="s">
        <v>77</v>
      </c>
      <c r="B746" s="79" t="s">
        <v>2035</v>
      </c>
      <c r="C746" s="80" t="s">
        <v>160</v>
      </c>
      <c r="D746" s="81" t="s">
        <v>95</v>
      </c>
      <c r="E746" s="81" t="s">
        <v>2040</v>
      </c>
      <c r="F746" s="603" t="s">
        <v>2041</v>
      </c>
      <c r="G746" s="81" t="s">
        <v>112</v>
      </c>
      <c r="H746" s="81" t="s">
        <v>2308</v>
      </c>
    </row>
    <row r="747" spans="1:8" ht="15">
      <c r="A747" s="6" t="s">
        <v>2344</v>
      </c>
      <c r="B747" s="78" t="s">
        <v>2037</v>
      </c>
      <c r="C747" s="13">
        <v>8</v>
      </c>
      <c r="D747" s="20" t="s">
        <v>1930</v>
      </c>
      <c r="E747" s="103">
        <v>100</v>
      </c>
      <c r="F747" s="104">
        <v>2</v>
      </c>
      <c r="G747" s="8">
        <v>200</v>
      </c>
      <c r="H747" s="36">
        <v>0.78</v>
      </c>
    </row>
    <row r="748" spans="1:8" ht="15">
      <c r="A748" s="6" t="s">
        <v>2344</v>
      </c>
      <c r="B748" s="20"/>
      <c r="C748" s="13"/>
      <c r="D748" s="34" t="s">
        <v>186</v>
      </c>
      <c r="E748" s="118" t="s">
        <v>61</v>
      </c>
      <c r="F748" s="104"/>
      <c r="G748" s="103"/>
      <c r="H748" s="36">
        <v>225</v>
      </c>
    </row>
    <row r="749" spans="1:8" ht="15">
      <c r="A749" s="6" t="s">
        <v>2344</v>
      </c>
      <c r="B749" s="78" t="s">
        <v>2345</v>
      </c>
      <c r="C749" s="13">
        <v>10</v>
      </c>
      <c r="D749" s="20" t="s">
        <v>1930</v>
      </c>
      <c r="E749" s="103">
        <v>100</v>
      </c>
      <c r="F749" s="104">
        <v>3</v>
      </c>
      <c r="G749" s="8">
        <v>300</v>
      </c>
      <c r="H749" s="36">
        <v>0.85</v>
      </c>
    </row>
    <row r="750" spans="1:8" ht="15">
      <c r="A750" s="6" t="s">
        <v>2344</v>
      </c>
      <c r="B750" s="20"/>
      <c r="C750" s="13"/>
      <c r="D750" s="34" t="s">
        <v>186</v>
      </c>
      <c r="E750" s="118" t="s">
        <v>61</v>
      </c>
      <c r="F750" s="104"/>
      <c r="G750" s="103"/>
      <c r="H750" s="36">
        <v>437.5</v>
      </c>
    </row>
    <row r="753" spans="1:7" ht="15">
      <c r="A753" s="79" t="s">
        <v>2035</v>
      </c>
      <c r="B753" s="80" t="s">
        <v>160</v>
      </c>
      <c r="C753" s="81" t="s">
        <v>95</v>
      </c>
      <c r="D753" s="81" t="s">
        <v>2040</v>
      </c>
    </row>
    <row r="754" spans="1:7" ht="15">
      <c r="A754" s="20">
        <v>12701</v>
      </c>
      <c r="B754" s="34">
        <v>18</v>
      </c>
      <c r="C754" s="20" t="s">
        <v>2025</v>
      </c>
      <c r="D754" s="33">
        <v>1</v>
      </c>
      <c r="E754" s="8">
        <v>10</v>
      </c>
      <c r="F754" s="33">
        <v>1</v>
      </c>
      <c r="G754" s="36">
        <v>7.34</v>
      </c>
    </row>
    <row r="755" spans="1:7" ht="15">
      <c r="A755" s="20">
        <v>11700</v>
      </c>
      <c r="B755" s="34">
        <v>24</v>
      </c>
      <c r="C755" s="20" t="s">
        <v>291</v>
      </c>
      <c r="D755" s="33">
        <v>1</v>
      </c>
      <c r="E755" s="8">
        <v>10</v>
      </c>
      <c r="F755" s="33">
        <v>1</v>
      </c>
      <c r="G755" s="36">
        <v>21.12</v>
      </c>
    </row>
    <row r="758" spans="1:7" ht="15">
      <c r="A758" s="79" t="s">
        <v>2035</v>
      </c>
      <c r="B758" s="81" t="s">
        <v>95</v>
      </c>
      <c r="C758" s="80" t="s">
        <v>263</v>
      </c>
      <c r="D758" s="81" t="s">
        <v>178</v>
      </c>
    </row>
    <row r="759" spans="1:7" ht="15">
      <c r="A759" s="20" t="s">
        <v>2346</v>
      </c>
      <c r="B759" s="20" t="s">
        <v>56</v>
      </c>
      <c r="C759" s="163">
        <v>28</v>
      </c>
      <c r="D759" s="639" t="s">
        <v>2347</v>
      </c>
    </row>
    <row r="760" spans="1:7" ht="15">
      <c r="A760" s="20"/>
      <c r="B760" s="20" t="s">
        <v>12</v>
      </c>
      <c r="C760" s="8"/>
      <c r="D760" s="36">
        <v>12</v>
      </c>
    </row>
    <row r="763" spans="1:7" ht="15.75">
      <c r="A763" s="166" t="s">
        <v>2348</v>
      </c>
      <c r="B763" s="640" t="s">
        <v>108</v>
      </c>
      <c r="C763" s="61" t="s">
        <v>2349</v>
      </c>
      <c r="D763" s="81" t="s">
        <v>178</v>
      </c>
    </row>
    <row r="764" spans="1:7" ht="15">
      <c r="A764" s="109" t="s">
        <v>2350</v>
      </c>
      <c r="B764" s="34">
        <v>9</v>
      </c>
      <c r="C764" s="173" t="s">
        <v>2351</v>
      </c>
      <c r="D764" s="639" t="s">
        <v>2352</v>
      </c>
    </row>
    <row r="765" spans="1:7" ht="15">
      <c r="A765" s="109" t="s">
        <v>2350</v>
      </c>
      <c r="B765" s="34">
        <v>15</v>
      </c>
      <c r="C765" s="173" t="s">
        <v>2351</v>
      </c>
      <c r="D765" s="639" t="s">
        <v>2353</v>
      </c>
    </row>
    <row r="766" spans="1:7" ht="15">
      <c r="A766" s="109" t="s">
        <v>2350</v>
      </c>
      <c r="B766" s="34">
        <v>36</v>
      </c>
      <c r="C766" s="173" t="s">
        <v>2354</v>
      </c>
      <c r="D766" s="639" t="s">
        <v>2355</v>
      </c>
    </row>
    <row r="767" spans="1:7" ht="15">
      <c r="A767" s="109" t="s">
        <v>2350</v>
      </c>
      <c r="B767" s="34">
        <v>48</v>
      </c>
      <c r="C767" s="173" t="s">
        <v>2351</v>
      </c>
      <c r="D767" s="639" t="s">
        <v>2356</v>
      </c>
    </row>
    <row r="768" spans="1:7" ht="15">
      <c r="A768" s="641"/>
      <c r="B768" s="219"/>
      <c r="C768" s="642"/>
    </row>
    <row r="771" spans="1:8" ht="15">
      <c r="A771" s="79" t="s">
        <v>2035</v>
      </c>
      <c r="B771" s="80" t="s">
        <v>160</v>
      </c>
      <c r="C771" s="586" t="s">
        <v>2357</v>
      </c>
      <c r="D771" s="80" t="s">
        <v>275</v>
      </c>
      <c r="E771" s="80" t="s">
        <v>2358</v>
      </c>
      <c r="F771" s="81" t="s">
        <v>2308</v>
      </c>
    </row>
    <row r="772" spans="1:8" ht="15">
      <c r="A772" s="20" t="s">
        <v>2331</v>
      </c>
      <c r="B772" s="34" t="s">
        <v>307</v>
      </c>
      <c r="C772" s="643" t="s">
        <v>2359</v>
      </c>
      <c r="D772" s="644">
        <v>50</v>
      </c>
      <c r="E772" s="103">
        <v>300</v>
      </c>
      <c r="F772" s="36">
        <v>0.72</v>
      </c>
    </row>
    <row r="773" spans="1:8" ht="15">
      <c r="A773" s="20" t="s">
        <v>2333</v>
      </c>
      <c r="B773" s="34">
        <v>36</v>
      </c>
      <c r="C773" s="643" t="s">
        <v>2360</v>
      </c>
      <c r="D773" s="644">
        <v>50</v>
      </c>
      <c r="E773" s="103">
        <v>300</v>
      </c>
      <c r="F773" s="36">
        <v>1.74</v>
      </c>
    </row>
    <row r="776" spans="1:8" ht="31.5">
      <c r="A776" s="183" t="s">
        <v>221</v>
      </c>
      <c r="B776" s="210" t="s">
        <v>158</v>
      </c>
      <c r="C776" s="211" t="s">
        <v>2</v>
      </c>
      <c r="D776" s="179" t="s">
        <v>235</v>
      </c>
      <c r="E776" s="179" t="s">
        <v>2361</v>
      </c>
      <c r="F776" s="645" t="s">
        <v>273</v>
      </c>
      <c r="G776" s="645" t="s">
        <v>210</v>
      </c>
      <c r="H776" s="646" t="s">
        <v>2362</v>
      </c>
    </row>
    <row r="781" spans="1:8" ht="15.75">
      <c r="A781" s="79" t="s">
        <v>77</v>
      </c>
      <c r="B781" s="79" t="s">
        <v>2035</v>
      </c>
      <c r="C781" s="80" t="s">
        <v>160</v>
      </c>
      <c r="D781" s="81" t="s">
        <v>95</v>
      </c>
      <c r="E781" s="80" t="s">
        <v>263</v>
      </c>
      <c r="F781" s="27" t="s">
        <v>5</v>
      </c>
      <c r="G781" s="80" t="s">
        <v>143</v>
      </c>
      <c r="H781" s="647"/>
    </row>
    <row r="782" spans="1:8" ht="15">
      <c r="A782" s="26" t="s">
        <v>2363</v>
      </c>
      <c r="B782" s="20" t="s">
        <v>7</v>
      </c>
      <c r="C782" s="97">
        <v>134</v>
      </c>
      <c r="D782" s="20" t="s">
        <v>2323</v>
      </c>
      <c r="E782" s="8">
        <v>452</v>
      </c>
      <c r="F782" s="36">
        <v>3.57</v>
      </c>
      <c r="G782" s="1331" t="s">
        <v>2364</v>
      </c>
      <c r="H782" s="36"/>
    </row>
    <row r="783" spans="1:8" ht="15">
      <c r="A783" s="26" t="s">
        <v>2363</v>
      </c>
      <c r="B783" s="20" t="s">
        <v>7</v>
      </c>
      <c r="C783" s="97">
        <v>134</v>
      </c>
      <c r="D783" s="20" t="s">
        <v>2325</v>
      </c>
      <c r="E783" s="8">
        <v>94</v>
      </c>
      <c r="F783" s="36">
        <v>3.57</v>
      </c>
      <c r="G783" s="1332"/>
      <c r="H783" s="30"/>
    </row>
    <row r="784" spans="1:8" ht="15">
      <c r="A784" s="26" t="s">
        <v>2363</v>
      </c>
      <c r="B784" s="20" t="s">
        <v>7</v>
      </c>
      <c r="C784" s="97">
        <v>134</v>
      </c>
      <c r="D784" s="20" t="s">
        <v>2326</v>
      </c>
      <c r="E784" s="8">
        <v>100</v>
      </c>
      <c r="F784" s="36">
        <v>3.57</v>
      </c>
      <c r="G784" s="1332"/>
      <c r="H784" s="30"/>
    </row>
    <row r="785" spans="1:8" ht="15">
      <c r="A785" s="26" t="s">
        <v>2363</v>
      </c>
      <c r="B785" s="20" t="s">
        <v>7</v>
      </c>
      <c r="C785" s="97">
        <v>134</v>
      </c>
      <c r="D785" s="20" t="s">
        <v>2328</v>
      </c>
      <c r="E785" s="8">
        <v>150</v>
      </c>
      <c r="F785" s="36">
        <v>3.57</v>
      </c>
      <c r="G785" s="1332"/>
      <c r="H785" s="30"/>
    </row>
    <row r="786" spans="1:8" ht="15">
      <c r="A786" s="26" t="s">
        <v>2363</v>
      </c>
      <c r="B786" s="20" t="s">
        <v>7</v>
      </c>
      <c r="C786" s="97">
        <v>134</v>
      </c>
      <c r="D786" s="20" t="s">
        <v>1944</v>
      </c>
      <c r="E786" s="8">
        <v>100</v>
      </c>
      <c r="F786" s="36">
        <v>3.57</v>
      </c>
      <c r="G786" s="1333"/>
      <c r="H786" s="30"/>
    </row>
    <row r="787" spans="1:8" ht="15">
      <c r="A787" s="26" t="s">
        <v>2363</v>
      </c>
      <c r="B787" s="20" t="s">
        <v>7</v>
      </c>
      <c r="C787" s="97">
        <v>134</v>
      </c>
      <c r="D787" s="20" t="s">
        <v>2321</v>
      </c>
      <c r="E787" s="8">
        <v>150</v>
      </c>
      <c r="F787" s="36">
        <v>3.57</v>
      </c>
      <c r="G787" s="1320" t="s">
        <v>2365</v>
      </c>
      <c r="H787" s="36">
        <f>F787*E787</f>
        <v>535.5</v>
      </c>
    </row>
    <row r="788" spans="1:8" ht="15">
      <c r="A788" s="26" t="s">
        <v>2363</v>
      </c>
      <c r="B788" s="20" t="s">
        <v>7</v>
      </c>
      <c r="C788" s="97">
        <v>134</v>
      </c>
      <c r="D788" s="20" t="s">
        <v>2323</v>
      </c>
      <c r="E788" s="8">
        <v>198</v>
      </c>
      <c r="F788" s="36">
        <v>3.57</v>
      </c>
      <c r="G788" s="1321"/>
      <c r="H788" s="36">
        <f>F788*E788</f>
        <v>706.86</v>
      </c>
    </row>
    <row r="789" spans="1:8" ht="15">
      <c r="A789" s="26" t="s">
        <v>2363</v>
      </c>
      <c r="B789" s="20" t="s">
        <v>7</v>
      </c>
      <c r="C789" s="97">
        <v>134</v>
      </c>
      <c r="D789" s="20" t="s">
        <v>2327</v>
      </c>
      <c r="E789" s="8">
        <v>100</v>
      </c>
      <c r="F789" s="36">
        <v>3.57</v>
      </c>
      <c r="G789" s="1322"/>
      <c r="H789" s="36">
        <f>F789*E789</f>
        <v>357</v>
      </c>
    </row>
    <row r="790" spans="1:8">
      <c r="A790" s="161"/>
    </row>
    <row r="791" spans="1:8">
      <c r="A791" s="161"/>
    </row>
    <row r="792" spans="1:8" ht="15.75">
      <c r="A792" s="79" t="s">
        <v>77</v>
      </c>
      <c r="B792" s="79" t="s">
        <v>2035</v>
      </c>
      <c r="C792" s="80" t="s">
        <v>160</v>
      </c>
      <c r="D792" s="81" t="s">
        <v>95</v>
      </c>
      <c r="E792" s="80" t="s">
        <v>263</v>
      </c>
      <c r="F792" s="27" t="s">
        <v>5</v>
      </c>
      <c r="G792" s="80" t="s">
        <v>143</v>
      </c>
    </row>
    <row r="793" spans="1:8" ht="15">
      <c r="A793" s="26" t="s">
        <v>2366</v>
      </c>
      <c r="B793" s="20" t="s">
        <v>7</v>
      </c>
      <c r="C793" s="97">
        <v>134</v>
      </c>
      <c r="D793" s="20" t="s">
        <v>2321</v>
      </c>
      <c r="E793" s="8">
        <v>50</v>
      </c>
      <c r="F793" s="36">
        <v>3.57</v>
      </c>
      <c r="G793" s="1320" t="s">
        <v>2365</v>
      </c>
      <c r="H793" s="36">
        <f>F793*E793</f>
        <v>178.5</v>
      </c>
    </row>
    <row r="794" spans="1:8" ht="15">
      <c r="A794" s="26" t="s">
        <v>2366</v>
      </c>
      <c r="B794" s="20" t="s">
        <v>7</v>
      </c>
      <c r="C794" s="97">
        <v>134</v>
      </c>
      <c r="D794" s="20" t="s">
        <v>2323</v>
      </c>
      <c r="E794" s="8">
        <v>214</v>
      </c>
      <c r="F794" s="36">
        <v>3.57</v>
      </c>
      <c r="G794" s="1321"/>
      <c r="H794" s="36">
        <f>F794*E794</f>
        <v>763.98</v>
      </c>
    </row>
    <row r="795" spans="1:8" ht="15">
      <c r="A795" s="26" t="s">
        <v>2366</v>
      </c>
      <c r="B795" s="20" t="s">
        <v>7</v>
      </c>
      <c r="C795" s="97">
        <v>134</v>
      </c>
      <c r="D795" s="20" t="s">
        <v>2326</v>
      </c>
      <c r="E795" s="8">
        <v>49</v>
      </c>
      <c r="F795" s="36">
        <v>3.57</v>
      </c>
      <c r="G795" s="1321"/>
      <c r="H795" s="36">
        <f>F795*E795</f>
        <v>174.92999999999998</v>
      </c>
    </row>
    <row r="796" spans="1:8" ht="15">
      <c r="A796" s="26" t="s">
        <v>2366</v>
      </c>
      <c r="B796" s="20" t="s">
        <v>7</v>
      </c>
      <c r="C796" s="97">
        <v>134</v>
      </c>
      <c r="D796" s="20" t="s">
        <v>2328</v>
      </c>
      <c r="E796" s="8">
        <v>50</v>
      </c>
      <c r="F796" s="36">
        <v>3.57</v>
      </c>
      <c r="G796" s="1321"/>
      <c r="H796" s="36">
        <f>F796*E796</f>
        <v>178.5</v>
      </c>
    </row>
    <row r="797" spans="1:8" ht="15">
      <c r="A797" s="26" t="s">
        <v>2366</v>
      </c>
      <c r="B797" s="20" t="s">
        <v>7</v>
      </c>
      <c r="C797" s="97">
        <v>134</v>
      </c>
      <c r="D797" s="20" t="s">
        <v>1944</v>
      </c>
      <c r="E797" s="8">
        <v>50</v>
      </c>
      <c r="F797" s="36">
        <v>3.57</v>
      </c>
      <c r="G797" s="1322"/>
      <c r="H797" s="36">
        <f>F797*E797</f>
        <v>178.5</v>
      </c>
    </row>
    <row r="799" spans="1:8" ht="15">
      <c r="A799" s="79" t="s">
        <v>2035</v>
      </c>
      <c r="B799" s="81" t="s">
        <v>95</v>
      </c>
      <c r="C799" s="80" t="s">
        <v>263</v>
      </c>
    </row>
    <row r="800" spans="1:8" ht="15">
      <c r="A800" s="20" t="s">
        <v>7</v>
      </c>
      <c r="B800" s="20" t="s">
        <v>2321</v>
      </c>
      <c r="C800" s="8">
        <v>50</v>
      </c>
    </row>
    <row r="801" spans="1:17" ht="15">
      <c r="A801" s="20" t="s">
        <v>7</v>
      </c>
      <c r="B801" s="20" t="s">
        <v>2323</v>
      </c>
      <c r="C801" s="8">
        <v>214</v>
      </c>
    </row>
    <row r="802" spans="1:17" ht="15">
      <c r="A802" s="20" t="s">
        <v>7</v>
      </c>
      <c r="B802" s="20" t="s">
        <v>2326</v>
      </c>
      <c r="C802" s="8">
        <v>49</v>
      </c>
    </row>
    <row r="803" spans="1:17" ht="15">
      <c r="A803" s="20" t="s">
        <v>7</v>
      </c>
      <c r="B803" s="20" t="s">
        <v>2328</v>
      </c>
      <c r="C803" s="8">
        <v>50</v>
      </c>
    </row>
    <row r="804" spans="1:17" ht="15">
      <c r="A804" s="20" t="s">
        <v>7</v>
      </c>
      <c r="B804" s="20" t="s">
        <v>1944</v>
      </c>
      <c r="C804" s="8">
        <v>50</v>
      </c>
    </row>
    <row r="807" spans="1:17" ht="15.75">
      <c r="A807" s="79" t="s">
        <v>2035</v>
      </c>
      <c r="B807" s="80" t="s">
        <v>160</v>
      </c>
      <c r="C807" s="81" t="s">
        <v>95</v>
      </c>
      <c r="D807" s="80" t="s">
        <v>263</v>
      </c>
      <c r="E807" s="648" t="s">
        <v>2367</v>
      </c>
      <c r="F807" s="33"/>
      <c r="G807" s="105" t="s">
        <v>5</v>
      </c>
      <c r="H807" s="647"/>
      <c r="I807" s="10"/>
      <c r="J807" s="127"/>
      <c r="K807" s="6"/>
      <c r="L807" s="36"/>
      <c r="M807" s="36"/>
      <c r="N807" s="7"/>
    </row>
    <row r="808" spans="1:17" ht="15">
      <c r="A808" s="78" t="s">
        <v>2333</v>
      </c>
      <c r="B808" s="34">
        <v>36</v>
      </c>
      <c r="C808" s="173" t="s">
        <v>2334</v>
      </c>
      <c r="D808" s="8">
        <v>2500</v>
      </c>
      <c r="E808" s="77" t="s">
        <v>2368</v>
      </c>
      <c r="F808" s="8">
        <v>2500</v>
      </c>
      <c r="G808" s="36">
        <v>1.67</v>
      </c>
      <c r="H808" s="30"/>
      <c r="I808" s="31"/>
      <c r="J808" s="126"/>
      <c r="K808" s="583"/>
      <c r="L808" s="21">
        <v>1.34</v>
      </c>
      <c r="M808" s="115"/>
      <c r="N808" s="7">
        <v>100</v>
      </c>
    </row>
    <row r="809" spans="1:17" ht="15">
      <c r="A809" s="78" t="s">
        <v>2331</v>
      </c>
      <c r="B809" s="34">
        <v>15</v>
      </c>
      <c r="C809" s="173" t="s">
        <v>2332</v>
      </c>
      <c r="D809" s="8">
        <v>3500</v>
      </c>
      <c r="E809" s="77" t="s">
        <v>2369</v>
      </c>
      <c r="F809" s="8">
        <v>3500</v>
      </c>
      <c r="G809" s="36">
        <v>0.7</v>
      </c>
      <c r="H809" s="30"/>
      <c r="I809" s="31"/>
      <c r="J809" s="126"/>
      <c r="K809" s="583"/>
      <c r="L809" s="21">
        <v>0.56000000000000005</v>
      </c>
      <c r="M809" s="115"/>
      <c r="N809" s="7">
        <v>42</v>
      </c>
    </row>
    <row r="812" spans="1:17" s="7" customFormat="1" ht="17.25" customHeight="1">
      <c r="A812" s="6" t="s">
        <v>2370</v>
      </c>
      <c r="B812" s="12" t="s">
        <v>2371</v>
      </c>
      <c r="C812" s="20">
        <v>5636</v>
      </c>
      <c r="D812" s="34" t="s">
        <v>202</v>
      </c>
      <c r="E812" s="34" t="s">
        <v>1938</v>
      </c>
      <c r="F812" s="8">
        <v>50</v>
      </c>
      <c r="G812" s="103">
        <v>50</v>
      </c>
      <c r="H812" s="104">
        <v>1</v>
      </c>
      <c r="I812" s="36">
        <v>0.22</v>
      </c>
      <c r="J812" s="30" t="s">
        <v>2372</v>
      </c>
      <c r="K812" s="31">
        <v>43532</v>
      </c>
      <c r="L812" s="126">
        <v>43532</v>
      </c>
      <c r="M812" s="583"/>
      <c r="N812" s="36">
        <v>0.17</v>
      </c>
      <c r="O812" s="591" t="s">
        <v>2373</v>
      </c>
      <c r="P812" s="7">
        <v>10.4</v>
      </c>
      <c r="Q812" s="589" t="s">
        <v>2374</v>
      </c>
    </row>
    <row r="813" spans="1:17" s="7" customFormat="1" ht="17.25" customHeight="1">
      <c r="A813" s="6" t="s">
        <v>2370</v>
      </c>
      <c r="B813" s="12" t="s">
        <v>2371</v>
      </c>
      <c r="C813" s="20">
        <v>5636</v>
      </c>
      <c r="D813" s="34" t="s">
        <v>202</v>
      </c>
      <c r="E813" s="34" t="s">
        <v>2375</v>
      </c>
      <c r="F813" s="8">
        <v>50</v>
      </c>
      <c r="G813" s="103">
        <v>50</v>
      </c>
      <c r="H813" s="104">
        <v>1</v>
      </c>
      <c r="I813" s="36">
        <v>0.22</v>
      </c>
      <c r="J813" s="30" t="s">
        <v>2372</v>
      </c>
      <c r="K813" s="31">
        <v>43532</v>
      </c>
      <c r="L813" s="126">
        <v>43532</v>
      </c>
      <c r="M813" s="583"/>
      <c r="N813" s="36">
        <v>0.17</v>
      </c>
      <c r="O813" s="591"/>
      <c r="Q813" s="589" t="s">
        <v>2374</v>
      </c>
    </row>
    <row r="814" spans="1:17" s="7" customFormat="1" ht="17.25" customHeight="1">
      <c r="A814" s="6" t="s">
        <v>2370</v>
      </c>
      <c r="B814" s="12" t="s">
        <v>2371</v>
      </c>
      <c r="C814" s="20">
        <v>5636</v>
      </c>
      <c r="D814" s="34" t="s">
        <v>202</v>
      </c>
      <c r="E814" s="34" t="s">
        <v>2376</v>
      </c>
      <c r="F814" s="8">
        <v>50</v>
      </c>
      <c r="G814" s="103">
        <v>50</v>
      </c>
      <c r="H814" s="104">
        <v>1</v>
      </c>
      <c r="I814" s="36">
        <v>0.22</v>
      </c>
      <c r="J814" s="30" t="s">
        <v>2372</v>
      </c>
      <c r="K814" s="31">
        <v>43532</v>
      </c>
      <c r="L814" s="126">
        <v>43532</v>
      </c>
      <c r="M814" s="583"/>
      <c r="N814" s="36">
        <v>0.17</v>
      </c>
      <c r="O814" s="591"/>
      <c r="Q814" s="589" t="s">
        <v>2374</v>
      </c>
    </row>
    <row r="815" spans="1:17" s="7" customFormat="1" ht="17.25" customHeight="1">
      <c r="A815" s="6" t="s">
        <v>2370</v>
      </c>
      <c r="B815" s="12" t="s">
        <v>2371</v>
      </c>
      <c r="C815" s="20">
        <v>5636</v>
      </c>
      <c r="D815" s="34" t="s">
        <v>202</v>
      </c>
      <c r="E815" s="34" t="s">
        <v>2377</v>
      </c>
      <c r="F815" s="8">
        <v>50</v>
      </c>
      <c r="G815" s="103">
        <v>50</v>
      </c>
      <c r="H815" s="104">
        <v>1</v>
      </c>
      <c r="I815" s="36">
        <v>0.22</v>
      </c>
      <c r="J815" s="30" t="s">
        <v>2372</v>
      </c>
      <c r="K815" s="31">
        <v>43532</v>
      </c>
      <c r="L815" s="126">
        <v>43532</v>
      </c>
      <c r="M815" s="583"/>
      <c r="N815" s="36">
        <v>0.17</v>
      </c>
      <c r="O815" s="591"/>
      <c r="Q815" s="589" t="s">
        <v>2374</v>
      </c>
    </row>
    <row r="816" spans="1:17" s="7" customFormat="1" ht="17.25" customHeight="1">
      <c r="A816" s="6" t="s">
        <v>2370</v>
      </c>
      <c r="B816" s="12" t="s">
        <v>2371</v>
      </c>
      <c r="C816" s="20">
        <v>5636</v>
      </c>
      <c r="D816" s="34" t="s">
        <v>202</v>
      </c>
      <c r="E816" s="34" t="s">
        <v>2378</v>
      </c>
      <c r="F816" s="8">
        <v>50</v>
      </c>
      <c r="G816" s="103">
        <v>50</v>
      </c>
      <c r="H816" s="104">
        <v>1</v>
      </c>
      <c r="I816" s="36">
        <v>0.22</v>
      </c>
      <c r="J816" s="30" t="s">
        <v>2372</v>
      </c>
      <c r="K816" s="31">
        <v>43532</v>
      </c>
      <c r="L816" s="126">
        <v>43532</v>
      </c>
      <c r="M816" s="583"/>
      <c r="N816" s="36">
        <v>0.17</v>
      </c>
      <c r="O816" s="591"/>
      <c r="Q816" s="589" t="s">
        <v>2374</v>
      </c>
    </row>
    <row r="817" spans="1:17" s="7" customFormat="1" ht="17.25" customHeight="1">
      <c r="A817" s="6" t="s">
        <v>2370</v>
      </c>
      <c r="B817" s="12" t="s">
        <v>2371</v>
      </c>
      <c r="C817" s="20">
        <v>5636</v>
      </c>
      <c r="D817" s="34" t="s">
        <v>202</v>
      </c>
      <c r="E817" s="34" t="s">
        <v>2379</v>
      </c>
      <c r="F817" s="8">
        <v>50</v>
      </c>
      <c r="G817" s="103">
        <v>50</v>
      </c>
      <c r="H817" s="104">
        <v>1</v>
      </c>
      <c r="I817" s="36">
        <v>0.22</v>
      </c>
      <c r="J817" s="30" t="s">
        <v>2372</v>
      </c>
      <c r="K817" s="31">
        <v>43532</v>
      </c>
      <c r="L817" s="126">
        <v>43532</v>
      </c>
      <c r="M817" s="583"/>
      <c r="N817" s="36">
        <v>0.17</v>
      </c>
      <c r="O817" s="591"/>
      <c r="Q817" s="589" t="s">
        <v>2374</v>
      </c>
    </row>
    <row r="818" spans="1:17" s="7" customFormat="1" ht="17.25" customHeight="1">
      <c r="A818" s="6" t="s">
        <v>2370</v>
      </c>
      <c r="B818" s="12" t="s">
        <v>2371</v>
      </c>
      <c r="C818" s="20">
        <v>5636</v>
      </c>
      <c r="D818" s="34" t="s">
        <v>202</v>
      </c>
      <c r="E818" s="34" t="s">
        <v>2380</v>
      </c>
      <c r="F818" s="8">
        <v>50</v>
      </c>
      <c r="G818" s="103">
        <v>50</v>
      </c>
      <c r="H818" s="104">
        <v>1</v>
      </c>
      <c r="I818" s="36">
        <v>0.22</v>
      </c>
      <c r="J818" s="30" t="s">
        <v>2372</v>
      </c>
      <c r="K818" s="31">
        <v>43532</v>
      </c>
      <c r="L818" s="126">
        <v>43532</v>
      </c>
      <c r="M818" s="583"/>
      <c r="N818" s="36">
        <v>0.17</v>
      </c>
      <c r="O818" s="591"/>
      <c r="Q818" s="589" t="s">
        <v>2374</v>
      </c>
    </row>
    <row r="819" spans="1:17" s="7" customFormat="1" ht="17.25" customHeight="1">
      <c r="A819" s="6" t="s">
        <v>2381</v>
      </c>
      <c r="B819" s="12" t="s">
        <v>2371</v>
      </c>
      <c r="C819" s="20">
        <v>5636</v>
      </c>
      <c r="D819" s="34" t="s">
        <v>202</v>
      </c>
      <c r="E819" s="34" t="s">
        <v>2382</v>
      </c>
      <c r="F819" s="8">
        <v>50</v>
      </c>
      <c r="G819" s="103">
        <v>50</v>
      </c>
      <c r="H819" s="104">
        <v>1</v>
      </c>
      <c r="I819" s="36">
        <v>0.22</v>
      </c>
      <c r="J819" s="30" t="s">
        <v>2383</v>
      </c>
      <c r="K819" s="31">
        <v>43549</v>
      </c>
      <c r="L819" s="126">
        <v>43549</v>
      </c>
      <c r="M819" s="583"/>
      <c r="N819" s="36">
        <v>0.17</v>
      </c>
      <c r="O819" s="591"/>
      <c r="Q819" s="589" t="s">
        <v>2374</v>
      </c>
    </row>
    <row r="820" spans="1:17" s="7" customFormat="1" ht="17.25" customHeight="1">
      <c r="A820" s="6" t="s">
        <v>2381</v>
      </c>
      <c r="B820" s="12" t="s">
        <v>2371</v>
      </c>
      <c r="C820" s="20">
        <v>5636</v>
      </c>
      <c r="D820" s="34" t="s">
        <v>202</v>
      </c>
      <c r="E820" s="34" t="s">
        <v>2384</v>
      </c>
      <c r="F820" s="8">
        <v>50</v>
      </c>
      <c r="G820" s="103">
        <v>50</v>
      </c>
      <c r="H820" s="104">
        <v>1</v>
      </c>
      <c r="I820" s="36">
        <v>0.22</v>
      </c>
      <c r="J820" s="30" t="s">
        <v>2383</v>
      </c>
      <c r="K820" s="31">
        <v>43549</v>
      </c>
      <c r="L820" s="126">
        <v>43549</v>
      </c>
      <c r="M820" s="583"/>
      <c r="N820" s="36">
        <v>0.17</v>
      </c>
      <c r="O820" s="591"/>
      <c r="Q820" s="589" t="s">
        <v>2374</v>
      </c>
    </row>
    <row r="821" spans="1:17" s="7" customFormat="1" ht="17.25" customHeight="1">
      <c r="A821" s="6" t="s">
        <v>2385</v>
      </c>
      <c r="B821" s="12" t="s">
        <v>2371</v>
      </c>
      <c r="C821" s="20">
        <v>5636</v>
      </c>
      <c r="D821" s="34" t="s">
        <v>202</v>
      </c>
      <c r="E821" s="34" t="s">
        <v>2386</v>
      </c>
      <c r="F821" s="8">
        <v>50</v>
      </c>
      <c r="G821" s="103">
        <v>50</v>
      </c>
      <c r="H821" s="104">
        <v>1</v>
      </c>
      <c r="I821" s="36">
        <v>0.22</v>
      </c>
      <c r="J821" s="30" t="s">
        <v>2387</v>
      </c>
      <c r="K821" s="31">
        <v>43579</v>
      </c>
      <c r="L821" s="126">
        <v>43579</v>
      </c>
      <c r="M821" s="583"/>
      <c r="N821" s="36">
        <v>0.17</v>
      </c>
      <c r="O821" s="591"/>
      <c r="Q821" s="589" t="s">
        <v>2374</v>
      </c>
    </row>
    <row r="822" spans="1:17" s="7" customFormat="1" ht="17.25" customHeight="1">
      <c r="A822" s="6" t="s">
        <v>2388</v>
      </c>
      <c r="B822" s="12" t="s">
        <v>2371</v>
      </c>
      <c r="C822" s="20">
        <v>5636</v>
      </c>
      <c r="D822" s="34" t="s">
        <v>202</v>
      </c>
      <c r="E822" s="34" t="s">
        <v>2389</v>
      </c>
      <c r="F822" s="8">
        <v>50</v>
      </c>
      <c r="G822" s="103">
        <v>50</v>
      </c>
      <c r="H822" s="104">
        <v>1</v>
      </c>
      <c r="I822" s="36">
        <v>0.22</v>
      </c>
      <c r="J822" s="30" t="s">
        <v>2390</v>
      </c>
      <c r="K822" s="31">
        <v>43607</v>
      </c>
      <c r="L822" s="126">
        <v>43607</v>
      </c>
      <c r="M822" s="583"/>
      <c r="N822" s="36">
        <v>0.17</v>
      </c>
      <c r="O822" s="591"/>
      <c r="Q822" s="589" t="s">
        <v>2374</v>
      </c>
    </row>
    <row r="823" spans="1:17" s="7" customFormat="1" ht="17.25" customHeight="1">
      <c r="A823" s="6" t="s">
        <v>2388</v>
      </c>
      <c r="B823" s="12" t="s">
        <v>2371</v>
      </c>
      <c r="C823" s="20">
        <v>5636</v>
      </c>
      <c r="D823" s="34" t="s">
        <v>202</v>
      </c>
      <c r="E823" s="34" t="s">
        <v>172</v>
      </c>
      <c r="F823" s="8">
        <v>50</v>
      </c>
      <c r="G823" s="103">
        <v>50</v>
      </c>
      <c r="H823" s="104">
        <v>1</v>
      </c>
      <c r="I823" s="36">
        <v>0.22</v>
      </c>
      <c r="J823" s="30" t="s">
        <v>2390</v>
      </c>
      <c r="K823" s="31">
        <v>43607</v>
      </c>
      <c r="L823" s="126">
        <v>43607</v>
      </c>
      <c r="M823" s="583"/>
      <c r="N823" s="36">
        <v>0.17</v>
      </c>
      <c r="O823" s="591"/>
      <c r="Q823" s="589" t="s">
        <v>2374</v>
      </c>
    </row>
    <row r="824" spans="1:17" s="7" customFormat="1" ht="17.25" customHeight="1">
      <c r="A824" s="6" t="s">
        <v>2388</v>
      </c>
      <c r="B824" s="12" t="s">
        <v>2371</v>
      </c>
      <c r="C824" s="20">
        <v>5636</v>
      </c>
      <c r="D824" s="34" t="s">
        <v>202</v>
      </c>
      <c r="E824" s="34" t="s">
        <v>238</v>
      </c>
      <c r="F824" s="8">
        <v>50</v>
      </c>
      <c r="G824" s="103">
        <v>50</v>
      </c>
      <c r="H824" s="104">
        <v>1</v>
      </c>
      <c r="I824" s="36">
        <v>0.22</v>
      </c>
      <c r="J824" s="30" t="s">
        <v>2390</v>
      </c>
      <c r="K824" s="31">
        <v>43607</v>
      </c>
      <c r="L824" s="126">
        <v>43607</v>
      </c>
      <c r="M824" s="583"/>
      <c r="N824" s="36">
        <v>0.17</v>
      </c>
      <c r="O824" s="591"/>
      <c r="Q824" s="589" t="s">
        <v>2374</v>
      </c>
    </row>
    <row r="825" spans="1:17" s="7" customFormat="1" ht="17.25" customHeight="1">
      <c r="A825" s="6" t="s">
        <v>2391</v>
      </c>
      <c r="B825" s="12" t="s">
        <v>1937</v>
      </c>
      <c r="C825" s="20">
        <v>5636</v>
      </c>
      <c r="D825" s="34" t="s">
        <v>202</v>
      </c>
      <c r="E825" s="34" t="s">
        <v>1938</v>
      </c>
      <c r="F825" s="8">
        <v>650</v>
      </c>
      <c r="G825" s="103">
        <v>50</v>
      </c>
      <c r="H825" s="104">
        <v>13</v>
      </c>
      <c r="I825" s="36">
        <v>0.23</v>
      </c>
      <c r="J825" s="30" t="s">
        <v>2392</v>
      </c>
      <c r="K825" s="31">
        <v>43612</v>
      </c>
      <c r="L825" s="126">
        <v>43612</v>
      </c>
      <c r="M825" s="583"/>
      <c r="N825" s="36">
        <v>0.18</v>
      </c>
      <c r="O825" s="591" t="s">
        <v>2373</v>
      </c>
      <c r="P825" s="7">
        <v>10.4</v>
      </c>
      <c r="Q825" s="589" t="s">
        <v>2374</v>
      </c>
    </row>
    <row r="826" spans="1:17" s="7" customFormat="1" ht="17.25" customHeight="1">
      <c r="A826" s="6" t="s">
        <v>2391</v>
      </c>
      <c r="B826" s="12" t="s">
        <v>1937</v>
      </c>
      <c r="C826" s="20">
        <v>5636</v>
      </c>
      <c r="D826" s="34" t="s">
        <v>202</v>
      </c>
      <c r="E826" s="34" t="s">
        <v>2393</v>
      </c>
      <c r="F826" s="8">
        <v>450</v>
      </c>
      <c r="G826" s="103">
        <v>50</v>
      </c>
      <c r="H826" s="104">
        <v>9</v>
      </c>
      <c r="I826" s="36">
        <v>0.23</v>
      </c>
      <c r="J826" s="30" t="s">
        <v>2392</v>
      </c>
      <c r="K826" s="31">
        <v>43612</v>
      </c>
      <c r="L826" s="126">
        <v>43612</v>
      </c>
      <c r="M826" s="583"/>
      <c r="N826" s="36">
        <v>0.18</v>
      </c>
      <c r="O826" s="591"/>
      <c r="Q826" s="589" t="s">
        <v>2374</v>
      </c>
    </row>
    <row r="827" spans="1:17" s="7" customFormat="1" ht="17.25" customHeight="1">
      <c r="A827" s="6" t="s">
        <v>2391</v>
      </c>
      <c r="B827" s="12" t="s">
        <v>1937</v>
      </c>
      <c r="C827" s="20">
        <v>5636</v>
      </c>
      <c r="D827" s="34" t="s">
        <v>202</v>
      </c>
      <c r="E827" s="34" t="s">
        <v>2394</v>
      </c>
      <c r="F827" s="8">
        <v>200</v>
      </c>
      <c r="G827" s="103">
        <v>50</v>
      </c>
      <c r="H827" s="104">
        <v>4</v>
      </c>
      <c r="I827" s="36">
        <v>0.23</v>
      </c>
      <c r="J827" s="30" t="s">
        <v>2392</v>
      </c>
      <c r="K827" s="31">
        <v>43612</v>
      </c>
      <c r="L827" s="126">
        <v>43612</v>
      </c>
      <c r="M827" s="583"/>
      <c r="N827" s="36">
        <v>0.18</v>
      </c>
      <c r="O827" s="591"/>
      <c r="Q827" s="589" t="s">
        <v>2374</v>
      </c>
    </row>
    <row r="828" spans="1:17" s="7" customFormat="1" ht="17.25" customHeight="1">
      <c r="A828" s="6" t="s">
        <v>2395</v>
      </c>
      <c r="B828" s="12" t="s">
        <v>1937</v>
      </c>
      <c r="C828" s="20">
        <v>5636</v>
      </c>
      <c r="D828" s="34" t="s">
        <v>202</v>
      </c>
      <c r="E828" s="34" t="s">
        <v>1938</v>
      </c>
      <c r="F828" s="8">
        <v>50</v>
      </c>
      <c r="G828" s="103">
        <v>50</v>
      </c>
      <c r="H828" s="104">
        <v>1</v>
      </c>
      <c r="I828" s="36">
        <v>0.23</v>
      </c>
      <c r="J828" s="30" t="s">
        <v>2396</v>
      </c>
      <c r="K828" s="31">
        <v>43626</v>
      </c>
      <c r="L828" s="126">
        <v>43626</v>
      </c>
      <c r="M828" s="583"/>
      <c r="N828" s="36">
        <v>0.18</v>
      </c>
      <c r="O828" s="591" t="s">
        <v>2373</v>
      </c>
      <c r="P828" s="7">
        <v>10.4</v>
      </c>
      <c r="Q828" s="589" t="s">
        <v>2374</v>
      </c>
    </row>
    <row r="829" spans="1:17" s="7" customFormat="1" ht="17.25" customHeight="1">
      <c r="A829" s="6" t="s">
        <v>2397</v>
      </c>
      <c r="B829" s="12" t="s">
        <v>2371</v>
      </c>
      <c r="C829" s="20">
        <v>5636</v>
      </c>
      <c r="D829" s="34" t="s">
        <v>202</v>
      </c>
      <c r="E829" s="34" t="s">
        <v>2398</v>
      </c>
      <c r="F829" s="8">
        <v>50</v>
      </c>
      <c r="G829" s="103">
        <v>50</v>
      </c>
      <c r="H829" s="104">
        <v>1</v>
      </c>
      <c r="I829" s="36">
        <v>0.22</v>
      </c>
      <c r="J829" s="30" t="s">
        <v>2399</v>
      </c>
      <c r="K829" s="31">
        <v>43623</v>
      </c>
      <c r="L829" s="126">
        <v>43623</v>
      </c>
      <c r="M829" s="583"/>
      <c r="N829" s="36">
        <v>0.17</v>
      </c>
      <c r="O829" s="591"/>
      <c r="Q829" s="589" t="s">
        <v>2374</v>
      </c>
    </row>
    <row r="830" spans="1:17" s="7" customFormat="1" ht="17.25" customHeight="1">
      <c r="A830" s="6" t="s">
        <v>2400</v>
      </c>
      <c r="B830" s="12" t="s">
        <v>2371</v>
      </c>
      <c r="C830" s="20">
        <v>5636</v>
      </c>
      <c r="D830" s="34" t="s">
        <v>202</v>
      </c>
      <c r="E830" s="34" t="s">
        <v>1948</v>
      </c>
      <c r="F830" s="8">
        <v>50</v>
      </c>
      <c r="G830" s="103">
        <v>50</v>
      </c>
      <c r="H830" s="104">
        <v>1</v>
      </c>
      <c r="I830" s="36">
        <v>0.22</v>
      </c>
      <c r="J830" s="30"/>
      <c r="K830" s="31"/>
      <c r="L830" s="126"/>
      <c r="M830" s="583"/>
      <c r="N830" s="36">
        <v>0.17</v>
      </c>
      <c r="O830" s="591"/>
      <c r="Q830" s="589" t="s">
        <v>2374</v>
      </c>
    </row>
    <row r="831" spans="1:17" s="7" customFormat="1" ht="17.25" customHeight="1">
      <c r="A831" s="6" t="s">
        <v>2400</v>
      </c>
      <c r="B831" s="12" t="s">
        <v>2371</v>
      </c>
      <c r="C831" s="20">
        <v>5636</v>
      </c>
      <c r="D831" s="34" t="s">
        <v>202</v>
      </c>
      <c r="E831" s="34" t="s">
        <v>1947</v>
      </c>
      <c r="F831" s="8">
        <v>50</v>
      </c>
      <c r="G831" s="103">
        <v>50</v>
      </c>
      <c r="H831" s="104">
        <v>1</v>
      </c>
      <c r="I831" s="36">
        <v>0.22</v>
      </c>
      <c r="J831" s="30"/>
      <c r="K831" s="31"/>
      <c r="L831" s="126"/>
      <c r="M831" s="583"/>
      <c r="N831" s="36">
        <v>0.17</v>
      </c>
      <c r="O831" s="591"/>
      <c r="Q831" s="589" t="s">
        <v>2374</v>
      </c>
    </row>
    <row r="832" spans="1:17" s="7" customFormat="1" ht="17.25" customHeight="1">
      <c r="A832" s="6" t="s">
        <v>2400</v>
      </c>
      <c r="B832" s="12" t="s">
        <v>2371</v>
      </c>
      <c r="C832" s="20">
        <v>5636</v>
      </c>
      <c r="D832" s="34" t="s">
        <v>202</v>
      </c>
      <c r="E832" s="34" t="s">
        <v>2393</v>
      </c>
      <c r="F832" s="8">
        <v>50</v>
      </c>
      <c r="G832" s="103">
        <v>50</v>
      </c>
      <c r="H832" s="104">
        <v>1</v>
      </c>
      <c r="I832" s="36">
        <v>0.22</v>
      </c>
      <c r="J832" s="30"/>
      <c r="K832" s="31"/>
      <c r="L832" s="126"/>
      <c r="M832" s="583"/>
      <c r="N832" s="36">
        <v>0.17</v>
      </c>
      <c r="O832" s="591"/>
      <c r="Q832" s="589" t="s">
        <v>2374</v>
      </c>
    </row>
    <row r="833" spans="1:17" s="7" customFormat="1" ht="17.25" customHeight="1">
      <c r="A833" s="6" t="s">
        <v>2400</v>
      </c>
      <c r="B833" s="12" t="s">
        <v>2371</v>
      </c>
      <c r="C833" s="20">
        <v>5636</v>
      </c>
      <c r="D833" s="34" t="s">
        <v>202</v>
      </c>
      <c r="E833" s="34" t="s">
        <v>2401</v>
      </c>
      <c r="F833" s="8">
        <v>50</v>
      </c>
      <c r="G833" s="103">
        <v>50</v>
      </c>
      <c r="H833" s="104">
        <v>1</v>
      </c>
      <c r="I833" s="36">
        <v>0.22</v>
      </c>
      <c r="J833" s="30"/>
      <c r="K833" s="31"/>
      <c r="L833" s="126"/>
      <c r="M833" s="583"/>
      <c r="N833" s="36">
        <v>0.17</v>
      </c>
      <c r="O833" s="591"/>
      <c r="Q833" s="589" t="s">
        <v>2374</v>
      </c>
    </row>
    <row r="834" spans="1:17" s="7" customFormat="1" ht="17.25" customHeight="1">
      <c r="A834" s="6" t="s">
        <v>2400</v>
      </c>
      <c r="B834" s="12" t="s">
        <v>2371</v>
      </c>
      <c r="C834" s="20">
        <v>5636</v>
      </c>
      <c r="D834" s="34" t="s">
        <v>202</v>
      </c>
      <c r="E834" s="34" t="s">
        <v>2379</v>
      </c>
      <c r="F834" s="8">
        <v>50</v>
      </c>
      <c r="G834" s="103">
        <v>50</v>
      </c>
      <c r="H834" s="104">
        <v>1</v>
      </c>
      <c r="I834" s="36">
        <v>0.22</v>
      </c>
      <c r="J834" s="30"/>
      <c r="K834" s="31"/>
      <c r="L834" s="126"/>
      <c r="M834" s="583"/>
      <c r="N834" s="36">
        <v>0.17</v>
      </c>
      <c r="O834" s="591"/>
      <c r="Q834" s="589" t="s">
        <v>2374</v>
      </c>
    </row>
    <row r="838" spans="1:17" ht="15">
      <c r="A838" s="79" t="s">
        <v>2035</v>
      </c>
      <c r="B838" s="81" t="s">
        <v>95</v>
      </c>
      <c r="C838" s="81" t="s">
        <v>2040</v>
      </c>
      <c r="D838" s="603" t="s">
        <v>2041</v>
      </c>
      <c r="E838" s="81" t="s">
        <v>112</v>
      </c>
      <c r="F838" s="103"/>
    </row>
    <row r="839" spans="1:17" ht="15">
      <c r="A839" s="20" t="s">
        <v>1960</v>
      </c>
      <c r="B839" s="34" t="s">
        <v>1961</v>
      </c>
      <c r="C839" s="103">
        <v>13.7</v>
      </c>
      <c r="D839" s="104">
        <v>2</v>
      </c>
      <c r="E839" s="103">
        <v>27.4</v>
      </c>
    </row>
    <row r="840" spans="1:17" ht="15">
      <c r="A840" s="20"/>
      <c r="B840" s="20" t="s">
        <v>167</v>
      </c>
      <c r="C840" s="8" t="s">
        <v>168</v>
      </c>
      <c r="D840" s="33"/>
      <c r="E840" s="8"/>
    </row>
    <row r="842" spans="1:17" ht="14.25">
      <c r="A842" s="108" t="s">
        <v>44</v>
      </c>
      <c r="B842" s="108" t="s">
        <v>108</v>
      </c>
      <c r="C842" s="108" t="s">
        <v>2402</v>
      </c>
      <c r="D842" s="108" t="s">
        <v>48</v>
      </c>
    </row>
    <row r="843" spans="1:17" ht="15">
      <c r="A843" s="20">
        <v>1038</v>
      </c>
      <c r="B843" s="34">
        <v>30</v>
      </c>
      <c r="C843" s="34" t="s">
        <v>2403</v>
      </c>
      <c r="D843" s="134" t="s">
        <v>2404</v>
      </c>
    </row>
    <row r="844" spans="1:17" ht="15">
      <c r="A844" s="20">
        <v>1038</v>
      </c>
      <c r="B844" s="34">
        <v>30</v>
      </c>
      <c r="C844" s="34" t="s">
        <v>2405</v>
      </c>
      <c r="D844" s="134" t="s">
        <v>1813</v>
      </c>
    </row>
    <row r="847" spans="1:17" ht="15.75">
      <c r="A847" s="79" t="s">
        <v>2035</v>
      </c>
      <c r="B847" s="81" t="s">
        <v>95</v>
      </c>
      <c r="C847" s="81" t="s">
        <v>2040</v>
      </c>
      <c r="D847" s="603" t="s">
        <v>2041</v>
      </c>
      <c r="E847" s="81" t="s">
        <v>112</v>
      </c>
      <c r="F847" s="99" t="s">
        <v>2406</v>
      </c>
      <c r="G847" s="106"/>
      <c r="H847" s="10"/>
      <c r="I847" s="10"/>
      <c r="J847" s="6"/>
      <c r="K847" s="86"/>
      <c r="L847" s="19"/>
      <c r="M847" s="7"/>
    </row>
    <row r="848" spans="1:17" ht="15">
      <c r="A848" s="20" t="s">
        <v>2242</v>
      </c>
      <c r="B848" s="34" t="s">
        <v>96</v>
      </c>
      <c r="C848" s="103">
        <v>13.7</v>
      </c>
      <c r="D848" s="104">
        <v>4</v>
      </c>
      <c r="E848" s="103">
        <v>54.8</v>
      </c>
      <c r="F848" s="20" t="s">
        <v>2407</v>
      </c>
      <c r="G848" s="36"/>
      <c r="H848" s="649" t="s">
        <v>2408</v>
      </c>
      <c r="I848" s="126"/>
      <c r="J848" s="6"/>
      <c r="K848" s="36">
        <v>1.9</v>
      </c>
      <c r="L848" s="7"/>
      <c r="M848" s="7">
        <v>142</v>
      </c>
    </row>
    <row r="849" spans="1:13" ht="15">
      <c r="A849" s="20" t="s">
        <v>2409</v>
      </c>
      <c r="B849" s="34" t="s">
        <v>96</v>
      </c>
      <c r="C849" s="103">
        <v>13.7</v>
      </c>
      <c r="D849" s="104">
        <v>2</v>
      </c>
      <c r="E849" s="103">
        <v>27.4</v>
      </c>
      <c r="F849" s="20" t="s">
        <v>2410</v>
      </c>
      <c r="G849" s="36"/>
      <c r="H849" s="649" t="s">
        <v>2408</v>
      </c>
      <c r="I849" s="126"/>
      <c r="J849" s="6"/>
      <c r="K849" s="36">
        <v>2.87</v>
      </c>
      <c r="L849" s="7"/>
      <c r="M849" s="7">
        <v>215</v>
      </c>
    </row>
    <row r="850" spans="1:13" ht="15">
      <c r="A850" s="20" t="s">
        <v>2411</v>
      </c>
      <c r="B850" s="34" t="s">
        <v>96</v>
      </c>
      <c r="C850" s="103">
        <v>13.7</v>
      </c>
      <c r="D850" s="104">
        <v>7</v>
      </c>
      <c r="E850" s="103">
        <v>95.899999999999991</v>
      </c>
      <c r="F850" s="20" t="s">
        <v>2412</v>
      </c>
      <c r="G850" s="36"/>
      <c r="H850" s="31"/>
      <c r="I850" s="126"/>
      <c r="J850" s="6"/>
      <c r="K850" s="36">
        <v>4.26</v>
      </c>
      <c r="L850" s="7"/>
      <c r="M850" s="7">
        <v>319</v>
      </c>
    </row>
    <row r="851" spans="1:13" ht="15">
      <c r="A851" s="20" t="s">
        <v>2413</v>
      </c>
      <c r="B851" s="34" t="s">
        <v>96</v>
      </c>
      <c r="C851" s="103">
        <v>13.7</v>
      </c>
      <c r="D851" s="104">
        <v>2</v>
      </c>
      <c r="E851" s="103">
        <v>27.4</v>
      </c>
      <c r="F851" s="20" t="s">
        <v>2414</v>
      </c>
      <c r="G851" s="36"/>
      <c r="H851" s="130">
        <v>43671</v>
      </c>
      <c r="I851" s="126"/>
      <c r="J851" s="6"/>
      <c r="K851" s="36">
        <v>6</v>
      </c>
      <c r="L851" s="7"/>
      <c r="M851" s="7">
        <v>450</v>
      </c>
    </row>
    <row r="852" spans="1:13" ht="15">
      <c r="A852" s="20" t="s">
        <v>2415</v>
      </c>
      <c r="B852" s="34" t="s">
        <v>96</v>
      </c>
      <c r="C852" s="103">
        <v>30</v>
      </c>
      <c r="D852" s="103">
        <v>30</v>
      </c>
      <c r="E852" s="103">
        <v>30</v>
      </c>
      <c r="F852" s="20" t="s">
        <v>2416</v>
      </c>
      <c r="G852" s="36"/>
      <c r="H852" s="31"/>
      <c r="I852" s="126"/>
      <c r="J852" s="6"/>
      <c r="K852" s="36">
        <v>3.38</v>
      </c>
      <c r="L852" s="7"/>
      <c r="M852" s="7">
        <v>253</v>
      </c>
    </row>
    <row r="853" spans="1:13" ht="15">
      <c r="A853" s="20" t="s">
        <v>2417</v>
      </c>
      <c r="B853" s="34" t="s">
        <v>96</v>
      </c>
      <c r="C853" s="103">
        <v>20</v>
      </c>
      <c r="D853" s="103">
        <v>20</v>
      </c>
      <c r="E853" s="103">
        <v>20</v>
      </c>
      <c r="F853" s="20" t="s">
        <v>2418</v>
      </c>
      <c r="G853" s="36"/>
      <c r="H853" s="31"/>
      <c r="I853" s="126"/>
      <c r="J853" s="6"/>
      <c r="K853" s="36">
        <v>5.44</v>
      </c>
      <c r="L853" s="7"/>
      <c r="M853" s="7">
        <v>408</v>
      </c>
    </row>
    <row r="857" spans="1:13" ht="15.75">
      <c r="A857" s="79" t="s">
        <v>2035</v>
      </c>
      <c r="B857" s="81" t="s">
        <v>95</v>
      </c>
      <c r="C857" s="81" t="s">
        <v>2040</v>
      </c>
      <c r="D857" s="603" t="s">
        <v>2041</v>
      </c>
      <c r="E857" s="81" t="s">
        <v>112</v>
      </c>
      <c r="F857" s="99" t="s">
        <v>2406</v>
      </c>
    </row>
    <row r="858" spans="1:13" ht="15">
      <c r="A858" s="20" t="s">
        <v>2411</v>
      </c>
      <c r="B858" s="34" t="s">
        <v>96</v>
      </c>
      <c r="C858" s="103">
        <v>13.7</v>
      </c>
      <c r="D858" s="104">
        <v>7</v>
      </c>
      <c r="E858" s="103">
        <v>95.899999999999991</v>
      </c>
      <c r="F858" s="20" t="s">
        <v>2412</v>
      </c>
    </row>
    <row r="859" spans="1:13" ht="15">
      <c r="A859" s="20" t="s">
        <v>2413</v>
      </c>
      <c r="B859" s="34" t="s">
        <v>96</v>
      </c>
      <c r="C859" s="103">
        <v>13.7</v>
      </c>
      <c r="D859" s="104">
        <v>2</v>
      </c>
      <c r="E859" s="103">
        <v>27.4</v>
      </c>
      <c r="F859" s="20" t="s">
        <v>2414</v>
      </c>
    </row>
    <row r="861" spans="1:13" ht="15.75">
      <c r="A861" s="79" t="s">
        <v>2035</v>
      </c>
      <c r="B861" s="81" t="s">
        <v>95</v>
      </c>
      <c r="C861" s="81" t="s">
        <v>2040</v>
      </c>
      <c r="D861" s="603" t="s">
        <v>2041</v>
      </c>
      <c r="E861" s="81" t="s">
        <v>112</v>
      </c>
      <c r="F861" s="99" t="s">
        <v>2406</v>
      </c>
    </row>
    <row r="862" spans="1:13" ht="15">
      <c r="A862" s="20" t="s">
        <v>2415</v>
      </c>
      <c r="B862" s="34" t="s">
        <v>96</v>
      </c>
      <c r="C862" s="103">
        <v>30</v>
      </c>
      <c r="D862" s="103">
        <v>30</v>
      </c>
      <c r="E862" s="103">
        <v>30</v>
      </c>
      <c r="F862" s="20" t="s">
        <v>2416</v>
      </c>
    </row>
    <row r="863" spans="1:13" ht="15">
      <c r="A863" s="20" t="s">
        <v>2417</v>
      </c>
      <c r="B863" s="34" t="s">
        <v>96</v>
      </c>
      <c r="C863" s="103">
        <v>20</v>
      </c>
      <c r="D863" s="103">
        <v>20</v>
      </c>
      <c r="E863" s="103">
        <v>20</v>
      </c>
      <c r="F863" s="20" t="s">
        <v>2418</v>
      </c>
    </row>
    <row r="865" spans="1:11" ht="15.75">
      <c r="A865" s="108" t="s">
        <v>44</v>
      </c>
      <c r="B865" s="108" t="s">
        <v>108</v>
      </c>
      <c r="C865" s="108" t="s">
        <v>2402</v>
      </c>
      <c r="D865" s="108" t="s">
        <v>48</v>
      </c>
      <c r="E865" s="99" t="s">
        <v>2406</v>
      </c>
    </row>
    <row r="866" spans="1:11" ht="15">
      <c r="A866" s="177" t="s">
        <v>2419</v>
      </c>
      <c r="B866" s="34" t="s">
        <v>1812</v>
      </c>
      <c r="C866" s="34" t="s">
        <v>170</v>
      </c>
      <c r="D866" s="103">
        <v>50</v>
      </c>
      <c r="E866" s="20" t="s">
        <v>2420</v>
      </c>
    </row>
    <row r="867" spans="1:11" ht="15">
      <c r="A867" s="177" t="s">
        <v>2419</v>
      </c>
      <c r="B867" s="34" t="s">
        <v>1812</v>
      </c>
      <c r="C867" s="34" t="s">
        <v>2421</v>
      </c>
      <c r="D867" s="103">
        <v>50</v>
      </c>
      <c r="E867" s="20" t="s">
        <v>2420</v>
      </c>
    </row>
    <row r="868" spans="1:11" ht="15">
      <c r="A868" s="20"/>
      <c r="B868" s="97"/>
      <c r="C868" s="20" t="s">
        <v>167</v>
      </c>
      <c r="D868" s="8"/>
      <c r="E868" s="36">
        <v>12</v>
      </c>
    </row>
    <row r="871" spans="1:11" ht="15.75">
      <c r="A871" s="108" t="s">
        <v>44</v>
      </c>
      <c r="B871" s="108" t="s">
        <v>2402</v>
      </c>
      <c r="C871" s="108" t="s">
        <v>48</v>
      </c>
      <c r="D871" s="99" t="s">
        <v>2406</v>
      </c>
      <c r="E871" s="106"/>
      <c r="F871" s="10"/>
      <c r="G871" s="10"/>
      <c r="H871" s="6"/>
      <c r="I871" s="86"/>
      <c r="J871" s="19"/>
      <c r="K871" s="7"/>
    </row>
    <row r="872" spans="1:11" ht="15">
      <c r="A872" s="20" t="s">
        <v>67</v>
      </c>
      <c r="B872" s="34" t="s">
        <v>96</v>
      </c>
      <c r="C872" s="103">
        <v>14</v>
      </c>
      <c r="D872" s="20" t="s">
        <v>2422</v>
      </c>
      <c r="E872" s="30"/>
      <c r="F872" s="31"/>
      <c r="G872" s="126"/>
      <c r="H872" s="6"/>
      <c r="I872" s="36">
        <v>1.04</v>
      </c>
      <c r="J872" s="7"/>
      <c r="K872" s="7">
        <v>36</v>
      </c>
    </row>
    <row r="873" spans="1:11" ht="15">
      <c r="A873" s="20" t="s">
        <v>180</v>
      </c>
      <c r="B873" s="34" t="s">
        <v>96</v>
      </c>
      <c r="C873" s="103">
        <v>14</v>
      </c>
      <c r="D873" s="20" t="s">
        <v>2423</v>
      </c>
      <c r="E873" s="30"/>
      <c r="F873" s="31"/>
      <c r="G873" s="126"/>
      <c r="H873" s="6"/>
      <c r="I873" s="36">
        <v>1.63</v>
      </c>
      <c r="J873" s="7">
        <v>122</v>
      </c>
      <c r="K873" s="7">
        <v>92</v>
      </c>
    </row>
    <row r="874" spans="1:11" ht="15">
      <c r="A874" s="20"/>
      <c r="B874" s="20" t="s">
        <v>167</v>
      </c>
      <c r="C874" s="8"/>
      <c r="D874" s="36">
        <v>12</v>
      </c>
      <c r="E874" s="30"/>
      <c r="F874" s="31"/>
      <c r="G874" s="126"/>
      <c r="H874" s="6"/>
      <c r="I874" s="36">
        <v>12</v>
      </c>
      <c r="J874" s="19"/>
      <c r="K874" s="7">
        <v>1000</v>
      </c>
    </row>
    <row r="878" spans="1:11" ht="15">
      <c r="A878" s="79" t="s">
        <v>2035</v>
      </c>
      <c r="B878" s="80" t="s">
        <v>160</v>
      </c>
      <c r="C878" s="81" t="s">
        <v>95</v>
      </c>
      <c r="D878" s="81" t="s">
        <v>2040</v>
      </c>
      <c r="E878" s="603" t="s">
        <v>2041</v>
      </c>
      <c r="F878" s="81" t="s">
        <v>112</v>
      </c>
      <c r="G878" s="81" t="s">
        <v>2424</v>
      </c>
      <c r="H878" s="81" t="s">
        <v>106</v>
      </c>
    </row>
    <row r="879" spans="1:11" ht="15">
      <c r="A879" s="20">
        <v>12701</v>
      </c>
      <c r="B879" s="34">
        <v>9</v>
      </c>
      <c r="C879" s="20" t="s">
        <v>1926</v>
      </c>
      <c r="D879" s="8">
        <v>10</v>
      </c>
      <c r="E879" s="33">
        <v>1</v>
      </c>
      <c r="F879" s="8">
        <v>10</v>
      </c>
      <c r="G879" s="36">
        <v>5.04</v>
      </c>
      <c r="H879" s="650" t="s">
        <v>199</v>
      </c>
    </row>
    <row r="880" spans="1:11" ht="15">
      <c r="A880" s="20">
        <v>12701</v>
      </c>
      <c r="B880" s="34">
        <v>9</v>
      </c>
      <c r="C880" s="20" t="s">
        <v>2425</v>
      </c>
      <c r="D880" s="8">
        <v>10</v>
      </c>
      <c r="E880" s="33">
        <v>1</v>
      </c>
      <c r="F880" s="8">
        <v>10</v>
      </c>
      <c r="G880" s="36">
        <v>5.04</v>
      </c>
      <c r="H880" s="650" t="s">
        <v>199</v>
      </c>
    </row>
    <row r="881" spans="1:8" ht="15">
      <c r="A881" s="20">
        <v>12701</v>
      </c>
      <c r="B881" s="34">
        <v>9</v>
      </c>
      <c r="C881" s="20" t="s">
        <v>197</v>
      </c>
      <c r="D881" s="8">
        <v>10</v>
      </c>
      <c r="E881" s="33">
        <v>1</v>
      </c>
      <c r="F881" s="8">
        <v>10</v>
      </c>
      <c r="G881" s="36">
        <v>5.04</v>
      </c>
      <c r="H881" s="650" t="s">
        <v>199</v>
      </c>
    </row>
    <row r="882" spans="1:8" ht="15">
      <c r="A882" s="20">
        <v>12701</v>
      </c>
      <c r="B882" s="34">
        <v>9</v>
      </c>
      <c r="C882" s="20" t="s">
        <v>1925</v>
      </c>
      <c r="D882" s="8">
        <v>10</v>
      </c>
      <c r="E882" s="33">
        <v>1</v>
      </c>
      <c r="F882" s="8">
        <v>10</v>
      </c>
      <c r="G882" s="36">
        <v>5.04</v>
      </c>
      <c r="H882" s="650" t="s">
        <v>199</v>
      </c>
    </row>
    <row r="883" spans="1:8" ht="15">
      <c r="A883" s="20">
        <v>12701</v>
      </c>
      <c r="B883" s="34">
        <v>9</v>
      </c>
      <c r="C883" s="20" t="s">
        <v>2426</v>
      </c>
      <c r="D883" s="8">
        <v>10</v>
      </c>
      <c r="E883" s="33">
        <v>1</v>
      </c>
      <c r="F883" s="8">
        <v>10</v>
      </c>
      <c r="G883" s="36">
        <v>5.04</v>
      </c>
      <c r="H883" s="650" t="s">
        <v>199</v>
      </c>
    </row>
    <row r="884" spans="1:8" ht="15">
      <c r="A884" s="20">
        <v>12701</v>
      </c>
      <c r="B884" s="34">
        <v>9</v>
      </c>
      <c r="C884" s="20" t="s">
        <v>88</v>
      </c>
      <c r="D884" s="8">
        <v>10</v>
      </c>
      <c r="E884" s="33">
        <v>1</v>
      </c>
      <c r="F884" s="8">
        <v>10</v>
      </c>
      <c r="G884" s="36">
        <v>5.04</v>
      </c>
      <c r="H884" s="650" t="s">
        <v>199</v>
      </c>
    </row>
    <row r="885" spans="1:8" ht="15">
      <c r="A885" s="20">
        <v>12701</v>
      </c>
      <c r="B885" s="34">
        <v>9</v>
      </c>
      <c r="C885" s="20" t="s">
        <v>2427</v>
      </c>
      <c r="D885" s="8">
        <v>10</v>
      </c>
      <c r="E885" s="33">
        <v>1</v>
      </c>
      <c r="F885" s="8">
        <v>10</v>
      </c>
      <c r="G885" s="36">
        <v>5.04</v>
      </c>
      <c r="H885" s="650" t="s">
        <v>199</v>
      </c>
    </row>
    <row r="886" spans="1:8" ht="15">
      <c r="A886" s="20">
        <v>12701</v>
      </c>
      <c r="B886" s="34">
        <v>9</v>
      </c>
      <c r="C886" s="20" t="s">
        <v>2428</v>
      </c>
      <c r="D886" s="8">
        <v>10</v>
      </c>
      <c r="E886" s="33">
        <v>1</v>
      </c>
      <c r="F886" s="8">
        <v>10</v>
      </c>
      <c r="G886" s="36">
        <v>5.04</v>
      </c>
      <c r="H886" s="650" t="s">
        <v>199</v>
      </c>
    </row>
    <row r="887" spans="1:8" ht="15">
      <c r="A887" s="20">
        <v>12701</v>
      </c>
      <c r="B887" s="34">
        <v>9</v>
      </c>
      <c r="C887" s="20" t="s">
        <v>2278</v>
      </c>
      <c r="D887" s="8">
        <v>10</v>
      </c>
      <c r="E887" s="33">
        <v>1</v>
      </c>
      <c r="F887" s="8">
        <v>10</v>
      </c>
      <c r="G887" s="36">
        <v>5.04</v>
      </c>
      <c r="H887" s="650" t="s">
        <v>199</v>
      </c>
    </row>
    <row r="888" spans="1:8" ht="15">
      <c r="A888" s="20">
        <v>12701</v>
      </c>
      <c r="B888" s="34">
        <v>9</v>
      </c>
      <c r="C888" s="20" t="s">
        <v>1884</v>
      </c>
      <c r="D888" s="8">
        <v>10</v>
      </c>
      <c r="E888" s="33">
        <v>1</v>
      </c>
      <c r="F888" s="8">
        <v>10</v>
      </c>
      <c r="G888" s="36">
        <v>5.04</v>
      </c>
      <c r="H888" s="650" t="s">
        <v>199</v>
      </c>
    </row>
    <row r="889" spans="1:8" ht="15">
      <c r="A889" s="20">
        <v>12701</v>
      </c>
      <c r="B889" s="34">
        <v>9</v>
      </c>
      <c r="C889" s="20" t="s">
        <v>1885</v>
      </c>
      <c r="D889" s="8">
        <v>10</v>
      </c>
      <c r="E889" s="33">
        <v>1</v>
      </c>
      <c r="F889" s="8">
        <v>10</v>
      </c>
      <c r="G889" s="36">
        <v>5.04</v>
      </c>
      <c r="H889" s="650" t="s">
        <v>199</v>
      </c>
    </row>
    <row r="890" spans="1:8" ht="15">
      <c r="A890" s="20">
        <v>12701</v>
      </c>
      <c r="B890" s="34">
        <v>9</v>
      </c>
      <c r="C890" s="20" t="s">
        <v>198</v>
      </c>
      <c r="D890" s="8">
        <v>10</v>
      </c>
      <c r="E890" s="33">
        <v>1</v>
      </c>
      <c r="F890" s="8">
        <v>10</v>
      </c>
      <c r="G890" s="36">
        <v>5.04</v>
      </c>
      <c r="H890" s="650" t="s">
        <v>199</v>
      </c>
    </row>
    <row r="891" spans="1:8" ht="15">
      <c r="A891" s="20">
        <v>12701</v>
      </c>
      <c r="B891" s="34">
        <v>9</v>
      </c>
      <c r="C891" s="20" t="s">
        <v>2429</v>
      </c>
      <c r="D891" s="8">
        <v>10</v>
      </c>
      <c r="E891" s="33">
        <v>1</v>
      </c>
      <c r="F891" s="8">
        <v>10</v>
      </c>
      <c r="G891" s="36">
        <v>5.04</v>
      </c>
      <c r="H891" s="650" t="s">
        <v>199</v>
      </c>
    </row>
    <row r="892" spans="1:8" ht="15">
      <c r="A892" s="20">
        <v>12701</v>
      </c>
      <c r="B892" s="34">
        <v>9</v>
      </c>
      <c r="C892" s="20" t="s">
        <v>2028</v>
      </c>
      <c r="D892" s="8">
        <v>10</v>
      </c>
      <c r="E892" s="33">
        <v>1</v>
      </c>
      <c r="F892" s="8">
        <v>10</v>
      </c>
      <c r="G892" s="36">
        <v>5.04</v>
      </c>
      <c r="H892" s="650" t="s">
        <v>199</v>
      </c>
    </row>
    <row r="893" spans="1:8" ht="15">
      <c r="A893" s="20">
        <v>12701</v>
      </c>
      <c r="B893" s="34">
        <v>9</v>
      </c>
      <c r="C893" s="20" t="s">
        <v>2294</v>
      </c>
      <c r="D893" s="8">
        <v>10</v>
      </c>
      <c r="E893" s="33">
        <v>2</v>
      </c>
      <c r="F893" s="8">
        <v>20</v>
      </c>
      <c r="G893" s="36">
        <v>5.04</v>
      </c>
      <c r="H893" s="650" t="s">
        <v>199</v>
      </c>
    </row>
    <row r="894" spans="1:8" ht="15">
      <c r="A894" s="20">
        <v>12701</v>
      </c>
      <c r="B894" s="34">
        <v>24</v>
      </c>
      <c r="C894" s="20" t="s">
        <v>2294</v>
      </c>
      <c r="D894" s="8">
        <v>10</v>
      </c>
      <c r="E894" s="33">
        <v>1</v>
      </c>
      <c r="F894" s="8">
        <v>10</v>
      </c>
      <c r="G894" s="36">
        <v>8.99</v>
      </c>
      <c r="H894" s="650" t="s">
        <v>199</v>
      </c>
    </row>
    <row r="895" spans="1:8" ht="15">
      <c r="A895" s="17"/>
      <c r="B895" s="22"/>
      <c r="C895" s="20"/>
      <c r="D895" s="57"/>
      <c r="E895" s="58"/>
      <c r="F895" s="57"/>
      <c r="G895" s="105"/>
      <c r="H895" s="651"/>
    </row>
    <row r="896" spans="1:8" ht="15">
      <c r="A896" s="20">
        <v>11700</v>
      </c>
      <c r="B896" s="22">
        <v>9</v>
      </c>
      <c r="C896" s="20" t="s">
        <v>119</v>
      </c>
      <c r="D896" s="57">
        <v>10</v>
      </c>
      <c r="E896" s="58">
        <v>1</v>
      </c>
      <c r="F896" s="57">
        <v>10</v>
      </c>
      <c r="G896" s="36">
        <v>12.17</v>
      </c>
      <c r="H896" s="650" t="s">
        <v>199</v>
      </c>
    </row>
    <row r="897" spans="1:8" ht="15">
      <c r="A897" s="20">
        <v>11700</v>
      </c>
      <c r="B897" s="22">
        <v>18</v>
      </c>
      <c r="C897" s="20" t="s">
        <v>2430</v>
      </c>
      <c r="D897" s="57">
        <v>10</v>
      </c>
      <c r="E897" s="58">
        <v>1</v>
      </c>
      <c r="F897" s="57">
        <v>10</v>
      </c>
      <c r="G897" s="36">
        <v>17.04</v>
      </c>
      <c r="H897" s="650" t="s">
        <v>199</v>
      </c>
    </row>
    <row r="898" spans="1:8" ht="15">
      <c r="A898" s="20">
        <v>11700</v>
      </c>
      <c r="B898" s="22">
        <v>18</v>
      </c>
      <c r="C898" s="20" t="s">
        <v>165</v>
      </c>
      <c r="D898" s="57">
        <v>10</v>
      </c>
      <c r="E898" s="58">
        <v>1</v>
      </c>
      <c r="F898" s="57">
        <v>10</v>
      </c>
      <c r="G898" s="36">
        <v>17.04</v>
      </c>
      <c r="H898" s="650" t="s">
        <v>199</v>
      </c>
    </row>
    <row r="899" spans="1:8" ht="15">
      <c r="A899" s="20">
        <v>11700</v>
      </c>
      <c r="B899" s="22">
        <v>18</v>
      </c>
      <c r="C899" s="20" t="s">
        <v>152</v>
      </c>
      <c r="D899" s="57">
        <v>10</v>
      </c>
      <c r="E899" s="58">
        <v>1</v>
      </c>
      <c r="F899" s="57">
        <v>10</v>
      </c>
      <c r="G899" s="36">
        <v>17.04</v>
      </c>
      <c r="H899" s="650" t="s">
        <v>199</v>
      </c>
    </row>
    <row r="900" spans="1:8" ht="15">
      <c r="A900" s="20">
        <v>11700</v>
      </c>
      <c r="B900" s="22">
        <v>18</v>
      </c>
      <c r="C900" s="20" t="s">
        <v>2013</v>
      </c>
      <c r="D900" s="57">
        <v>10</v>
      </c>
      <c r="E900" s="58">
        <v>1</v>
      </c>
      <c r="F900" s="57">
        <v>10</v>
      </c>
      <c r="G900" s="36">
        <v>17.04</v>
      </c>
      <c r="H900" s="652" t="s">
        <v>2431</v>
      </c>
    </row>
    <row r="901" spans="1:8" ht="15">
      <c r="A901" s="20">
        <v>11700</v>
      </c>
      <c r="B901" s="22">
        <v>18</v>
      </c>
      <c r="C901" s="20" t="s">
        <v>2297</v>
      </c>
      <c r="D901" s="57">
        <v>10</v>
      </c>
      <c r="E901" s="58">
        <v>1</v>
      </c>
      <c r="F901" s="57">
        <v>10</v>
      </c>
      <c r="G901" s="36">
        <v>17.04</v>
      </c>
      <c r="H901" s="650" t="s">
        <v>199</v>
      </c>
    </row>
    <row r="902" spans="1:8" ht="15">
      <c r="A902" s="20">
        <v>11700</v>
      </c>
      <c r="B902" s="22">
        <v>18</v>
      </c>
      <c r="C902" s="20" t="s">
        <v>154</v>
      </c>
      <c r="D902" s="57">
        <v>10</v>
      </c>
      <c r="E902" s="58">
        <v>1</v>
      </c>
      <c r="F902" s="57">
        <v>10</v>
      </c>
      <c r="G902" s="36">
        <v>17.04</v>
      </c>
      <c r="H902" s="650" t="s">
        <v>199</v>
      </c>
    </row>
    <row r="903" spans="1:8" ht="15">
      <c r="A903" s="20">
        <v>11700</v>
      </c>
      <c r="B903" s="22">
        <v>18</v>
      </c>
      <c r="C903" s="20" t="s">
        <v>27</v>
      </c>
      <c r="D903" s="57">
        <v>10</v>
      </c>
      <c r="E903" s="58">
        <v>1</v>
      </c>
      <c r="F903" s="57">
        <v>10</v>
      </c>
      <c r="G903" s="36">
        <v>17.04</v>
      </c>
      <c r="H903" s="650" t="s">
        <v>199</v>
      </c>
    </row>
    <row r="904" spans="1:8" ht="15">
      <c r="A904" s="20">
        <v>11700</v>
      </c>
      <c r="B904" s="22">
        <v>18</v>
      </c>
      <c r="C904" s="20" t="s">
        <v>1914</v>
      </c>
      <c r="D904" s="57">
        <v>10</v>
      </c>
      <c r="E904" s="58">
        <v>1</v>
      </c>
      <c r="F904" s="57">
        <v>10</v>
      </c>
      <c r="G904" s="36">
        <v>17.04</v>
      </c>
      <c r="H904" s="650" t="s">
        <v>199</v>
      </c>
    </row>
    <row r="905" spans="1:8" ht="15">
      <c r="A905" s="20">
        <v>11700</v>
      </c>
      <c r="B905" s="22">
        <v>18</v>
      </c>
      <c r="C905" s="20" t="s">
        <v>151</v>
      </c>
      <c r="D905" s="57">
        <v>10</v>
      </c>
      <c r="E905" s="58">
        <v>1</v>
      </c>
      <c r="F905" s="57">
        <v>10</v>
      </c>
      <c r="G905" s="36">
        <v>17.04</v>
      </c>
      <c r="H905" s="650" t="s">
        <v>199</v>
      </c>
    </row>
    <row r="906" spans="1:8" ht="15">
      <c r="A906" s="20">
        <v>11700</v>
      </c>
      <c r="B906" s="22">
        <v>18</v>
      </c>
      <c r="C906" s="20" t="s">
        <v>146</v>
      </c>
      <c r="D906" s="57">
        <v>10</v>
      </c>
      <c r="E906" s="58">
        <v>1</v>
      </c>
      <c r="F906" s="57">
        <v>10</v>
      </c>
      <c r="G906" s="36">
        <v>17.04</v>
      </c>
      <c r="H906" s="650" t="s">
        <v>199</v>
      </c>
    </row>
    <row r="907" spans="1:8" ht="15">
      <c r="A907" s="20">
        <v>11700</v>
      </c>
      <c r="B907" s="22">
        <v>18</v>
      </c>
      <c r="C907" s="20" t="s">
        <v>267</v>
      </c>
      <c r="D907" s="57">
        <v>10</v>
      </c>
      <c r="E907" s="58">
        <v>1</v>
      </c>
      <c r="F907" s="57">
        <v>10</v>
      </c>
      <c r="G907" s="36">
        <v>17.04</v>
      </c>
      <c r="H907" s="650" t="s">
        <v>199</v>
      </c>
    </row>
    <row r="908" spans="1:8" ht="15">
      <c r="A908" s="20">
        <v>11700</v>
      </c>
      <c r="B908" s="22">
        <v>18</v>
      </c>
      <c r="C908" s="20" t="s">
        <v>2432</v>
      </c>
      <c r="D908" s="57">
        <v>10</v>
      </c>
      <c r="E908" s="58">
        <v>1</v>
      </c>
      <c r="F908" s="57">
        <v>10</v>
      </c>
      <c r="G908" s="36">
        <v>17.04</v>
      </c>
      <c r="H908" s="650" t="s">
        <v>199</v>
      </c>
    </row>
    <row r="909" spans="1:8" ht="15">
      <c r="A909" s="20">
        <v>11700</v>
      </c>
      <c r="B909" s="22">
        <v>18</v>
      </c>
      <c r="C909" s="20" t="s">
        <v>1943</v>
      </c>
      <c r="D909" s="57">
        <v>10</v>
      </c>
      <c r="E909" s="58">
        <v>1</v>
      </c>
      <c r="F909" s="57">
        <v>10</v>
      </c>
      <c r="G909" s="36">
        <v>17.04</v>
      </c>
      <c r="H909" s="650" t="s">
        <v>199</v>
      </c>
    </row>
    <row r="910" spans="1:8" ht="15">
      <c r="A910" s="20">
        <v>11700</v>
      </c>
      <c r="B910" s="22">
        <v>18</v>
      </c>
      <c r="C910" s="20" t="s">
        <v>2433</v>
      </c>
      <c r="D910" s="57">
        <v>10</v>
      </c>
      <c r="E910" s="58">
        <v>1</v>
      </c>
      <c r="F910" s="57">
        <v>10</v>
      </c>
      <c r="G910" s="36">
        <v>17.04</v>
      </c>
      <c r="H910" s="650" t="s">
        <v>199</v>
      </c>
    </row>
    <row r="911" spans="1:8" ht="15">
      <c r="A911" s="20">
        <v>11700</v>
      </c>
      <c r="B911" s="22">
        <v>18</v>
      </c>
      <c r="C911" s="20" t="s">
        <v>119</v>
      </c>
      <c r="D911" s="57">
        <v>10</v>
      </c>
      <c r="E911" s="58">
        <v>1</v>
      </c>
      <c r="F911" s="57">
        <v>10</v>
      </c>
      <c r="G911" s="36">
        <v>17.04</v>
      </c>
      <c r="H911" s="650" t="s">
        <v>199</v>
      </c>
    </row>
    <row r="912" spans="1:8" ht="15">
      <c r="A912" s="20">
        <v>11700</v>
      </c>
      <c r="B912" s="22">
        <v>36</v>
      </c>
      <c r="C912" s="20" t="s">
        <v>2430</v>
      </c>
      <c r="D912" s="57">
        <v>10</v>
      </c>
      <c r="E912" s="58">
        <v>1</v>
      </c>
      <c r="F912" s="57">
        <v>10</v>
      </c>
      <c r="G912" s="36">
        <v>35.14</v>
      </c>
      <c r="H912" s="650" t="s">
        <v>199</v>
      </c>
    </row>
    <row r="913" spans="1:8" ht="15">
      <c r="A913" s="20">
        <v>11700</v>
      </c>
      <c r="B913" s="22">
        <v>36</v>
      </c>
      <c r="C913" s="20" t="s">
        <v>165</v>
      </c>
      <c r="D913" s="57">
        <v>10</v>
      </c>
      <c r="E913" s="58">
        <v>1</v>
      </c>
      <c r="F913" s="57">
        <v>10</v>
      </c>
      <c r="G913" s="36">
        <v>35.14</v>
      </c>
      <c r="H913" s="650" t="s">
        <v>199</v>
      </c>
    </row>
    <row r="914" spans="1:8" ht="15">
      <c r="A914" s="20">
        <v>11700</v>
      </c>
      <c r="B914" s="22">
        <v>36</v>
      </c>
      <c r="C914" s="20" t="s">
        <v>152</v>
      </c>
      <c r="D914" s="57">
        <v>10</v>
      </c>
      <c r="E914" s="58">
        <v>1</v>
      </c>
      <c r="F914" s="57">
        <v>10</v>
      </c>
      <c r="G914" s="36">
        <v>35.14</v>
      </c>
      <c r="H914" s="650" t="s">
        <v>199</v>
      </c>
    </row>
    <row r="915" spans="1:8" ht="15">
      <c r="A915" s="20">
        <v>11700</v>
      </c>
      <c r="B915" s="22">
        <v>36</v>
      </c>
      <c r="C915" s="20" t="s">
        <v>2013</v>
      </c>
      <c r="D915" s="57">
        <v>10</v>
      </c>
      <c r="E915" s="58">
        <v>1</v>
      </c>
      <c r="F915" s="57">
        <v>10</v>
      </c>
      <c r="G915" s="36">
        <v>35.14</v>
      </c>
      <c r="H915" s="650" t="s">
        <v>199</v>
      </c>
    </row>
    <row r="916" spans="1:8" ht="15">
      <c r="A916" s="20">
        <v>11700</v>
      </c>
      <c r="B916" s="22">
        <v>36</v>
      </c>
      <c r="C916" s="20" t="s">
        <v>2297</v>
      </c>
      <c r="D916" s="57">
        <v>10</v>
      </c>
      <c r="E916" s="58">
        <v>1</v>
      </c>
      <c r="F916" s="57">
        <v>10</v>
      </c>
      <c r="G916" s="36">
        <v>35.14</v>
      </c>
      <c r="H916" s="650" t="s">
        <v>199</v>
      </c>
    </row>
    <row r="917" spans="1:8" ht="15">
      <c r="A917" s="20">
        <v>11700</v>
      </c>
      <c r="B917" s="22">
        <v>36</v>
      </c>
      <c r="C917" s="20" t="s">
        <v>154</v>
      </c>
      <c r="D917" s="57">
        <v>10</v>
      </c>
      <c r="E917" s="58">
        <v>1</v>
      </c>
      <c r="F917" s="57">
        <v>10</v>
      </c>
      <c r="G917" s="36">
        <v>35.14</v>
      </c>
      <c r="H917" s="650" t="s">
        <v>199</v>
      </c>
    </row>
    <row r="918" spans="1:8" ht="15">
      <c r="A918" s="20">
        <v>11700</v>
      </c>
      <c r="B918" s="22">
        <v>36</v>
      </c>
      <c r="C918" s="20" t="s">
        <v>27</v>
      </c>
      <c r="D918" s="57">
        <v>10</v>
      </c>
      <c r="E918" s="58">
        <v>1</v>
      </c>
      <c r="F918" s="57">
        <v>10</v>
      </c>
      <c r="G918" s="36">
        <v>35.14</v>
      </c>
      <c r="H918" s="652" t="s">
        <v>2434</v>
      </c>
    </row>
    <row r="919" spans="1:8" ht="15">
      <c r="A919" s="20">
        <v>11700</v>
      </c>
      <c r="B919" s="22">
        <v>36</v>
      </c>
      <c r="C919" s="20" t="s">
        <v>1914</v>
      </c>
      <c r="D919" s="57">
        <v>10</v>
      </c>
      <c r="E919" s="58">
        <v>1</v>
      </c>
      <c r="F919" s="57">
        <v>10</v>
      </c>
      <c r="G919" s="36">
        <v>35.14</v>
      </c>
      <c r="H919" s="650" t="s">
        <v>199</v>
      </c>
    </row>
    <row r="920" spans="1:8" ht="15">
      <c r="A920" s="20">
        <v>11700</v>
      </c>
      <c r="B920" s="22">
        <v>36</v>
      </c>
      <c r="C920" s="20" t="s">
        <v>151</v>
      </c>
      <c r="D920" s="57">
        <v>10</v>
      </c>
      <c r="E920" s="58">
        <v>1</v>
      </c>
      <c r="F920" s="57">
        <v>10</v>
      </c>
      <c r="G920" s="36">
        <v>35.14</v>
      </c>
      <c r="H920" s="650" t="s">
        <v>199</v>
      </c>
    </row>
    <row r="921" spans="1:8" ht="15">
      <c r="A921" s="20">
        <v>11700</v>
      </c>
      <c r="B921" s="22">
        <v>36</v>
      </c>
      <c r="C921" s="20" t="s">
        <v>146</v>
      </c>
      <c r="D921" s="57">
        <v>10</v>
      </c>
      <c r="E921" s="58">
        <v>1</v>
      </c>
      <c r="F921" s="57">
        <v>10</v>
      </c>
      <c r="G921" s="36">
        <v>35.14</v>
      </c>
      <c r="H921" s="650" t="s">
        <v>199</v>
      </c>
    </row>
    <row r="922" spans="1:8" ht="15">
      <c r="A922" s="20">
        <v>11700</v>
      </c>
      <c r="B922" s="22">
        <v>36</v>
      </c>
      <c r="C922" s="20" t="s">
        <v>267</v>
      </c>
      <c r="D922" s="57">
        <v>10</v>
      </c>
      <c r="E922" s="58">
        <v>1</v>
      </c>
      <c r="F922" s="57">
        <v>10</v>
      </c>
      <c r="G922" s="36">
        <v>35.14</v>
      </c>
      <c r="H922" s="650" t="s">
        <v>199</v>
      </c>
    </row>
    <row r="923" spans="1:8" ht="15">
      <c r="A923" s="20">
        <v>11700</v>
      </c>
      <c r="B923" s="22">
        <v>36</v>
      </c>
      <c r="C923" s="20" t="s">
        <v>2432</v>
      </c>
      <c r="D923" s="57">
        <v>10</v>
      </c>
      <c r="E923" s="58">
        <v>1</v>
      </c>
      <c r="F923" s="57">
        <v>10</v>
      </c>
      <c r="G923" s="36">
        <v>35.14</v>
      </c>
      <c r="H923" s="652" t="s">
        <v>2435</v>
      </c>
    </row>
    <row r="924" spans="1:8" ht="15">
      <c r="A924" s="20">
        <v>11700</v>
      </c>
      <c r="B924" s="22">
        <v>36</v>
      </c>
      <c r="C924" s="20" t="s">
        <v>1943</v>
      </c>
      <c r="D924" s="57">
        <v>10</v>
      </c>
      <c r="E924" s="58">
        <v>1</v>
      </c>
      <c r="F924" s="57">
        <v>10</v>
      </c>
      <c r="G924" s="36">
        <v>35.14</v>
      </c>
      <c r="H924" s="650" t="s">
        <v>199</v>
      </c>
    </row>
    <row r="925" spans="1:8" ht="15">
      <c r="A925" s="20">
        <v>11700</v>
      </c>
      <c r="B925" s="22">
        <v>36</v>
      </c>
      <c r="C925" s="20" t="s">
        <v>2433</v>
      </c>
      <c r="D925" s="57">
        <v>10</v>
      </c>
      <c r="E925" s="58">
        <v>1</v>
      </c>
      <c r="F925" s="57">
        <v>10</v>
      </c>
      <c r="G925" s="36">
        <v>35.14</v>
      </c>
      <c r="H925" s="650" t="s">
        <v>199</v>
      </c>
    </row>
    <row r="926" spans="1:8" ht="15">
      <c r="A926" s="20">
        <v>11700</v>
      </c>
      <c r="B926" s="22">
        <v>36</v>
      </c>
      <c r="C926" s="20" t="s">
        <v>119</v>
      </c>
      <c r="D926" s="57">
        <v>10</v>
      </c>
      <c r="E926" s="58">
        <v>1</v>
      </c>
      <c r="F926" s="57">
        <v>10</v>
      </c>
      <c r="G926" s="36">
        <v>35.14</v>
      </c>
      <c r="H926" s="650" t="s">
        <v>199</v>
      </c>
    </row>
    <row r="930" spans="1:17" ht="15.75">
      <c r="A930" s="79" t="s">
        <v>2035</v>
      </c>
      <c r="B930" s="81" t="s">
        <v>95</v>
      </c>
      <c r="C930" s="81" t="s">
        <v>112</v>
      </c>
      <c r="D930" s="99" t="s">
        <v>2406</v>
      </c>
      <c r="E930" s="7"/>
      <c r="F930" s="7"/>
    </row>
    <row r="931" spans="1:17" ht="15">
      <c r="A931" s="20" t="s">
        <v>2436</v>
      </c>
      <c r="B931" s="34" t="s">
        <v>96</v>
      </c>
      <c r="C931" s="103">
        <v>54.8</v>
      </c>
      <c r="D931" s="600" t="s">
        <v>2437</v>
      </c>
      <c r="E931" s="7">
        <v>319</v>
      </c>
      <c r="F931" s="11" t="s">
        <v>2438</v>
      </c>
    </row>
    <row r="932" spans="1:17" ht="15.75">
      <c r="A932" s="79" t="s">
        <v>2035</v>
      </c>
      <c r="B932" s="81" t="s">
        <v>95</v>
      </c>
      <c r="C932" s="81" t="s">
        <v>112</v>
      </c>
      <c r="D932" s="99" t="s">
        <v>2406</v>
      </c>
      <c r="E932" s="7"/>
      <c r="F932" s="11"/>
    </row>
    <row r="933" spans="1:17" ht="15">
      <c r="A933" s="20" t="s">
        <v>2439</v>
      </c>
      <c r="B933" s="34" t="s">
        <v>96</v>
      </c>
      <c r="C933" s="103">
        <v>54.8</v>
      </c>
      <c r="D933" s="600" t="s">
        <v>2440</v>
      </c>
      <c r="E933" s="7">
        <v>253</v>
      </c>
      <c r="F933" s="11" t="s">
        <v>2441</v>
      </c>
    </row>
    <row r="934" spans="1:17" ht="15.75">
      <c r="A934" s="79" t="s">
        <v>2035</v>
      </c>
      <c r="B934" s="81" t="s">
        <v>95</v>
      </c>
      <c r="C934" s="81" t="s">
        <v>112</v>
      </c>
      <c r="D934" s="99" t="s">
        <v>2406</v>
      </c>
      <c r="E934" s="7"/>
      <c r="F934" s="11"/>
    </row>
    <row r="935" spans="1:17" ht="15">
      <c r="A935" s="20" t="s">
        <v>2442</v>
      </c>
      <c r="B935" s="34" t="s">
        <v>96</v>
      </c>
      <c r="C935" s="103">
        <v>54.8</v>
      </c>
      <c r="D935" s="600" t="s">
        <v>2443</v>
      </c>
    </row>
    <row r="937" spans="1:17" s="7" customFormat="1" ht="15">
      <c r="A937" s="79" t="s">
        <v>193</v>
      </c>
      <c r="B937" s="79" t="s">
        <v>2035</v>
      </c>
      <c r="C937" s="81" t="s">
        <v>33</v>
      </c>
      <c r="D937" s="81" t="s">
        <v>95</v>
      </c>
      <c r="E937" s="81" t="s">
        <v>112</v>
      </c>
      <c r="F937" s="81" t="s">
        <v>2040</v>
      </c>
      <c r="G937" s="603" t="s">
        <v>2041</v>
      </c>
      <c r="H937" s="81" t="s">
        <v>2308</v>
      </c>
      <c r="I937" s="12"/>
      <c r="J937" s="10"/>
      <c r="K937" s="12"/>
      <c r="L937" s="6" t="s">
        <v>3</v>
      </c>
      <c r="M937" s="115"/>
      <c r="N937" s="115"/>
    </row>
    <row r="938" spans="1:17" s="7" customFormat="1" ht="15.75" customHeight="1">
      <c r="A938" s="6" t="s">
        <v>2444</v>
      </c>
      <c r="B938" s="20" t="s">
        <v>2045</v>
      </c>
      <c r="C938" s="22"/>
      <c r="D938" s="20" t="s">
        <v>115</v>
      </c>
      <c r="E938" s="8">
        <f>F938*G938</f>
        <v>210</v>
      </c>
      <c r="F938" s="44">
        <v>14</v>
      </c>
      <c r="G938" s="29">
        <v>15</v>
      </c>
      <c r="H938" s="36">
        <v>1.99</v>
      </c>
      <c r="I938" s="30"/>
      <c r="J938" s="31"/>
      <c r="K938" s="126"/>
      <c r="L938" s="6"/>
      <c r="M938" s="36">
        <v>1.59</v>
      </c>
      <c r="N938" s="12"/>
      <c r="O938" s="7" t="s">
        <v>2445</v>
      </c>
      <c r="P938" s="11"/>
    </row>
    <row r="939" spans="1:17" s="7" customFormat="1" ht="15.75" customHeight="1">
      <c r="A939" s="6" t="s">
        <v>2444</v>
      </c>
      <c r="B939" s="20" t="s">
        <v>181</v>
      </c>
      <c r="C939" s="22"/>
      <c r="D939" s="20" t="s">
        <v>56</v>
      </c>
      <c r="E939" s="8">
        <f>F939*G939</f>
        <v>98</v>
      </c>
      <c r="F939" s="44">
        <v>14</v>
      </c>
      <c r="G939" s="29">
        <v>7</v>
      </c>
      <c r="H939" s="36">
        <v>1.99</v>
      </c>
      <c r="I939" s="30"/>
      <c r="J939" s="31"/>
      <c r="K939" s="126"/>
      <c r="L939" s="6"/>
      <c r="M939" s="36">
        <v>1.59</v>
      </c>
      <c r="N939" s="12"/>
      <c r="O939" s="7">
        <v>71</v>
      </c>
      <c r="P939" s="11" t="s">
        <v>94</v>
      </c>
      <c r="Q939" s="7" t="s">
        <v>2445</v>
      </c>
    </row>
    <row r="940" spans="1:17" s="7" customFormat="1" ht="16.149999999999999" customHeight="1">
      <c r="A940" s="6" t="s">
        <v>2444</v>
      </c>
      <c r="B940" s="20" t="s">
        <v>2446</v>
      </c>
      <c r="C940" s="34"/>
      <c r="D940" s="34" t="s">
        <v>115</v>
      </c>
      <c r="E940" s="122">
        <f>F940*G940</f>
        <v>68.5</v>
      </c>
      <c r="F940" s="103">
        <v>13.7</v>
      </c>
      <c r="G940" s="104">
        <v>5</v>
      </c>
      <c r="H940" s="36">
        <v>1.99</v>
      </c>
      <c r="I940" s="30"/>
      <c r="J940" s="31"/>
      <c r="K940" s="126"/>
      <c r="L940" s="6"/>
      <c r="M940" s="36">
        <v>1.59</v>
      </c>
      <c r="N940" s="12"/>
      <c r="O940" s="7" t="s">
        <v>2445</v>
      </c>
      <c r="P940" s="11"/>
    </row>
    <row r="941" spans="1:17" s="7" customFormat="1" ht="18" customHeight="1">
      <c r="A941" s="6" t="s">
        <v>2444</v>
      </c>
      <c r="B941" s="20" t="s">
        <v>62</v>
      </c>
      <c r="C941" s="34"/>
      <c r="D941" s="34" t="s">
        <v>2447</v>
      </c>
      <c r="E941" s="16">
        <f>F941*G941</f>
        <v>95.899999999999991</v>
      </c>
      <c r="F941" s="103">
        <v>13.7</v>
      </c>
      <c r="G941" s="104">
        <v>7</v>
      </c>
      <c r="H941" s="36">
        <v>2.4</v>
      </c>
      <c r="I941" s="30"/>
      <c r="J941" s="31"/>
      <c r="K941" s="126"/>
      <c r="L941" s="6"/>
      <c r="M941" s="36">
        <v>1.92</v>
      </c>
      <c r="N941" s="653"/>
      <c r="O941" s="7" t="s">
        <v>2448</v>
      </c>
      <c r="P941" s="7" t="s">
        <v>2449</v>
      </c>
    </row>
    <row r="942" spans="1:17" s="1" customFormat="1" ht="18" customHeight="1">
      <c r="A942" s="6" t="s">
        <v>2444</v>
      </c>
      <c r="B942" s="20">
        <v>2250</v>
      </c>
      <c r="C942" s="34">
        <v>18</v>
      </c>
      <c r="D942" s="34" t="s">
        <v>2450</v>
      </c>
      <c r="E942" s="8">
        <f>F942*G942</f>
        <v>180</v>
      </c>
      <c r="F942" s="103">
        <v>30</v>
      </c>
      <c r="G942" s="104">
        <v>6</v>
      </c>
      <c r="H942" s="36">
        <v>0.41</v>
      </c>
      <c r="I942" s="30"/>
      <c r="J942" s="31"/>
      <c r="K942" s="126"/>
      <c r="L942" s="6"/>
      <c r="M942" s="36">
        <v>0.33</v>
      </c>
      <c r="N942" s="36"/>
      <c r="O942" s="7">
        <v>24.5</v>
      </c>
      <c r="P942" s="589">
        <f>O942*F942</f>
        <v>735</v>
      </c>
      <c r="Q942" s="11"/>
    </row>
    <row r="943" spans="1:17" s="7" customFormat="1" ht="15">
      <c r="A943" s="6" t="s">
        <v>2444</v>
      </c>
      <c r="B943" s="20"/>
      <c r="C943" s="97"/>
      <c r="D943" s="20" t="s">
        <v>12</v>
      </c>
      <c r="E943" s="8"/>
      <c r="F943" s="8" t="s">
        <v>61</v>
      </c>
      <c r="G943" s="33"/>
      <c r="H943" s="36">
        <v>12</v>
      </c>
      <c r="I943" s="30"/>
      <c r="J943" s="31"/>
      <c r="K943" s="126"/>
      <c r="L943" s="6" t="s">
        <v>3</v>
      </c>
      <c r="M943" s="36">
        <v>12</v>
      </c>
      <c r="N943" s="19"/>
    </row>
    <row r="945" spans="1:8" ht="15">
      <c r="A945" s="79" t="s">
        <v>2035</v>
      </c>
      <c r="B945" s="81" t="s">
        <v>33</v>
      </c>
      <c r="C945" s="586" t="s">
        <v>2302</v>
      </c>
      <c r="D945" s="103"/>
      <c r="E945" s="8"/>
      <c r="F945" s="33"/>
    </row>
    <row r="946" spans="1:8" ht="15">
      <c r="A946" s="20" t="s">
        <v>2333</v>
      </c>
      <c r="B946" s="34">
        <v>36</v>
      </c>
      <c r="C946" s="173" t="s">
        <v>2334</v>
      </c>
      <c r="D946" s="8">
        <v>705</v>
      </c>
      <c r="E946" s="8">
        <v>700</v>
      </c>
      <c r="F946" s="8">
        <v>700</v>
      </c>
    </row>
    <row r="947" spans="1:8" ht="15">
      <c r="A947" s="79" t="s">
        <v>2035</v>
      </c>
      <c r="B947" s="81" t="s">
        <v>33</v>
      </c>
      <c r="C947" s="81" t="s">
        <v>95</v>
      </c>
      <c r="D947" s="81" t="s">
        <v>35</v>
      </c>
    </row>
    <row r="948" spans="1:8" ht="15">
      <c r="A948" s="20" t="s">
        <v>2451</v>
      </c>
      <c r="B948" s="22" t="s">
        <v>2452</v>
      </c>
      <c r="C948" s="20" t="s">
        <v>2453</v>
      </c>
      <c r="D948" s="8">
        <v>5</v>
      </c>
    </row>
    <row r="949" spans="1:8" ht="15">
      <c r="A949" s="20" t="s">
        <v>2451</v>
      </c>
      <c r="B949" s="22" t="s">
        <v>2452</v>
      </c>
      <c r="C949" s="20" t="s">
        <v>20</v>
      </c>
      <c r="D949" s="8">
        <v>5</v>
      </c>
    </row>
    <row r="952" spans="1:8" ht="15">
      <c r="A952" s="79" t="s">
        <v>193</v>
      </c>
      <c r="B952" s="79" t="s">
        <v>2035</v>
      </c>
      <c r="C952" s="81" t="s">
        <v>33</v>
      </c>
      <c r="D952" s="81" t="s">
        <v>95</v>
      </c>
      <c r="E952" s="81" t="s">
        <v>112</v>
      </c>
      <c r="F952" s="81" t="s">
        <v>2040</v>
      </c>
      <c r="G952" s="603" t="s">
        <v>2041</v>
      </c>
      <c r="H952" s="81" t="s">
        <v>2308</v>
      </c>
    </row>
    <row r="953" spans="1:8" ht="15">
      <c r="A953" s="6" t="s">
        <v>2454</v>
      </c>
      <c r="B953" s="20" t="s">
        <v>2037</v>
      </c>
      <c r="C953" s="13">
        <v>8</v>
      </c>
      <c r="D953" s="20" t="s">
        <v>115</v>
      </c>
      <c r="E953" s="103">
        <v>100</v>
      </c>
      <c r="F953" s="104">
        <v>2</v>
      </c>
      <c r="G953" s="8">
        <v>200</v>
      </c>
      <c r="H953" s="36">
        <v>0.78</v>
      </c>
    </row>
    <row r="954" spans="1:8" ht="15">
      <c r="A954" s="6" t="s">
        <v>2454</v>
      </c>
      <c r="B954" s="20"/>
      <c r="C954" s="13"/>
      <c r="D954" s="34" t="s">
        <v>2455</v>
      </c>
      <c r="E954" s="118"/>
      <c r="F954" s="118" t="s">
        <v>61</v>
      </c>
      <c r="G954" s="103"/>
      <c r="H954" s="36">
        <v>225</v>
      </c>
    </row>
    <row r="955" spans="1:8" ht="15">
      <c r="A955" s="6" t="s">
        <v>2454</v>
      </c>
      <c r="B955" s="20"/>
      <c r="C955" s="97"/>
      <c r="D955" s="20" t="s">
        <v>12</v>
      </c>
      <c r="E955" s="8"/>
      <c r="F955" s="8" t="s">
        <v>61</v>
      </c>
      <c r="G955" s="8"/>
      <c r="H955" s="36">
        <v>12</v>
      </c>
    </row>
    <row r="957" spans="1:8" ht="15">
      <c r="A957" s="79" t="s">
        <v>2035</v>
      </c>
      <c r="B957" s="81" t="s">
        <v>33</v>
      </c>
      <c r="C957" s="81" t="s">
        <v>95</v>
      </c>
      <c r="D957" s="81" t="s">
        <v>2040</v>
      </c>
      <c r="E957" s="603" t="s">
        <v>2041</v>
      </c>
      <c r="F957" s="81" t="s">
        <v>112</v>
      </c>
      <c r="G957" s="81" t="s">
        <v>2308</v>
      </c>
    </row>
    <row r="958" spans="1:8" ht="15">
      <c r="A958" s="20" t="s">
        <v>2345</v>
      </c>
      <c r="B958" s="22">
        <v>10</v>
      </c>
      <c r="C958" s="20" t="s">
        <v>1930</v>
      </c>
      <c r="D958" s="103">
        <v>100</v>
      </c>
      <c r="E958" s="104">
        <v>3</v>
      </c>
      <c r="F958" s="8">
        <f>D958*E958</f>
        <v>300</v>
      </c>
      <c r="G958" s="36">
        <v>0.87</v>
      </c>
    </row>
    <row r="959" spans="1:8" ht="15">
      <c r="A959" s="20"/>
      <c r="B959" s="13"/>
      <c r="C959" s="34" t="s">
        <v>2456</v>
      </c>
      <c r="D959" s="118"/>
      <c r="E959" s="118" t="s">
        <v>61</v>
      </c>
      <c r="F959" s="103"/>
      <c r="G959" s="36">
        <v>437.5</v>
      </c>
    </row>
    <row r="961" spans="1:7" ht="15.75">
      <c r="A961" s="79" t="s">
        <v>2035</v>
      </c>
      <c r="B961" s="81" t="s">
        <v>95</v>
      </c>
      <c r="C961" s="81" t="s">
        <v>2040</v>
      </c>
      <c r="D961" s="603" t="s">
        <v>2041</v>
      </c>
      <c r="E961" s="81" t="s">
        <v>112</v>
      </c>
      <c r="F961" s="99" t="s">
        <v>2406</v>
      </c>
      <c r="G961" s="105" t="s">
        <v>97</v>
      </c>
    </row>
    <row r="962" spans="1:7" ht="15">
      <c r="A962" s="20" t="s">
        <v>2094</v>
      </c>
      <c r="B962" s="34" t="s">
        <v>121</v>
      </c>
      <c r="C962" s="103">
        <v>13.7</v>
      </c>
      <c r="D962" s="104">
        <v>2</v>
      </c>
      <c r="E962" s="103">
        <f>C962*D962</f>
        <v>27.4</v>
      </c>
      <c r="F962" s="600" t="s">
        <v>2457</v>
      </c>
    </row>
    <row r="963" spans="1:7" ht="15">
      <c r="A963" s="20" t="s">
        <v>1960</v>
      </c>
      <c r="B963" s="34" t="s">
        <v>1961</v>
      </c>
      <c r="C963" s="103">
        <v>13.7</v>
      </c>
      <c r="D963" s="104">
        <v>2</v>
      </c>
      <c r="E963" s="103">
        <f>C963*D963</f>
        <v>27.4</v>
      </c>
      <c r="F963" s="600" t="s">
        <v>2457</v>
      </c>
    </row>
    <row r="966" spans="1:7" ht="15.75">
      <c r="A966" s="79" t="s">
        <v>2035</v>
      </c>
      <c r="B966" s="81" t="s">
        <v>95</v>
      </c>
      <c r="C966" s="81" t="s">
        <v>35</v>
      </c>
      <c r="D966" s="99" t="s">
        <v>2406</v>
      </c>
    </row>
    <row r="967" spans="1:7" ht="15">
      <c r="A967" s="20" t="s">
        <v>1959</v>
      </c>
      <c r="B967" s="34" t="s">
        <v>56</v>
      </c>
      <c r="C967" s="122">
        <v>27.4</v>
      </c>
      <c r="D967" s="600" t="s">
        <v>2458</v>
      </c>
    </row>
    <row r="968" spans="1:7" ht="15">
      <c r="A968" s="20"/>
      <c r="B968" s="20" t="s">
        <v>12</v>
      </c>
      <c r="C968" s="8"/>
      <c r="D968" s="36">
        <v>12</v>
      </c>
    </row>
    <row r="971" spans="1:7" ht="15">
      <c r="A971" s="79" t="s">
        <v>2035</v>
      </c>
      <c r="B971" s="79" t="s">
        <v>160</v>
      </c>
      <c r="C971" s="79" t="s">
        <v>95</v>
      </c>
      <c r="D971" s="79" t="s">
        <v>35</v>
      </c>
      <c r="E971" s="84" t="s">
        <v>2459</v>
      </c>
      <c r="F971" s="220"/>
      <c r="G971" s="231"/>
    </row>
    <row r="972" spans="1:7" ht="15">
      <c r="A972" s="20">
        <v>14552</v>
      </c>
      <c r="B972" s="22">
        <v>10</v>
      </c>
      <c r="C972" s="20" t="s">
        <v>230</v>
      </c>
      <c r="D972" s="8">
        <v>180</v>
      </c>
      <c r="E972" s="654" t="s">
        <v>2460</v>
      </c>
      <c r="F972" s="103">
        <v>30</v>
      </c>
      <c r="G972" s="104">
        <v>6</v>
      </c>
    </row>
    <row r="973" spans="1:7" ht="15">
      <c r="A973" s="20">
        <v>14552</v>
      </c>
      <c r="B973" s="22">
        <v>10</v>
      </c>
      <c r="C973" s="20" t="s">
        <v>2461</v>
      </c>
      <c r="D973" s="8">
        <v>90</v>
      </c>
      <c r="E973" s="654" t="s">
        <v>2462</v>
      </c>
      <c r="F973" s="103">
        <v>30</v>
      </c>
      <c r="G973" s="104">
        <v>3</v>
      </c>
    </row>
    <row r="976" spans="1:7" ht="15">
      <c r="A976" s="79" t="s">
        <v>2035</v>
      </c>
      <c r="B976" s="79" t="s">
        <v>160</v>
      </c>
      <c r="C976" s="79" t="s">
        <v>95</v>
      </c>
      <c r="D976" s="81" t="s">
        <v>2040</v>
      </c>
      <c r="E976" s="603" t="s">
        <v>2041</v>
      </c>
      <c r="F976" s="81" t="s">
        <v>112</v>
      </c>
      <c r="G976" s="81" t="s">
        <v>2308</v>
      </c>
    </row>
    <row r="977" spans="1:7" ht="15">
      <c r="A977" s="20" t="s">
        <v>2463</v>
      </c>
      <c r="B977" s="34">
        <v>20</v>
      </c>
      <c r="C977" s="20" t="s">
        <v>2464</v>
      </c>
      <c r="D977" s="8">
        <v>30</v>
      </c>
      <c r="E977" s="33">
        <v>2</v>
      </c>
      <c r="F977" s="103">
        <f>D977*E977</f>
        <v>60</v>
      </c>
      <c r="G977" s="36">
        <v>1.2</v>
      </c>
    </row>
    <row r="978" spans="1:7" ht="15">
      <c r="A978" s="20" t="s">
        <v>2463</v>
      </c>
      <c r="B978" s="34">
        <v>20</v>
      </c>
      <c r="C978" s="20" t="s">
        <v>2465</v>
      </c>
      <c r="D978" s="8">
        <v>30</v>
      </c>
      <c r="E978" s="33">
        <v>3</v>
      </c>
      <c r="F978" s="103">
        <f>D978*E978</f>
        <v>90</v>
      </c>
      <c r="G978" s="36">
        <v>1.2</v>
      </c>
    </row>
    <row r="979" spans="1:7" ht="15">
      <c r="A979" s="20"/>
      <c r="B979" s="97"/>
      <c r="C979" s="20" t="s">
        <v>2466</v>
      </c>
      <c r="D979" s="8"/>
      <c r="E979" s="8" t="s">
        <v>104</v>
      </c>
      <c r="F979" s="8"/>
      <c r="G979" s="36">
        <v>315</v>
      </c>
    </row>
    <row r="980" spans="1:7" ht="15">
      <c r="A980" s="20" t="s">
        <v>2467</v>
      </c>
      <c r="B980" s="34">
        <v>25</v>
      </c>
      <c r="C980" s="20" t="s">
        <v>2468</v>
      </c>
      <c r="D980" s="8">
        <v>30</v>
      </c>
      <c r="E980" s="33">
        <v>2</v>
      </c>
      <c r="F980" s="103">
        <f>D980*E980</f>
        <v>60</v>
      </c>
      <c r="G980" s="36">
        <v>1.92</v>
      </c>
    </row>
    <row r="981" spans="1:7" ht="15">
      <c r="A981" s="20" t="s">
        <v>2467</v>
      </c>
      <c r="B981" s="34">
        <v>25</v>
      </c>
      <c r="C981" s="20" t="s">
        <v>2469</v>
      </c>
      <c r="D981" s="8">
        <v>30</v>
      </c>
      <c r="E981" s="33">
        <v>3</v>
      </c>
      <c r="F981" s="103">
        <f>D981*E981</f>
        <v>90</v>
      </c>
      <c r="G981" s="36">
        <v>1.92</v>
      </c>
    </row>
    <row r="984" spans="1:7" ht="15">
      <c r="A984" s="79" t="s">
        <v>2035</v>
      </c>
      <c r="B984" s="79" t="s">
        <v>160</v>
      </c>
      <c r="C984" s="79" t="s">
        <v>95</v>
      </c>
      <c r="D984" s="81" t="s">
        <v>35</v>
      </c>
      <c r="E984" s="81" t="s">
        <v>2308</v>
      </c>
      <c r="F984" s="81" t="s">
        <v>2308</v>
      </c>
    </row>
    <row r="985" spans="1:7" ht="15.75">
      <c r="A985" s="20" t="s">
        <v>2238</v>
      </c>
      <c r="B985" s="13">
        <v>10</v>
      </c>
      <c r="C985" s="20" t="s">
        <v>2470</v>
      </c>
      <c r="D985" s="103">
        <v>100</v>
      </c>
      <c r="E985" s="36">
        <v>0.97</v>
      </c>
      <c r="F985" s="131" t="s">
        <v>2471</v>
      </c>
    </row>
    <row r="986" spans="1:7" ht="15.75">
      <c r="A986" s="46"/>
      <c r="B986" s="13"/>
      <c r="C986" s="20" t="s">
        <v>2472</v>
      </c>
      <c r="D986" s="118" t="s">
        <v>61</v>
      </c>
      <c r="E986" s="36">
        <v>437.5</v>
      </c>
      <c r="F986" s="131" t="s">
        <v>2471</v>
      </c>
    </row>
    <row r="990" spans="1:7" ht="15.75">
      <c r="A990" s="79" t="s">
        <v>2035</v>
      </c>
      <c r="B990" s="79" t="s">
        <v>95</v>
      </c>
      <c r="C990" s="81" t="s">
        <v>2040</v>
      </c>
      <c r="D990" s="603" t="s">
        <v>2041</v>
      </c>
      <c r="E990" s="81" t="s">
        <v>112</v>
      </c>
      <c r="F990" s="105" t="s">
        <v>97</v>
      </c>
    </row>
    <row r="991" spans="1:7" ht="15">
      <c r="A991" s="20" t="s">
        <v>2439</v>
      </c>
      <c r="B991" s="34" t="s">
        <v>96</v>
      </c>
      <c r="C991" s="103">
        <v>13.7</v>
      </c>
      <c r="D991" s="104">
        <v>17</v>
      </c>
      <c r="E991" s="122">
        <v>232.89999999999998</v>
      </c>
      <c r="F991" s="36">
        <v>5.14</v>
      </c>
    </row>
    <row r="992" spans="1:7" ht="15">
      <c r="A992" s="20" t="s">
        <v>2439</v>
      </c>
      <c r="B992" s="34" t="s">
        <v>96</v>
      </c>
      <c r="C992" s="103">
        <v>13.7</v>
      </c>
      <c r="D992" s="104">
        <v>34</v>
      </c>
      <c r="E992" s="122">
        <v>465.79999999999995</v>
      </c>
      <c r="F992" s="36">
        <v>5.14</v>
      </c>
    </row>
    <row r="993" spans="1:6" ht="15">
      <c r="A993" s="20" t="s">
        <v>2436</v>
      </c>
      <c r="B993" s="34" t="s">
        <v>96</v>
      </c>
      <c r="C993" s="103">
        <v>13.7</v>
      </c>
      <c r="D993" s="104">
        <v>43</v>
      </c>
      <c r="E993" s="103">
        <v>589.1</v>
      </c>
      <c r="F993" s="36">
        <v>5.84</v>
      </c>
    </row>
    <row r="995" spans="1:6" ht="15">
      <c r="A995" s="79" t="s">
        <v>2035</v>
      </c>
      <c r="B995" s="79" t="s">
        <v>95</v>
      </c>
      <c r="C995" s="81" t="s">
        <v>112</v>
      </c>
    </row>
    <row r="996" spans="1:6" ht="15">
      <c r="A996" s="20" t="s">
        <v>233</v>
      </c>
      <c r="B996" s="34" t="s">
        <v>96</v>
      </c>
      <c r="C996" s="8">
        <v>5</v>
      </c>
    </row>
    <row r="997" spans="1:6" ht="15">
      <c r="A997" s="20" t="s">
        <v>2473</v>
      </c>
      <c r="B997" s="34" t="s">
        <v>96</v>
      </c>
      <c r="C997" s="8">
        <v>5</v>
      </c>
    </row>
    <row r="998" spans="1:6" ht="15">
      <c r="A998" s="20" t="s">
        <v>147</v>
      </c>
      <c r="B998" s="34" t="s">
        <v>96</v>
      </c>
      <c r="C998" s="8">
        <v>5</v>
      </c>
    </row>
    <row r="999" spans="1:6" ht="15">
      <c r="A999" s="20" t="s">
        <v>276</v>
      </c>
      <c r="B999" s="34" t="s">
        <v>96</v>
      </c>
      <c r="C999" s="8">
        <v>5</v>
      </c>
    </row>
    <row r="1000" spans="1:6" ht="15">
      <c r="A1000" s="20" t="s">
        <v>220</v>
      </c>
      <c r="B1000" s="34" t="s">
        <v>96</v>
      </c>
      <c r="C1000" s="8">
        <v>5</v>
      </c>
    </row>
    <row r="1001" spans="1:6" ht="15">
      <c r="A1001" s="20" t="s">
        <v>2474</v>
      </c>
      <c r="B1001" s="34" t="s">
        <v>96</v>
      </c>
      <c r="C1001" s="8">
        <v>5</v>
      </c>
    </row>
    <row r="1002" spans="1:6" ht="15">
      <c r="A1002" s="20" t="s">
        <v>2475</v>
      </c>
      <c r="B1002" s="34" t="s">
        <v>96</v>
      </c>
      <c r="C1002" s="8">
        <v>5</v>
      </c>
    </row>
    <row r="1003" spans="1:6" ht="15">
      <c r="A1003" s="20" t="s">
        <v>234</v>
      </c>
      <c r="B1003" s="34" t="s">
        <v>96</v>
      </c>
      <c r="C1003" s="122">
        <v>13.7</v>
      </c>
    </row>
    <row r="1006" spans="1:6" ht="15">
      <c r="A1006" s="79" t="s">
        <v>2035</v>
      </c>
      <c r="B1006" s="79" t="s">
        <v>95</v>
      </c>
      <c r="C1006" s="81" t="s">
        <v>112</v>
      </c>
      <c r="D1006" s="81" t="s">
        <v>143</v>
      </c>
    </row>
    <row r="1007" spans="1:6" ht="15">
      <c r="A1007" s="20" t="s">
        <v>2476</v>
      </c>
      <c r="B1007" s="34" t="s">
        <v>2477</v>
      </c>
      <c r="C1007" s="8">
        <v>1592</v>
      </c>
      <c r="D1007" s="84" t="s">
        <v>2478</v>
      </c>
    </row>
    <row r="1008" spans="1:6" ht="15">
      <c r="A1008" s="78" t="s">
        <v>2476</v>
      </c>
      <c r="B1008" s="34" t="s">
        <v>2479</v>
      </c>
      <c r="C1008" s="8">
        <v>1958</v>
      </c>
      <c r="D1008" s="655" t="s">
        <v>2480</v>
      </c>
    </row>
    <row r="1009" spans="1:4" ht="15">
      <c r="A1009" s="20" t="s">
        <v>2476</v>
      </c>
      <c r="B1009" s="34" t="s">
        <v>96</v>
      </c>
      <c r="C1009" s="8">
        <v>7965</v>
      </c>
      <c r="D1009" s="84" t="s">
        <v>2481</v>
      </c>
    </row>
    <row r="1010" spans="1:4" ht="15">
      <c r="A1010" s="78" t="s">
        <v>2476</v>
      </c>
      <c r="B1010" s="34" t="s">
        <v>96</v>
      </c>
      <c r="C1010" s="8">
        <v>3110</v>
      </c>
      <c r="D1010" s="655" t="s">
        <v>2480</v>
      </c>
    </row>
    <row r="1011" spans="1:4" ht="15.75" customHeight="1">
      <c r="A1011" s="20" t="s">
        <v>2482</v>
      </c>
      <c r="B1011" s="34" t="s">
        <v>2477</v>
      </c>
      <c r="C1011" s="8">
        <v>807</v>
      </c>
      <c r="D1011" s="84" t="s">
        <v>2478</v>
      </c>
    </row>
    <row r="1012" spans="1:4" ht="15">
      <c r="A1012" s="78" t="s">
        <v>2482</v>
      </c>
      <c r="B1012" s="34" t="s">
        <v>2479</v>
      </c>
      <c r="C1012" s="8">
        <v>753</v>
      </c>
      <c r="D1012" s="655" t="s">
        <v>2480</v>
      </c>
    </row>
    <row r="1013" spans="1:4" ht="15">
      <c r="A1013" s="20" t="s">
        <v>2482</v>
      </c>
      <c r="B1013" s="34" t="s">
        <v>96</v>
      </c>
      <c r="C1013" s="8">
        <v>3453</v>
      </c>
      <c r="D1013" s="84" t="s">
        <v>2481</v>
      </c>
    </row>
    <row r="1014" spans="1:4" ht="15">
      <c r="A1014" s="78" t="s">
        <v>2482</v>
      </c>
      <c r="B1014" s="34" t="s">
        <v>96</v>
      </c>
      <c r="C1014" s="8">
        <v>1347</v>
      </c>
      <c r="D1014" s="655" t="s">
        <v>2480</v>
      </c>
    </row>
    <row r="1015" spans="1:4" ht="15">
      <c r="A1015" s="20" t="s">
        <v>2223</v>
      </c>
      <c r="B1015" s="34" t="s">
        <v>115</v>
      </c>
      <c r="C1015" s="103">
        <v>502</v>
      </c>
      <c r="D1015" s="84" t="s">
        <v>2481</v>
      </c>
    </row>
    <row r="1016" spans="1:4" ht="15.75">
      <c r="A1016" s="78" t="s">
        <v>2223</v>
      </c>
      <c r="B1016" s="34" t="s">
        <v>2483</v>
      </c>
      <c r="C1016" s="656" t="s">
        <v>2484</v>
      </c>
      <c r="D1016" s="655" t="s">
        <v>2485</v>
      </c>
    </row>
    <row r="1018" spans="1:4" ht="15">
      <c r="A1018" s="79" t="s">
        <v>2035</v>
      </c>
      <c r="B1018" s="79" t="s">
        <v>95</v>
      </c>
      <c r="C1018" s="81" t="s">
        <v>112</v>
      </c>
      <c r="D1018" s="81" t="s">
        <v>2308</v>
      </c>
    </row>
    <row r="1019" spans="1:4" ht="15">
      <c r="A1019" s="20" t="s">
        <v>2486</v>
      </c>
      <c r="B1019" s="34" t="s">
        <v>96</v>
      </c>
      <c r="C1019" s="8">
        <v>3</v>
      </c>
      <c r="D1019" s="36">
        <v>4</v>
      </c>
    </row>
    <row r="1020" spans="1:4" ht="15">
      <c r="A1020" s="20" t="s">
        <v>2487</v>
      </c>
      <c r="B1020" s="34" t="s">
        <v>96</v>
      </c>
      <c r="C1020" s="8">
        <v>5</v>
      </c>
      <c r="D1020" s="36">
        <v>1.34</v>
      </c>
    </row>
    <row r="1021" spans="1:4" ht="15">
      <c r="A1021" s="20" t="s">
        <v>233</v>
      </c>
      <c r="B1021" s="34" t="s">
        <v>96</v>
      </c>
      <c r="C1021" s="8">
        <v>5</v>
      </c>
      <c r="D1021" s="36">
        <v>1.64</v>
      </c>
    </row>
    <row r="1022" spans="1:4" ht="15">
      <c r="A1022" s="20" t="s">
        <v>2473</v>
      </c>
      <c r="B1022" s="34" t="s">
        <v>96</v>
      </c>
      <c r="C1022" s="8">
        <v>5</v>
      </c>
      <c r="D1022" s="36">
        <v>1.42</v>
      </c>
    </row>
    <row r="1023" spans="1:4" ht="15">
      <c r="A1023" s="20" t="s">
        <v>147</v>
      </c>
      <c r="B1023" s="34" t="s">
        <v>96</v>
      </c>
      <c r="C1023" s="8">
        <v>5</v>
      </c>
      <c r="D1023" s="36">
        <v>1.59</v>
      </c>
    </row>
    <row r="1024" spans="1:4" ht="15">
      <c r="A1024" s="20" t="s">
        <v>276</v>
      </c>
      <c r="B1024" s="34" t="s">
        <v>96</v>
      </c>
      <c r="C1024" s="8">
        <v>5</v>
      </c>
      <c r="D1024" s="36">
        <v>2.17</v>
      </c>
    </row>
    <row r="1025" spans="1:7" ht="15">
      <c r="A1025" s="20" t="s">
        <v>220</v>
      </c>
      <c r="B1025" s="34" t="s">
        <v>96</v>
      </c>
      <c r="C1025" s="8">
        <v>5</v>
      </c>
      <c r="D1025" s="36">
        <v>2.44</v>
      </c>
    </row>
    <row r="1026" spans="1:7" ht="15">
      <c r="A1026" s="20" t="s">
        <v>2474</v>
      </c>
      <c r="B1026" s="34" t="s">
        <v>96</v>
      </c>
      <c r="C1026" s="8">
        <v>5</v>
      </c>
      <c r="D1026" s="36">
        <v>1.25</v>
      </c>
    </row>
    <row r="1027" spans="1:7" ht="15">
      <c r="A1027" s="20" t="s">
        <v>2475</v>
      </c>
      <c r="B1027" s="34" t="s">
        <v>96</v>
      </c>
      <c r="C1027" s="8">
        <v>5</v>
      </c>
      <c r="D1027" s="36">
        <v>1.1499999999999999</v>
      </c>
    </row>
    <row r="1028" spans="1:7" ht="15">
      <c r="A1028" s="20" t="s">
        <v>234</v>
      </c>
      <c r="B1028" s="34" t="s">
        <v>96</v>
      </c>
      <c r="C1028" s="122">
        <v>13.7</v>
      </c>
      <c r="D1028" s="36">
        <v>1.44</v>
      </c>
    </row>
    <row r="1029" spans="1:7" ht="15">
      <c r="A1029" s="20" t="s">
        <v>12</v>
      </c>
      <c r="B1029" s="8"/>
      <c r="C1029" s="8" t="s">
        <v>61</v>
      </c>
      <c r="D1029" s="36">
        <v>15</v>
      </c>
    </row>
    <row r="1031" spans="1:7" ht="15">
      <c r="A1031" s="12"/>
      <c r="B1031" s="79" t="s">
        <v>2035</v>
      </c>
      <c r="C1031" s="79" t="s">
        <v>160</v>
      </c>
      <c r="D1031" s="79" t="s">
        <v>95</v>
      </c>
      <c r="E1031" s="81" t="s">
        <v>2040</v>
      </c>
      <c r="F1031" s="603" t="s">
        <v>2041</v>
      </c>
      <c r="G1031" s="81" t="s">
        <v>112</v>
      </c>
    </row>
    <row r="1032" spans="1:7" ht="15">
      <c r="A1032" s="12" t="s">
        <v>2488</v>
      </c>
      <c r="B1032" s="20" t="s">
        <v>2489</v>
      </c>
      <c r="C1032" s="34">
        <v>9</v>
      </c>
      <c r="D1032" s="34" t="s">
        <v>115</v>
      </c>
      <c r="E1032" s="103">
        <v>100</v>
      </c>
      <c r="F1032" s="104">
        <v>1</v>
      </c>
      <c r="G1032" s="8">
        <v>100</v>
      </c>
    </row>
    <row r="1033" spans="1:7" ht="15">
      <c r="A1033" s="12" t="s">
        <v>2488</v>
      </c>
      <c r="B1033" s="20" t="s">
        <v>2490</v>
      </c>
      <c r="C1033" s="34">
        <v>16</v>
      </c>
      <c r="D1033" s="34" t="s">
        <v>115</v>
      </c>
      <c r="E1033" s="103">
        <v>50</v>
      </c>
      <c r="F1033" s="104">
        <v>2</v>
      </c>
      <c r="G1033" s="57">
        <v>100</v>
      </c>
    </row>
    <row r="1037" spans="1:7" ht="15">
      <c r="A1037" s="79" t="s">
        <v>2035</v>
      </c>
      <c r="B1037" s="79" t="s">
        <v>160</v>
      </c>
      <c r="C1037" s="79" t="s">
        <v>95</v>
      </c>
      <c r="D1037" s="79" t="s">
        <v>35</v>
      </c>
    </row>
    <row r="1038" spans="1:7" ht="15">
      <c r="A1038" s="20">
        <v>4111</v>
      </c>
      <c r="B1038" s="13">
        <v>8</v>
      </c>
      <c r="C1038" s="20" t="s">
        <v>2491</v>
      </c>
      <c r="D1038" s="8">
        <v>5</v>
      </c>
    </row>
    <row r="1039" spans="1:7" ht="15">
      <c r="A1039" s="20">
        <v>4111</v>
      </c>
      <c r="B1039" s="13">
        <v>8</v>
      </c>
      <c r="C1039" s="20" t="s">
        <v>2492</v>
      </c>
      <c r="D1039" s="8">
        <v>5</v>
      </c>
    </row>
    <row r="1040" spans="1:7" ht="15">
      <c r="A1040" s="20">
        <v>4111</v>
      </c>
      <c r="B1040" s="13">
        <v>8</v>
      </c>
      <c r="C1040" s="20" t="s">
        <v>170</v>
      </c>
      <c r="D1040" s="8">
        <v>5</v>
      </c>
    </row>
    <row r="1041" spans="1:6" ht="15">
      <c r="A1041" s="20">
        <v>4111</v>
      </c>
      <c r="B1041" s="13">
        <v>8</v>
      </c>
      <c r="C1041" s="20" t="s">
        <v>2014</v>
      </c>
      <c r="D1041" s="8">
        <v>5</v>
      </c>
    </row>
    <row r="1043" spans="1:6" ht="15">
      <c r="A1043" s="79" t="s">
        <v>2035</v>
      </c>
      <c r="B1043" s="79" t="s">
        <v>160</v>
      </c>
      <c r="C1043" s="79" t="s">
        <v>95</v>
      </c>
      <c r="D1043" s="81" t="s">
        <v>2040</v>
      </c>
      <c r="E1043" s="603" t="s">
        <v>2041</v>
      </c>
      <c r="F1043" s="81" t="s">
        <v>112</v>
      </c>
    </row>
    <row r="1044" spans="1:6" ht="15">
      <c r="A1044" s="20">
        <v>3721</v>
      </c>
      <c r="B1044" s="34">
        <v>25</v>
      </c>
      <c r="C1044" s="34" t="s">
        <v>2493</v>
      </c>
      <c r="D1044" s="103">
        <v>30</v>
      </c>
      <c r="E1044" s="104">
        <v>4</v>
      </c>
      <c r="F1044" s="8">
        <v>120</v>
      </c>
    </row>
    <row r="1045" spans="1:6" ht="15">
      <c r="A1045" s="20">
        <v>3721</v>
      </c>
      <c r="B1045" s="34">
        <v>25</v>
      </c>
      <c r="C1045" s="34" t="s">
        <v>2494</v>
      </c>
      <c r="D1045" s="103">
        <v>30</v>
      </c>
      <c r="E1045" s="104">
        <v>4</v>
      </c>
      <c r="F1045" s="8">
        <v>120</v>
      </c>
    </row>
    <row r="1046" spans="1:6" ht="15">
      <c r="A1046" s="20">
        <v>3722</v>
      </c>
      <c r="B1046" s="34" t="s">
        <v>2495</v>
      </c>
      <c r="C1046" s="34" t="s">
        <v>2496</v>
      </c>
      <c r="D1046" s="103">
        <v>30</v>
      </c>
      <c r="E1046" s="104">
        <v>33</v>
      </c>
      <c r="F1046" s="8">
        <v>990</v>
      </c>
    </row>
    <row r="1047" spans="1:6" ht="15">
      <c r="A1047" s="20">
        <v>3705</v>
      </c>
      <c r="B1047" s="22">
        <v>19</v>
      </c>
      <c r="C1047" s="20" t="s">
        <v>2497</v>
      </c>
      <c r="D1047" s="8">
        <v>30</v>
      </c>
      <c r="E1047" s="33">
        <v>18</v>
      </c>
      <c r="F1047" s="8">
        <v>540</v>
      </c>
    </row>
    <row r="1050" spans="1:6" ht="15">
      <c r="A1050" s="79" t="s">
        <v>2035</v>
      </c>
      <c r="B1050" s="79" t="s">
        <v>95</v>
      </c>
      <c r="C1050" s="81" t="s">
        <v>112</v>
      </c>
    </row>
    <row r="1051" spans="1:6" ht="15">
      <c r="A1051" s="20" t="s">
        <v>2476</v>
      </c>
      <c r="B1051" s="34" t="s">
        <v>96</v>
      </c>
      <c r="C1051" s="8">
        <v>7965</v>
      </c>
    </row>
    <row r="1052" spans="1:6" ht="15">
      <c r="A1052" s="20" t="s">
        <v>2476</v>
      </c>
      <c r="B1052" s="34" t="s">
        <v>2498</v>
      </c>
      <c r="C1052" s="8">
        <v>3110</v>
      </c>
    </row>
    <row r="1053" spans="1:6" ht="15">
      <c r="A1053" s="114" t="s">
        <v>2476</v>
      </c>
      <c r="B1053" s="125" t="s">
        <v>2499</v>
      </c>
      <c r="C1053" s="143">
        <v>8285</v>
      </c>
    </row>
    <row r="1054" spans="1:6" ht="15">
      <c r="A1054" s="20" t="s">
        <v>2476</v>
      </c>
      <c r="B1054" s="34" t="s">
        <v>2477</v>
      </c>
      <c r="C1054" s="8">
        <v>1592</v>
      </c>
    </row>
    <row r="1055" spans="1:6" ht="15">
      <c r="A1055" s="20" t="s">
        <v>2476</v>
      </c>
      <c r="B1055" s="34" t="s">
        <v>2500</v>
      </c>
      <c r="C1055" s="8">
        <v>1958</v>
      </c>
    </row>
    <row r="1056" spans="1:6" ht="15">
      <c r="A1056" s="114" t="s">
        <v>2476</v>
      </c>
      <c r="B1056" s="125" t="s">
        <v>2501</v>
      </c>
      <c r="C1056" s="143">
        <v>2150</v>
      </c>
    </row>
    <row r="1057" spans="1:4" ht="15">
      <c r="A1057" s="20" t="s">
        <v>2482</v>
      </c>
      <c r="B1057" s="34" t="s">
        <v>96</v>
      </c>
      <c r="C1057" s="8">
        <v>3453</v>
      </c>
    </row>
    <row r="1058" spans="1:4" ht="15">
      <c r="A1058" s="20" t="s">
        <v>2482</v>
      </c>
      <c r="B1058" s="34" t="s">
        <v>2498</v>
      </c>
      <c r="C1058" s="8">
        <v>1347</v>
      </c>
    </row>
    <row r="1059" spans="1:4" ht="15">
      <c r="A1059" s="114" t="s">
        <v>2482</v>
      </c>
      <c r="B1059" s="125" t="s">
        <v>2499</v>
      </c>
      <c r="C1059" s="143">
        <v>4260</v>
      </c>
    </row>
    <row r="1060" spans="1:4" ht="15">
      <c r="A1060" s="20" t="s">
        <v>2482</v>
      </c>
      <c r="B1060" s="34" t="s">
        <v>2477</v>
      </c>
      <c r="C1060" s="8">
        <v>807</v>
      </c>
    </row>
    <row r="1061" spans="1:4" ht="15">
      <c r="A1061" s="20" t="s">
        <v>2482</v>
      </c>
      <c r="B1061" s="34" t="s">
        <v>2502</v>
      </c>
      <c r="C1061" s="8">
        <v>753</v>
      </c>
    </row>
    <row r="1062" spans="1:4" ht="15">
      <c r="A1062" s="114" t="s">
        <v>2482</v>
      </c>
      <c r="B1062" s="125" t="s">
        <v>2503</v>
      </c>
      <c r="C1062" s="143">
        <v>1480</v>
      </c>
    </row>
    <row r="1063" spans="1:4" ht="15">
      <c r="A1063" s="20" t="s">
        <v>2223</v>
      </c>
      <c r="B1063" s="34" t="s">
        <v>2483</v>
      </c>
      <c r="C1063" s="103">
        <v>650</v>
      </c>
    </row>
    <row r="1064" spans="1:4" ht="15">
      <c r="A1064" s="20" t="s">
        <v>2223</v>
      </c>
      <c r="B1064" s="34" t="s">
        <v>2504</v>
      </c>
      <c r="C1064" s="103">
        <v>80</v>
      </c>
    </row>
    <row r="1065" spans="1:4" ht="15">
      <c r="A1065" s="114" t="s">
        <v>2223</v>
      </c>
      <c r="B1065" s="657" t="s">
        <v>2505</v>
      </c>
      <c r="C1065" s="143">
        <v>730</v>
      </c>
    </row>
    <row r="1066" spans="1:4" ht="15">
      <c r="A1066" s="20" t="s">
        <v>2223</v>
      </c>
      <c r="B1066" s="34" t="s">
        <v>115</v>
      </c>
      <c r="C1066" s="103">
        <v>502</v>
      </c>
    </row>
    <row r="1067" spans="1:4" ht="15">
      <c r="A1067" s="114" t="s">
        <v>2223</v>
      </c>
      <c r="B1067" s="125" t="s">
        <v>2506</v>
      </c>
      <c r="C1067" s="658">
        <v>370</v>
      </c>
    </row>
    <row r="1072" spans="1:4" ht="15.75">
      <c r="A1072" s="79" t="s">
        <v>2035</v>
      </c>
      <c r="B1072" s="79" t="s">
        <v>95</v>
      </c>
      <c r="C1072" s="79" t="s">
        <v>35</v>
      </c>
      <c r="D1072" s="99" t="s">
        <v>2406</v>
      </c>
    </row>
    <row r="1073" spans="1:4" ht="15">
      <c r="A1073" s="20" t="s">
        <v>2507</v>
      </c>
      <c r="B1073" s="34" t="s">
        <v>96</v>
      </c>
      <c r="C1073" s="103">
        <v>10</v>
      </c>
      <c r="D1073" s="600" t="s">
        <v>2508</v>
      </c>
    </row>
    <row r="1074" spans="1:4" ht="15">
      <c r="A1074" s="20" t="s">
        <v>2509</v>
      </c>
      <c r="B1074" s="34" t="s">
        <v>96</v>
      </c>
      <c r="C1074" s="103">
        <v>10</v>
      </c>
      <c r="D1074" s="600" t="s">
        <v>2510</v>
      </c>
    </row>
    <row r="1077" spans="1:4" ht="15">
      <c r="A1077" s="79" t="s">
        <v>2035</v>
      </c>
      <c r="B1077" s="79" t="s">
        <v>95</v>
      </c>
      <c r="C1077" s="79" t="s">
        <v>35</v>
      </c>
    </row>
    <row r="1078" spans="1:4" ht="15">
      <c r="A1078" s="20" t="s">
        <v>2476</v>
      </c>
      <c r="B1078" s="34" t="s">
        <v>96</v>
      </c>
      <c r="C1078" s="8">
        <v>8235</v>
      </c>
    </row>
    <row r="1079" spans="1:4" ht="15">
      <c r="A1079" s="20" t="s">
        <v>2476</v>
      </c>
      <c r="B1079" s="34" t="s">
        <v>2511</v>
      </c>
      <c r="C1079" s="8">
        <v>2125</v>
      </c>
    </row>
    <row r="1080" spans="1:4" ht="15">
      <c r="A1080" s="20" t="s">
        <v>2482</v>
      </c>
      <c r="B1080" s="34" t="s">
        <v>96</v>
      </c>
      <c r="C1080" s="8">
        <v>4230</v>
      </c>
    </row>
    <row r="1081" spans="1:4" ht="15">
      <c r="A1081" s="20" t="s">
        <v>2482</v>
      </c>
      <c r="B1081" s="34" t="s">
        <v>2512</v>
      </c>
      <c r="C1081" s="8">
        <v>1460</v>
      </c>
    </row>
    <row r="1082" spans="1:4" ht="15">
      <c r="A1082" s="20" t="s">
        <v>2223</v>
      </c>
      <c r="B1082" s="34" t="s">
        <v>2513</v>
      </c>
      <c r="C1082" s="103">
        <v>725</v>
      </c>
    </row>
    <row r="1083" spans="1:4" ht="15">
      <c r="A1083" s="20" t="s">
        <v>2223</v>
      </c>
      <c r="B1083" s="34" t="s">
        <v>115</v>
      </c>
      <c r="C1083" s="103">
        <v>365</v>
      </c>
    </row>
    <row r="1085" spans="1:4" ht="15">
      <c r="A1085" s="17" t="s">
        <v>2514</v>
      </c>
      <c r="B1085" s="20"/>
      <c r="C1085" s="57"/>
    </row>
    <row r="1086" spans="1:4" ht="15">
      <c r="A1086" s="20" t="s">
        <v>2476</v>
      </c>
      <c r="B1086" s="34" t="s">
        <v>96</v>
      </c>
      <c r="C1086" s="8">
        <v>2790</v>
      </c>
    </row>
    <row r="1087" spans="1:4" ht="15">
      <c r="A1087" s="20" t="s">
        <v>2476</v>
      </c>
      <c r="B1087" s="34" t="s">
        <v>2479</v>
      </c>
      <c r="C1087" s="8">
        <v>1400</v>
      </c>
    </row>
    <row r="1088" spans="1:4" ht="15">
      <c r="A1088" s="20" t="s">
        <v>2482</v>
      </c>
      <c r="B1088" s="34" t="s">
        <v>96</v>
      </c>
      <c r="C1088" s="8">
        <v>540</v>
      </c>
    </row>
    <row r="1089" spans="1:7" ht="15">
      <c r="A1089" s="20" t="s">
        <v>2482</v>
      </c>
      <c r="B1089" s="34" t="s">
        <v>2479</v>
      </c>
      <c r="C1089" s="8">
        <v>80</v>
      </c>
    </row>
    <row r="1090" spans="1:7" ht="15">
      <c r="A1090" s="20" t="s">
        <v>2223</v>
      </c>
      <c r="B1090" s="34" t="s">
        <v>115</v>
      </c>
      <c r="C1090" s="103">
        <v>132</v>
      </c>
    </row>
    <row r="1093" spans="1:7" ht="15">
      <c r="A1093" s="79" t="s">
        <v>2035</v>
      </c>
      <c r="B1093" s="79" t="s">
        <v>160</v>
      </c>
      <c r="C1093" s="79" t="s">
        <v>95</v>
      </c>
      <c r="D1093" s="79" t="s">
        <v>35</v>
      </c>
    </row>
    <row r="1094" spans="1:7" ht="15">
      <c r="A1094" s="20">
        <v>4111</v>
      </c>
      <c r="B1094" s="13">
        <v>12</v>
      </c>
      <c r="C1094" s="20" t="s">
        <v>170</v>
      </c>
      <c r="D1094" s="8">
        <v>5</v>
      </c>
    </row>
    <row r="1097" spans="1:7" ht="15">
      <c r="A1097" s="79" t="s">
        <v>2035</v>
      </c>
      <c r="B1097" s="79" t="s">
        <v>160</v>
      </c>
      <c r="C1097" s="79" t="s">
        <v>95</v>
      </c>
      <c r="D1097" s="81" t="s">
        <v>2040</v>
      </c>
      <c r="E1097" s="603" t="s">
        <v>2041</v>
      </c>
      <c r="F1097" s="81" t="s">
        <v>112</v>
      </c>
      <c r="G1097" s="81" t="s">
        <v>2308</v>
      </c>
    </row>
    <row r="1098" spans="1:7" ht="15">
      <c r="A1098" s="20">
        <v>2250</v>
      </c>
      <c r="B1098" s="34">
        <v>18</v>
      </c>
      <c r="C1098" s="20" t="s">
        <v>2515</v>
      </c>
      <c r="D1098" s="103">
        <v>30</v>
      </c>
      <c r="E1098" s="104">
        <v>15</v>
      </c>
      <c r="F1098" s="57">
        <v>450</v>
      </c>
      <c r="G1098" s="36">
        <v>0.41</v>
      </c>
    </row>
    <row r="1099" spans="1:7" ht="15">
      <c r="A1099" s="20">
        <v>2250</v>
      </c>
      <c r="B1099" s="34">
        <v>18</v>
      </c>
      <c r="C1099" s="20" t="s">
        <v>1924</v>
      </c>
      <c r="D1099" s="103">
        <v>30</v>
      </c>
      <c r="E1099" s="104">
        <v>2</v>
      </c>
      <c r="F1099" s="57">
        <v>60</v>
      </c>
      <c r="G1099" s="36">
        <v>0.41</v>
      </c>
    </row>
    <row r="1100" spans="1:7" ht="15">
      <c r="A1100" s="20">
        <v>2250</v>
      </c>
      <c r="B1100" s="34">
        <v>24</v>
      </c>
      <c r="C1100" s="20" t="s">
        <v>2515</v>
      </c>
      <c r="D1100" s="103">
        <v>30</v>
      </c>
      <c r="E1100" s="104">
        <v>22</v>
      </c>
      <c r="F1100" s="57">
        <v>660</v>
      </c>
      <c r="G1100" s="36">
        <v>0.53</v>
      </c>
    </row>
    <row r="1101" spans="1:7" ht="15">
      <c r="A1101" s="17"/>
      <c r="B1101" s="102"/>
      <c r="C1101" s="20"/>
      <c r="D1101" s="103"/>
      <c r="E1101" s="104"/>
      <c r="F1101" s="103"/>
      <c r="G1101" s="27"/>
    </row>
    <row r="1102" spans="1:7" ht="15">
      <c r="A1102" s="20" t="s">
        <v>6</v>
      </c>
      <c r="B1102" s="102">
        <v>160</v>
      </c>
      <c r="C1102" s="20" t="s">
        <v>2089</v>
      </c>
      <c r="D1102" s="8"/>
      <c r="E1102" s="8">
        <v>189</v>
      </c>
      <c r="F1102" s="8"/>
      <c r="G1102" s="36">
        <v>4</v>
      </c>
    </row>
    <row r="1103" spans="1:7" ht="15">
      <c r="A1103" s="20"/>
      <c r="B1103" s="97"/>
      <c r="C1103" s="20" t="s">
        <v>12</v>
      </c>
      <c r="D1103" s="8"/>
      <c r="E1103" s="8" t="s">
        <v>61</v>
      </c>
      <c r="F1103" s="8"/>
      <c r="G1103" s="36">
        <v>20</v>
      </c>
    </row>
    <row r="1107" spans="1:5" ht="15">
      <c r="A1107" s="79" t="s">
        <v>2035</v>
      </c>
      <c r="B1107" s="79" t="s">
        <v>160</v>
      </c>
      <c r="C1107" s="79" t="s">
        <v>95</v>
      </c>
      <c r="D1107" s="81" t="s">
        <v>35</v>
      </c>
      <c r="E1107" s="81" t="s">
        <v>143</v>
      </c>
    </row>
    <row r="1108" spans="1:5" ht="15">
      <c r="A1108" s="20" t="s">
        <v>1891</v>
      </c>
      <c r="B1108" s="13">
        <v>12</v>
      </c>
      <c r="C1108" s="20" t="s">
        <v>1893</v>
      </c>
      <c r="D1108" s="8" t="s">
        <v>2516</v>
      </c>
      <c r="E1108" s="83" t="s">
        <v>2517</v>
      </c>
    </row>
    <row r="1109" spans="1:5" ht="15">
      <c r="A1109" s="20" t="s">
        <v>1891</v>
      </c>
      <c r="B1109" s="13">
        <v>12</v>
      </c>
      <c r="C1109" s="20" t="s">
        <v>2518</v>
      </c>
      <c r="D1109" s="8" t="s">
        <v>2519</v>
      </c>
      <c r="E1109" s="83" t="s">
        <v>2520</v>
      </c>
    </row>
    <row r="1110" spans="1:5" ht="15">
      <c r="A1110" s="20" t="s">
        <v>1891</v>
      </c>
      <c r="B1110" s="13">
        <v>12</v>
      </c>
      <c r="C1110" s="20" t="s">
        <v>2521</v>
      </c>
      <c r="D1110" s="8">
        <v>300</v>
      </c>
      <c r="E1110" s="83" t="s">
        <v>2522</v>
      </c>
    </row>
    <row r="1111" spans="1:5" ht="15">
      <c r="A1111" s="23" t="s">
        <v>1891</v>
      </c>
      <c r="B1111" s="659">
        <v>12</v>
      </c>
      <c r="C1111" s="23" t="s">
        <v>2523</v>
      </c>
      <c r="D1111" s="184" t="s">
        <v>2524</v>
      </c>
      <c r="E1111" s="660" t="s">
        <v>2525</v>
      </c>
    </row>
    <row r="1112" spans="1:5" ht="15">
      <c r="A1112" s="20" t="s">
        <v>1891</v>
      </c>
      <c r="B1112" s="13">
        <v>15</v>
      </c>
      <c r="C1112" s="20" t="s">
        <v>1893</v>
      </c>
      <c r="D1112" s="8" t="s">
        <v>2526</v>
      </c>
      <c r="E1112" s="83" t="s">
        <v>2527</v>
      </c>
    </row>
    <row r="1113" spans="1:5" ht="15">
      <c r="A1113" s="20" t="s">
        <v>1891</v>
      </c>
      <c r="B1113" s="13">
        <v>15</v>
      </c>
      <c r="C1113" s="20" t="s">
        <v>2518</v>
      </c>
      <c r="D1113" s="8">
        <v>1020</v>
      </c>
      <c r="E1113" s="661" t="s">
        <v>2481</v>
      </c>
    </row>
    <row r="1114" spans="1:5" ht="15">
      <c r="A1114" s="20" t="s">
        <v>1891</v>
      </c>
      <c r="B1114" s="13">
        <v>15</v>
      </c>
      <c r="C1114" s="20" t="s">
        <v>2521</v>
      </c>
      <c r="D1114" s="8">
        <v>210</v>
      </c>
      <c r="E1114" s="661" t="s">
        <v>2481</v>
      </c>
    </row>
    <row r="1115" spans="1:5" s="132" customFormat="1" ht="15">
      <c r="A1115" s="23" t="s">
        <v>1891</v>
      </c>
      <c r="B1115" s="659">
        <v>15</v>
      </c>
      <c r="C1115" s="23" t="s">
        <v>2523</v>
      </c>
      <c r="D1115" s="184">
        <v>300</v>
      </c>
      <c r="E1115" s="660" t="s">
        <v>2525</v>
      </c>
    </row>
    <row r="1116" spans="1:5" s="132" customFormat="1" ht="15">
      <c r="A1116" s="23" t="s">
        <v>1891</v>
      </c>
      <c r="B1116" s="659">
        <v>6</v>
      </c>
      <c r="C1116" s="23" t="s">
        <v>1893</v>
      </c>
      <c r="D1116" s="184">
        <v>120</v>
      </c>
      <c r="E1116" s="660" t="s">
        <v>2525</v>
      </c>
    </row>
    <row r="1117" spans="1:5" s="132" customFormat="1" ht="15">
      <c r="A1117" s="23" t="s">
        <v>1891</v>
      </c>
      <c r="B1117" s="662" t="s">
        <v>2528</v>
      </c>
      <c r="C1117" s="23" t="s">
        <v>1893</v>
      </c>
      <c r="D1117" s="184">
        <v>420</v>
      </c>
      <c r="E1117" s="660" t="s">
        <v>2525</v>
      </c>
    </row>
    <row r="1118" spans="1:5" ht="15">
      <c r="A1118" s="12"/>
      <c r="B1118" s="13"/>
      <c r="C1118" s="12"/>
      <c r="D1118" s="57"/>
      <c r="E1118" s="129"/>
    </row>
    <row r="1119" spans="1:5" ht="15">
      <c r="A1119" s="663" t="s">
        <v>2529</v>
      </c>
      <c r="B1119" s="119">
        <v>10</v>
      </c>
      <c r="C1119" s="20" t="s">
        <v>115</v>
      </c>
      <c r="D1119" s="8" t="s">
        <v>2530</v>
      </c>
      <c r="E1119" s="83" t="s">
        <v>2531</v>
      </c>
    </row>
    <row r="1120" spans="1:5" ht="15">
      <c r="A1120" s="663" t="s">
        <v>2529</v>
      </c>
      <c r="B1120" s="119">
        <v>10</v>
      </c>
      <c r="C1120" s="20" t="s">
        <v>2532</v>
      </c>
      <c r="D1120" s="8" t="s">
        <v>2533</v>
      </c>
      <c r="E1120" s="660" t="s">
        <v>2534</v>
      </c>
    </row>
    <row r="1121" spans="1:6" ht="15">
      <c r="A1121" s="663" t="s">
        <v>2529</v>
      </c>
      <c r="B1121" s="119">
        <v>10</v>
      </c>
      <c r="C1121" s="20" t="s">
        <v>2535</v>
      </c>
      <c r="D1121" s="8">
        <v>200</v>
      </c>
      <c r="E1121" s="660" t="s">
        <v>2534</v>
      </c>
    </row>
    <row r="1122" spans="1:6" ht="15">
      <c r="A1122" s="663"/>
      <c r="B1122" s="119"/>
      <c r="C1122" s="20"/>
      <c r="D1122" s="8"/>
      <c r="E1122" s="660"/>
    </row>
    <row r="1123" spans="1:6" s="132" customFormat="1" ht="15">
      <c r="A1123" s="23" t="s">
        <v>1929</v>
      </c>
      <c r="B1123" s="662">
        <v>10</v>
      </c>
      <c r="C1123" s="23" t="s">
        <v>1985</v>
      </c>
      <c r="D1123" s="664">
        <v>400</v>
      </c>
      <c r="E1123" s="660" t="s">
        <v>2536</v>
      </c>
    </row>
    <row r="1124" spans="1:6" s="132" customFormat="1" ht="15">
      <c r="A1124" s="23" t="s">
        <v>1929</v>
      </c>
      <c r="B1124" s="662">
        <v>10</v>
      </c>
      <c r="C1124" s="23" t="s">
        <v>2537</v>
      </c>
      <c r="D1124" s="664">
        <v>200</v>
      </c>
      <c r="E1124" s="660" t="s">
        <v>2536</v>
      </c>
    </row>
    <row r="1127" spans="1:6" ht="15">
      <c r="A1127" s="79" t="s">
        <v>2035</v>
      </c>
      <c r="B1127" s="79" t="s">
        <v>160</v>
      </c>
      <c r="C1127" s="79" t="s">
        <v>95</v>
      </c>
      <c r="D1127" s="81" t="s">
        <v>35</v>
      </c>
      <c r="E1127" s="81" t="s">
        <v>113</v>
      </c>
      <c r="F1127" s="88" t="s">
        <v>189</v>
      </c>
    </row>
    <row r="1128" spans="1:6" ht="15">
      <c r="A1128" s="663" t="s">
        <v>2529</v>
      </c>
      <c r="B1128" s="119">
        <v>10</v>
      </c>
      <c r="C1128" s="78" t="s">
        <v>2538</v>
      </c>
      <c r="D1128" s="8">
        <v>900</v>
      </c>
      <c r="E1128" s="104">
        <v>9</v>
      </c>
      <c r="F1128" s="104"/>
    </row>
    <row r="1129" spans="1:6" ht="15">
      <c r="A1129" s="20" t="s">
        <v>1891</v>
      </c>
      <c r="B1129" s="13">
        <v>15</v>
      </c>
      <c r="C1129" s="20" t="s">
        <v>1892</v>
      </c>
      <c r="D1129" s="8">
        <v>5820</v>
      </c>
      <c r="E1129" s="104">
        <v>194</v>
      </c>
      <c r="F1129" s="104"/>
    </row>
    <row r="1130" spans="1:6" ht="15">
      <c r="A1130" s="20" t="s">
        <v>1891</v>
      </c>
      <c r="B1130" s="13">
        <v>12</v>
      </c>
      <c r="C1130" s="20" t="s">
        <v>1892</v>
      </c>
      <c r="D1130" s="8">
        <v>900</v>
      </c>
      <c r="E1130" s="104">
        <v>30</v>
      </c>
      <c r="F1130" s="104"/>
    </row>
    <row r="1134" spans="1:6" ht="15">
      <c r="A1134" s="79" t="s">
        <v>2035</v>
      </c>
      <c r="B1134" s="79" t="s">
        <v>95</v>
      </c>
      <c r="C1134" s="81" t="s">
        <v>35</v>
      </c>
      <c r="D1134" s="81" t="s">
        <v>2308</v>
      </c>
    </row>
    <row r="1135" spans="1:6" ht="15">
      <c r="A1135" s="78">
        <v>5348</v>
      </c>
      <c r="B1135" s="34" t="s">
        <v>225</v>
      </c>
      <c r="C1135" s="8">
        <v>5</v>
      </c>
      <c r="D1135" s="36">
        <v>1.04</v>
      </c>
    </row>
    <row r="1136" spans="1:6" ht="15">
      <c r="A1136" s="78">
        <v>5348</v>
      </c>
      <c r="B1136" s="34" t="s">
        <v>2539</v>
      </c>
      <c r="C1136" s="8">
        <v>5</v>
      </c>
      <c r="D1136" s="36">
        <v>1.04</v>
      </c>
    </row>
    <row r="1137" spans="1:6" ht="15">
      <c r="A1137" s="46"/>
      <c r="B1137" s="20" t="s">
        <v>12</v>
      </c>
      <c r="C1137" s="8" t="s">
        <v>61</v>
      </c>
      <c r="D1137" s="36">
        <v>12</v>
      </c>
    </row>
    <row r="1141" spans="1:6" ht="15">
      <c r="A1141" s="79" t="s">
        <v>2540</v>
      </c>
      <c r="B1141" s="79" t="s">
        <v>205</v>
      </c>
      <c r="C1141" s="79" t="s">
        <v>160</v>
      </c>
      <c r="D1141" s="79" t="s">
        <v>95</v>
      </c>
      <c r="E1141" s="79" t="s">
        <v>2541</v>
      </c>
      <c r="F1141" s="79" t="s">
        <v>2542</v>
      </c>
    </row>
    <row r="1142" spans="1:6" ht="15">
      <c r="A1142" s="6" t="s">
        <v>2543</v>
      </c>
      <c r="B1142" s="663" t="s">
        <v>2544</v>
      </c>
      <c r="C1142" s="119">
        <v>10</v>
      </c>
      <c r="D1142" s="20" t="s">
        <v>1930</v>
      </c>
      <c r="E1142" s="8">
        <v>900</v>
      </c>
      <c r="F1142" s="8">
        <v>900</v>
      </c>
    </row>
    <row r="1143" spans="1:6" ht="15">
      <c r="A1143" s="6" t="s">
        <v>2543</v>
      </c>
      <c r="B1143" s="20" t="s">
        <v>1891</v>
      </c>
      <c r="C1143" s="13">
        <v>15</v>
      </c>
      <c r="D1143" s="20" t="s">
        <v>1892</v>
      </c>
      <c r="E1143" s="8">
        <v>1800</v>
      </c>
      <c r="F1143" s="8">
        <v>1800</v>
      </c>
    </row>
    <row r="1144" spans="1:6" ht="15">
      <c r="A1144" s="6"/>
      <c r="B1144" s="20"/>
      <c r="C1144" s="13"/>
      <c r="D1144" s="20"/>
      <c r="E1144" s="8"/>
      <c r="F1144" s="665"/>
    </row>
    <row r="1145" spans="1:6" ht="15">
      <c r="A1145" s="6" t="s">
        <v>2545</v>
      </c>
      <c r="B1145" s="20" t="s">
        <v>1891</v>
      </c>
      <c r="C1145" s="13">
        <v>15</v>
      </c>
      <c r="D1145" s="20" t="s">
        <v>1892</v>
      </c>
      <c r="E1145" s="8" t="s">
        <v>2546</v>
      </c>
      <c r="F1145" s="666" t="s">
        <v>2547</v>
      </c>
    </row>
    <row r="1146" spans="1:6" ht="15">
      <c r="A1146" s="6" t="s">
        <v>2545</v>
      </c>
      <c r="B1146" s="20" t="s">
        <v>1891</v>
      </c>
      <c r="C1146" s="13">
        <v>12</v>
      </c>
      <c r="D1146" s="20" t="s">
        <v>1892</v>
      </c>
      <c r="E1146" s="8" t="s">
        <v>2548</v>
      </c>
      <c r="F1146" s="666" t="s">
        <v>2549</v>
      </c>
    </row>
    <row r="1147" spans="1:6" ht="15">
      <c r="A1147" s="6"/>
      <c r="B1147" s="20"/>
      <c r="C1147" s="13"/>
      <c r="D1147" s="20"/>
      <c r="E1147" s="8"/>
      <c r="F1147" s="666"/>
    </row>
    <row r="1148" spans="1:6" ht="15">
      <c r="A1148" s="6" t="s">
        <v>2550</v>
      </c>
      <c r="B1148" s="20" t="s">
        <v>1891</v>
      </c>
      <c r="C1148" s="13">
        <v>15</v>
      </c>
      <c r="D1148" s="20" t="s">
        <v>1892</v>
      </c>
      <c r="E1148" s="8">
        <v>900</v>
      </c>
      <c r="F1148" s="8">
        <v>900</v>
      </c>
    </row>
    <row r="1149" spans="1:6" ht="15">
      <c r="A1149" s="6"/>
      <c r="B1149" s="20"/>
      <c r="C1149" s="13"/>
      <c r="D1149" s="20"/>
      <c r="E1149" s="8"/>
      <c r="F1149" s="665"/>
    </row>
    <row r="1150" spans="1:6" ht="15">
      <c r="A1150" s="6" t="s">
        <v>2551</v>
      </c>
      <c r="B1150" s="20" t="s">
        <v>1891</v>
      </c>
      <c r="C1150" s="13">
        <v>15</v>
      </c>
      <c r="D1150" s="20" t="s">
        <v>1892</v>
      </c>
      <c r="E1150" s="8" t="s">
        <v>2552</v>
      </c>
      <c r="F1150" s="8" t="s">
        <v>2553</v>
      </c>
    </row>
    <row r="1151" spans="1:6" ht="15">
      <c r="A1151" s="6" t="s">
        <v>2551</v>
      </c>
      <c r="B1151" s="20" t="s">
        <v>1891</v>
      </c>
      <c r="C1151" s="13">
        <v>12</v>
      </c>
      <c r="D1151" s="20" t="s">
        <v>1892</v>
      </c>
      <c r="E1151" s="8" t="s">
        <v>2554</v>
      </c>
      <c r="F1151" s="8" t="s">
        <v>2555</v>
      </c>
    </row>
    <row r="1155" spans="1:7" ht="19.5" thickBot="1">
      <c r="A1155" s="667"/>
    </row>
    <row r="1156" spans="1:7" ht="14.25" thickBot="1">
      <c r="A1156" s="668" t="s">
        <v>2556</v>
      </c>
      <c r="B1156" s="669" t="s">
        <v>166</v>
      </c>
      <c r="C1156" s="669" t="s">
        <v>2557</v>
      </c>
      <c r="D1156" s="669" t="s">
        <v>232</v>
      </c>
      <c r="E1156" s="669" t="s">
        <v>2558</v>
      </c>
      <c r="F1156" s="669" t="s">
        <v>2559</v>
      </c>
      <c r="G1156" s="670" t="s">
        <v>2560</v>
      </c>
    </row>
    <row r="1157" spans="1:7" ht="14.25" thickTop="1">
      <c r="A1157" s="1300" t="s">
        <v>2561</v>
      </c>
      <c r="B1157" s="1300" t="s">
        <v>2562</v>
      </c>
      <c r="C1157" s="1300" t="s">
        <v>231</v>
      </c>
      <c r="D1157" s="265" t="s">
        <v>2563</v>
      </c>
      <c r="E1157" s="1300" t="s">
        <v>2564</v>
      </c>
      <c r="F1157" s="1300" t="s">
        <v>2564</v>
      </c>
      <c r="G1157" s="1307" t="s">
        <v>2565</v>
      </c>
    </row>
    <row r="1158" spans="1:7" ht="14.25" thickBot="1">
      <c r="A1158" s="1299"/>
      <c r="B1158" s="1299"/>
      <c r="C1158" s="1299"/>
      <c r="D1158" s="259" t="s">
        <v>2566</v>
      </c>
      <c r="E1158" s="1299"/>
      <c r="F1158" s="1299"/>
      <c r="G1158" s="1308"/>
    </row>
    <row r="1159" spans="1:7" ht="14.25" thickBot="1">
      <c r="A1159" s="258" t="s">
        <v>2561</v>
      </c>
      <c r="B1159" s="259" t="s">
        <v>2567</v>
      </c>
      <c r="C1159" s="259" t="s">
        <v>2568</v>
      </c>
      <c r="D1159" s="259" t="s">
        <v>2569</v>
      </c>
      <c r="E1159" s="259" t="s">
        <v>2570</v>
      </c>
      <c r="F1159" s="259" t="s">
        <v>2570</v>
      </c>
      <c r="G1159" s="671" t="s">
        <v>2565</v>
      </c>
    </row>
    <row r="1160" spans="1:7" ht="14.25" thickBot="1">
      <c r="A1160" s="672"/>
      <c r="B1160" s="673"/>
      <c r="C1160" s="673"/>
      <c r="D1160" s="673"/>
      <c r="E1160" s="673"/>
      <c r="F1160" s="673"/>
      <c r="G1160" s="674"/>
    </row>
    <row r="1161" spans="1:7">
      <c r="A1161" s="1298" t="s">
        <v>2571</v>
      </c>
      <c r="B1161" s="1298" t="s">
        <v>2567</v>
      </c>
      <c r="C1161" s="1298" t="s">
        <v>2568</v>
      </c>
      <c r="D1161" s="1298" t="s">
        <v>2569</v>
      </c>
      <c r="E1161" s="675" t="s">
        <v>2572</v>
      </c>
      <c r="F1161" s="1298" t="s">
        <v>2573</v>
      </c>
      <c r="G1161" s="676" t="s">
        <v>2574</v>
      </c>
    </row>
    <row r="1162" spans="1:7" ht="14.25" thickBot="1">
      <c r="A1162" s="1299"/>
      <c r="B1162" s="1299"/>
      <c r="C1162" s="1299"/>
      <c r="D1162" s="1299"/>
      <c r="E1162" s="259" t="s">
        <v>2575</v>
      </c>
      <c r="F1162" s="1299"/>
      <c r="G1162" s="677" t="s">
        <v>2576</v>
      </c>
    </row>
    <row r="1163" spans="1:7">
      <c r="A1163" s="1298" t="s">
        <v>2571</v>
      </c>
      <c r="B1163" s="1298" t="s">
        <v>2567</v>
      </c>
      <c r="C1163" s="1298" t="s">
        <v>2577</v>
      </c>
      <c r="D1163" s="1298" t="s">
        <v>2569</v>
      </c>
      <c r="E1163" s="675" t="s">
        <v>2572</v>
      </c>
      <c r="F1163" s="1298" t="s">
        <v>282</v>
      </c>
      <c r="G1163" s="1305" t="s">
        <v>2578</v>
      </c>
    </row>
    <row r="1164" spans="1:7" ht="14.25" thickBot="1">
      <c r="A1164" s="1299"/>
      <c r="B1164" s="1299"/>
      <c r="C1164" s="1299"/>
      <c r="D1164" s="1299"/>
      <c r="E1164" s="259" t="s">
        <v>2579</v>
      </c>
      <c r="F1164" s="1299"/>
      <c r="G1164" s="1306"/>
    </row>
    <row r="1165" spans="1:7" ht="14.25" thickBot="1">
      <c r="A1165" s="672"/>
      <c r="B1165" s="673"/>
      <c r="C1165" s="673"/>
      <c r="D1165" s="673"/>
      <c r="E1165" s="673"/>
      <c r="F1165" s="673"/>
      <c r="G1165" s="678"/>
    </row>
    <row r="1166" spans="1:7" ht="14.25" thickBot="1">
      <c r="A1166" s="258" t="s">
        <v>2580</v>
      </c>
      <c r="B1166" s="259" t="s">
        <v>2567</v>
      </c>
      <c r="C1166" s="259" t="s">
        <v>2568</v>
      </c>
      <c r="D1166" s="259" t="s">
        <v>2569</v>
      </c>
      <c r="E1166" s="259" t="s">
        <v>2564</v>
      </c>
      <c r="F1166" s="259" t="s">
        <v>2581</v>
      </c>
      <c r="G1166" s="671" t="s">
        <v>2565</v>
      </c>
    </row>
    <row r="1167" spans="1:7" ht="14.25" thickBot="1">
      <c r="A1167" s="672"/>
      <c r="B1167" s="673"/>
      <c r="C1167" s="673"/>
      <c r="D1167" s="673"/>
      <c r="E1167" s="673"/>
      <c r="F1167" s="673"/>
      <c r="G1167" s="674"/>
    </row>
    <row r="1168" spans="1:7" ht="14.25" thickBot="1">
      <c r="A1168" s="258" t="s">
        <v>2582</v>
      </c>
      <c r="B1168" s="259" t="s">
        <v>2567</v>
      </c>
      <c r="C1168" s="259" t="s">
        <v>2568</v>
      </c>
      <c r="D1168" s="259" t="s">
        <v>2569</v>
      </c>
      <c r="E1168" s="259" t="s">
        <v>2583</v>
      </c>
      <c r="F1168" s="259" t="s">
        <v>2584</v>
      </c>
      <c r="G1168" s="677" t="s">
        <v>2585</v>
      </c>
    </row>
    <row r="1169" spans="1:7" ht="14.25" thickBot="1">
      <c r="A1169" s="258" t="s">
        <v>2582</v>
      </c>
      <c r="B1169" s="259" t="s">
        <v>2567</v>
      </c>
      <c r="C1169" s="259" t="s">
        <v>2577</v>
      </c>
      <c r="D1169" s="259" t="s">
        <v>2569</v>
      </c>
      <c r="E1169" s="259" t="s">
        <v>2586</v>
      </c>
      <c r="F1169" s="259" t="s">
        <v>2587</v>
      </c>
      <c r="G1169" s="677" t="s">
        <v>2578</v>
      </c>
    </row>
    <row r="1170" spans="1:7" ht="18.75">
      <c r="A1170" s="667"/>
    </row>
    <row r="1172" spans="1:7" ht="15">
      <c r="A1172" s="79" t="s">
        <v>205</v>
      </c>
      <c r="B1172" s="79" t="s">
        <v>160</v>
      </c>
      <c r="C1172" s="79" t="s">
        <v>95</v>
      </c>
      <c r="D1172" s="79" t="s">
        <v>35</v>
      </c>
    </row>
    <row r="1173" spans="1:7" ht="15">
      <c r="A1173" s="663" t="s">
        <v>2544</v>
      </c>
      <c r="B1173" s="119">
        <v>10</v>
      </c>
      <c r="C1173" s="20" t="s">
        <v>1930</v>
      </c>
      <c r="D1173" s="8">
        <v>1000</v>
      </c>
    </row>
    <row r="1174" spans="1:7" ht="15">
      <c r="A1174" s="20" t="s">
        <v>1891</v>
      </c>
      <c r="B1174" s="13">
        <v>15</v>
      </c>
      <c r="C1174" s="20" t="s">
        <v>1892</v>
      </c>
      <c r="D1174" s="8">
        <v>3750</v>
      </c>
    </row>
    <row r="1175" spans="1:7" ht="15">
      <c r="A1175" s="20" t="s">
        <v>1891</v>
      </c>
      <c r="B1175" s="13">
        <v>12</v>
      </c>
      <c r="C1175" s="20" t="s">
        <v>1892</v>
      </c>
      <c r="D1175" s="8">
        <v>900</v>
      </c>
    </row>
    <row r="1179" spans="1:7" ht="15">
      <c r="A1179" s="79" t="s">
        <v>205</v>
      </c>
      <c r="B1179" s="79" t="s">
        <v>160</v>
      </c>
      <c r="C1179" s="79" t="s">
        <v>95</v>
      </c>
      <c r="D1179" s="79" t="s">
        <v>35</v>
      </c>
    </row>
    <row r="1180" spans="1:7" ht="15">
      <c r="A1180" s="20" t="s">
        <v>1891</v>
      </c>
      <c r="B1180" s="13">
        <v>12</v>
      </c>
      <c r="C1180" s="20" t="s">
        <v>2518</v>
      </c>
      <c r="D1180" s="8">
        <v>30</v>
      </c>
    </row>
    <row r="1181" spans="1:7" ht="15">
      <c r="A1181" s="663" t="s">
        <v>2544</v>
      </c>
      <c r="B1181" s="119">
        <v>10</v>
      </c>
      <c r="C1181" s="20" t="s">
        <v>115</v>
      </c>
      <c r="D1181" s="8">
        <v>700</v>
      </c>
    </row>
    <row r="1182" spans="1:7" ht="15">
      <c r="A1182" s="663" t="s">
        <v>2529</v>
      </c>
      <c r="B1182" s="119">
        <v>10</v>
      </c>
      <c r="C1182" s="20" t="s">
        <v>2588</v>
      </c>
      <c r="D1182" s="8">
        <v>800</v>
      </c>
    </row>
    <row r="1183" spans="1:7" ht="15">
      <c r="A1183" s="663" t="s">
        <v>2529</v>
      </c>
      <c r="B1183" s="119">
        <v>10</v>
      </c>
      <c r="C1183" s="20" t="s">
        <v>2589</v>
      </c>
      <c r="D1183" s="8">
        <v>200</v>
      </c>
    </row>
    <row r="1186" spans="1:6" ht="15">
      <c r="A1186" s="79" t="s">
        <v>205</v>
      </c>
      <c r="B1186" s="79" t="s">
        <v>160</v>
      </c>
      <c r="C1186" s="79" t="s">
        <v>95</v>
      </c>
      <c r="D1186" s="8"/>
    </row>
    <row r="1187" spans="1:6" ht="15">
      <c r="A1187" s="20" t="s">
        <v>2590</v>
      </c>
      <c r="B1187" s="34">
        <v>13</v>
      </c>
      <c r="C1187" s="34" t="s">
        <v>2591</v>
      </c>
      <c r="D1187" s="8">
        <v>12</v>
      </c>
    </row>
    <row r="1188" spans="1:6" ht="15">
      <c r="A1188" s="20" t="s">
        <v>2590</v>
      </c>
      <c r="B1188" s="34">
        <v>13</v>
      </c>
      <c r="C1188" s="34" t="s">
        <v>2591</v>
      </c>
      <c r="D1188" s="8">
        <v>1</v>
      </c>
    </row>
    <row r="1191" spans="1:6" ht="15">
      <c r="A1191" s="79" t="s">
        <v>205</v>
      </c>
      <c r="B1191" s="79" t="s">
        <v>95</v>
      </c>
      <c r="C1191" s="81" t="s">
        <v>2040</v>
      </c>
      <c r="D1191" s="603" t="s">
        <v>2041</v>
      </c>
      <c r="E1191" s="81" t="s">
        <v>112</v>
      </c>
    </row>
    <row r="1192" spans="1:6" ht="15">
      <c r="A1192" s="20" t="s">
        <v>2592</v>
      </c>
      <c r="B1192" s="34" t="s">
        <v>1894</v>
      </c>
      <c r="C1192" s="103">
        <v>100</v>
      </c>
      <c r="D1192" s="104">
        <v>5</v>
      </c>
      <c r="E1192" s="8">
        <v>500</v>
      </c>
    </row>
    <row r="1193" spans="1:6" ht="15">
      <c r="A1193" s="20" t="s">
        <v>2592</v>
      </c>
      <c r="B1193" s="34" t="s">
        <v>2593</v>
      </c>
      <c r="C1193" s="103">
        <v>100</v>
      </c>
      <c r="D1193" s="104">
        <v>4</v>
      </c>
      <c r="E1193" s="8">
        <v>400</v>
      </c>
    </row>
    <row r="1196" spans="1:6">
      <c r="A1196" s="84" t="s">
        <v>44</v>
      </c>
      <c r="B1196" s="84" t="s">
        <v>108</v>
      </c>
      <c r="C1196" s="592" t="s">
        <v>2594</v>
      </c>
      <c r="D1196" s="679" t="s">
        <v>48</v>
      </c>
    </row>
    <row r="1197" spans="1:6" ht="15">
      <c r="A1197" s="20" t="s">
        <v>2595</v>
      </c>
      <c r="B1197" s="34">
        <v>36</v>
      </c>
      <c r="C1197" s="593" t="s">
        <v>2596</v>
      </c>
      <c r="D1197" s="8">
        <v>65</v>
      </c>
    </row>
    <row r="1198" spans="1:6" ht="15">
      <c r="A1198" s="11"/>
      <c r="B1198" s="219"/>
      <c r="C1198" s="680"/>
      <c r="D1198" s="185"/>
    </row>
    <row r="1199" spans="1:6">
      <c r="A1199" s="84" t="s">
        <v>44</v>
      </c>
      <c r="B1199" s="84" t="s">
        <v>108</v>
      </c>
      <c r="C1199" s="681" t="s">
        <v>204</v>
      </c>
      <c r="D1199" s="679" t="s">
        <v>48</v>
      </c>
    </row>
    <row r="1200" spans="1:6" ht="15">
      <c r="A1200" s="20">
        <v>1050</v>
      </c>
      <c r="B1200" s="13">
        <v>12</v>
      </c>
      <c r="C1200" s="20" t="s">
        <v>2518</v>
      </c>
      <c r="D1200" s="8">
        <v>30</v>
      </c>
      <c r="E1200" s="103">
        <v>30</v>
      </c>
      <c r="F1200" s="104">
        <v>1</v>
      </c>
    </row>
    <row r="1201" spans="1:7" ht="15">
      <c r="A1201" s="663" t="s">
        <v>2597</v>
      </c>
      <c r="B1201" s="119">
        <v>10</v>
      </c>
      <c r="C1201" s="20" t="s">
        <v>115</v>
      </c>
      <c r="D1201" s="8">
        <v>700</v>
      </c>
      <c r="E1201" s="103">
        <v>100</v>
      </c>
      <c r="F1201" s="104">
        <v>7</v>
      </c>
    </row>
    <row r="1202" spans="1:7" ht="15">
      <c r="A1202" s="663" t="s">
        <v>2598</v>
      </c>
      <c r="B1202" s="119">
        <v>10</v>
      </c>
      <c r="C1202" s="20" t="s">
        <v>2588</v>
      </c>
      <c r="D1202" s="8">
        <v>800</v>
      </c>
      <c r="E1202" s="103">
        <v>100</v>
      </c>
      <c r="F1202" s="104">
        <v>8</v>
      </c>
    </row>
    <row r="1203" spans="1:7" ht="15">
      <c r="A1203" s="663" t="s">
        <v>2598</v>
      </c>
      <c r="B1203" s="119">
        <v>10</v>
      </c>
      <c r="C1203" s="20" t="s">
        <v>2589</v>
      </c>
      <c r="D1203" s="8">
        <v>200</v>
      </c>
      <c r="E1203" s="103">
        <v>100</v>
      </c>
      <c r="F1203" s="104">
        <v>2</v>
      </c>
    </row>
    <row r="1204" spans="1:7" ht="15">
      <c r="A1204" s="20" t="s">
        <v>2345</v>
      </c>
      <c r="B1204" s="133">
        <v>10</v>
      </c>
      <c r="C1204" s="20" t="s">
        <v>1985</v>
      </c>
      <c r="D1204" s="8">
        <v>300</v>
      </c>
      <c r="E1204" s="103">
        <v>100</v>
      </c>
      <c r="F1204" s="104">
        <v>3</v>
      </c>
    </row>
    <row r="1207" spans="1:7">
      <c r="A1207" s="84" t="s">
        <v>44</v>
      </c>
      <c r="B1207" s="84" t="s">
        <v>108</v>
      </c>
      <c r="C1207" s="681" t="s">
        <v>204</v>
      </c>
      <c r="D1207" s="681" t="s">
        <v>48</v>
      </c>
      <c r="E1207" s="682" t="s">
        <v>2599</v>
      </c>
      <c r="F1207" s="683" t="s">
        <v>2600</v>
      </c>
      <c r="G1207" s="684" t="s">
        <v>2601</v>
      </c>
    </row>
    <row r="1208" spans="1:7" ht="15">
      <c r="A1208" s="20">
        <v>5636</v>
      </c>
      <c r="B1208" s="22" t="s">
        <v>202</v>
      </c>
      <c r="C1208" s="20" t="s">
        <v>2602</v>
      </c>
      <c r="D1208" s="8" t="s">
        <v>61</v>
      </c>
      <c r="E1208" s="36">
        <v>40</v>
      </c>
      <c r="F1208" s="36">
        <v>36</v>
      </c>
      <c r="G1208" s="77" t="s">
        <v>2603</v>
      </c>
    </row>
    <row r="1209" spans="1:7" ht="15">
      <c r="A1209" s="20"/>
      <c r="B1209" s="97"/>
      <c r="C1209" s="20" t="s">
        <v>12</v>
      </c>
      <c r="D1209" s="8" t="s">
        <v>61</v>
      </c>
      <c r="E1209" s="36">
        <v>12</v>
      </c>
      <c r="F1209" s="36">
        <v>12</v>
      </c>
      <c r="G1209" s="584" t="s">
        <v>184</v>
      </c>
    </row>
    <row r="1210" spans="1:7" ht="15">
      <c r="A1210" s="20">
        <v>5636</v>
      </c>
      <c r="B1210" s="34" t="s">
        <v>202</v>
      </c>
      <c r="C1210" s="34" t="s">
        <v>2604</v>
      </c>
      <c r="D1210" s="103">
        <v>2050</v>
      </c>
      <c r="E1210" s="36">
        <v>0.41</v>
      </c>
      <c r="F1210" s="36">
        <v>0.33</v>
      </c>
      <c r="G1210" s="685" t="s">
        <v>2605</v>
      </c>
    </row>
    <row r="1211" spans="1:7" ht="15">
      <c r="A1211" s="20"/>
      <c r="B1211" s="97"/>
      <c r="C1211" s="20" t="s">
        <v>2606</v>
      </c>
      <c r="D1211" s="8" t="s">
        <v>61</v>
      </c>
      <c r="E1211" s="36">
        <v>300</v>
      </c>
      <c r="F1211" s="36">
        <v>270</v>
      </c>
      <c r="G1211" s="686" t="s">
        <v>2607</v>
      </c>
    </row>
    <row r="1212" spans="1:7" ht="15">
      <c r="A1212" s="20"/>
      <c r="B1212" s="97"/>
      <c r="C1212" s="20" t="s">
        <v>12</v>
      </c>
      <c r="D1212" s="8" t="s">
        <v>61</v>
      </c>
      <c r="E1212" s="36">
        <v>12</v>
      </c>
      <c r="F1212" s="36">
        <v>12</v>
      </c>
      <c r="G1212" s="686" t="s">
        <v>2608</v>
      </c>
    </row>
    <row r="1213" spans="1:7" ht="15">
      <c r="A1213" s="20">
        <v>5636</v>
      </c>
      <c r="B1213" s="34" t="s">
        <v>202</v>
      </c>
      <c r="C1213" s="34" t="s">
        <v>2604</v>
      </c>
      <c r="D1213" s="103">
        <v>450</v>
      </c>
      <c r="E1213" s="36">
        <v>0.41</v>
      </c>
      <c r="F1213" s="36">
        <v>0.33</v>
      </c>
      <c r="G1213" s="685" t="s">
        <v>2605</v>
      </c>
    </row>
    <row r="1215" spans="1:7">
      <c r="A1215" s="84" t="s">
        <v>44</v>
      </c>
      <c r="B1215" s="84" t="s">
        <v>108</v>
      </c>
      <c r="C1215" s="681" t="s">
        <v>204</v>
      </c>
      <c r="D1215" s="681" t="s">
        <v>109</v>
      </c>
      <c r="E1215" s="681" t="s">
        <v>288</v>
      </c>
      <c r="F1215" s="681" t="s">
        <v>289</v>
      </c>
      <c r="G1215" s="681" t="s">
        <v>183</v>
      </c>
    </row>
    <row r="1216" spans="1:7" ht="15">
      <c r="A1216" s="20">
        <v>1100</v>
      </c>
      <c r="B1216" s="34">
        <v>40</v>
      </c>
      <c r="C1216" s="20" t="s">
        <v>123</v>
      </c>
      <c r="D1216" s="8">
        <v>30</v>
      </c>
      <c r="E1216" s="33">
        <v>10</v>
      </c>
      <c r="F1216" s="8">
        <v>300</v>
      </c>
      <c r="G1216" s="124" t="s">
        <v>2609</v>
      </c>
    </row>
    <row r="1217" spans="1:6" ht="21">
      <c r="D1217" ph="1"/>
      <c r="F1217" ph="1"/>
    </row>
    <row r="1220" spans="1:6" ht="15">
      <c r="A1220" s="79" t="s">
        <v>205</v>
      </c>
      <c r="B1220" s="79" t="s">
        <v>160</v>
      </c>
      <c r="C1220" s="79" t="s">
        <v>95</v>
      </c>
      <c r="D1220" s="79" t="s">
        <v>35</v>
      </c>
    </row>
    <row r="1221" spans="1:6" ht="15">
      <c r="A1221" s="20" t="s">
        <v>2610</v>
      </c>
      <c r="B1221" s="22" t="s">
        <v>202</v>
      </c>
      <c r="C1221" s="20" t="s">
        <v>1889</v>
      </c>
      <c r="D1221" s="8">
        <v>5</v>
      </c>
    </row>
    <row r="1222" spans="1:6" ht="15">
      <c r="A1222" s="20" t="s">
        <v>2610</v>
      </c>
      <c r="B1222" s="22" t="s">
        <v>202</v>
      </c>
      <c r="C1222" s="20" t="s">
        <v>151</v>
      </c>
      <c r="D1222" s="8">
        <v>5</v>
      </c>
    </row>
    <row r="1223" spans="1:6" ht="15">
      <c r="A1223" s="79" t="s">
        <v>205</v>
      </c>
      <c r="B1223" s="79" t="s">
        <v>160</v>
      </c>
      <c r="C1223" s="79" t="s">
        <v>95</v>
      </c>
      <c r="D1223" s="79" t="s">
        <v>35</v>
      </c>
    </row>
    <row r="1224" spans="1:6" ht="15">
      <c r="A1224" s="20">
        <v>9527</v>
      </c>
      <c r="B1224" s="22"/>
      <c r="C1224" s="20" t="s">
        <v>2611</v>
      </c>
      <c r="D1224" s="8">
        <v>5</v>
      </c>
    </row>
    <row r="1225" spans="1:6" ht="15">
      <c r="A1225" s="20">
        <v>9527</v>
      </c>
      <c r="B1225" s="22"/>
      <c r="C1225" s="20" t="s">
        <v>1886</v>
      </c>
      <c r="D1225" s="8">
        <v>5</v>
      </c>
    </row>
    <row r="1226" spans="1:6" ht="15">
      <c r="A1226" s="20">
        <v>9527</v>
      </c>
      <c r="B1226" s="22"/>
      <c r="C1226" s="20" t="s">
        <v>88</v>
      </c>
      <c r="D1226" s="8">
        <v>5</v>
      </c>
    </row>
    <row r="1227" spans="1:6" ht="15">
      <c r="A1227" s="20">
        <v>9527</v>
      </c>
      <c r="B1227" s="22"/>
      <c r="C1227" s="20" t="s">
        <v>1888</v>
      </c>
      <c r="D1227" s="8">
        <v>5</v>
      </c>
    </row>
    <row r="1228" spans="1:6" ht="15">
      <c r="A1228" s="20">
        <v>9527</v>
      </c>
      <c r="B1228" s="22"/>
      <c r="C1228" s="20" t="s">
        <v>1887</v>
      </c>
      <c r="D1228" s="8">
        <v>5</v>
      </c>
    </row>
    <row r="1229" spans="1:6" ht="15">
      <c r="A1229" s="18"/>
      <c r="B1229" s="13"/>
      <c r="C1229" s="20"/>
      <c r="D1229" s="103"/>
    </row>
    <row r="1230" spans="1:6" ht="15">
      <c r="A1230" s="20">
        <v>4255</v>
      </c>
      <c r="B1230" s="22">
        <v>50</v>
      </c>
      <c r="C1230" s="20" t="s">
        <v>118</v>
      </c>
      <c r="D1230" s="8">
        <v>5</v>
      </c>
    </row>
    <row r="1231" spans="1:6" ht="15">
      <c r="A1231" s="20">
        <v>4255</v>
      </c>
      <c r="B1231" s="22">
        <v>50</v>
      </c>
      <c r="C1231" s="20" t="s">
        <v>1890</v>
      </c>
      <c r="D1231" s="8">
        <v>5</v>
      </c>
    </row>
    <row r="1234" spans="1:4" ht="15">
      <c r="A1234" s="79" t="s">
        <v>2612</v>
      </c>
      <c r="B1234" s="79" t="s">
        <v>160</v>
      </c>
      <c r="C1234" s="110" t="s">
        <v>2613</v>
      </c>
      <c r="D1234" s="79" t="s">
        <v>35</v>
      </c>
    </row>
    <row r="1235" spans="1:4" ht="15">
      <c r="A1235" s="20" t="s">
        <v>2614</v>
      </c>
      <c r="B1235" s="687">
        <v>1.5</v>
      </c>
      <c r="C1235" s="135" t="s">
        <v>2615</v>
      </c>
      <c r="D1235" s="8">
        <v>35</v>
      </c>
    </row>
    <row r="1236" spans="1:4" ht="15">
      <c r="A1236" s="20" t="s">
        <v>2614</v>
      </c>
      <c r="B1236" s="687">
        <v>2.5</v>
      </c>
      <c r="C1236" s="135" t="s">
        <v>2615</v>
      </c>
      <c r="D1236" s="8">
        <v>35</v>
      </c>
    </row>
    <row r="1237" spans="1:4" ht="15">
      <c r="A1237" s="20" t="s">
        <v>2614</v>
      </c>
      <c r="B1237" s="687">
        <v>3.75</v>
      </c>
      <c r="C1237" s="135" t="s">
        <v>2615</v>
      </c>
      <c r="D1237" s="8">
        <v>35</v>
      </c>
    </row>
    <row r="1238" spans="1:4" ht="15">
      <c r="A1238" s="20" t="s">
        <v>2616</v>
      </c>
      <c r="B1238" s="687">
        <v>1.5</v>
      </c>
      <c r="C1238" s="135" t="s">
        <v>2617</v>
      </c>
      <c r="D1238" s="8">
        <v>35</v>
      </c>
    </row>
    <row r="1239" spans="1:4" ht="15">
      <c r="A1239" s="20" t="s">
        <v>2616</v>
      </c>
      <c r="B1239" s="687">
        <v>2.5</v>
      </c>
      <c r="C1239" s="135" t="s">
        <v>2617</v>
      </c>
      <c r="D1239" s="8">
        <v>35</v>
      </c>
    </row>
    <row r="1240" spans="1:4" ht="15">
      <c r="A1240" s="20" t="s">
        <v>2616</v>
      </c>
      <c r="B1240" s="687">
        <v>3.75</v>
      </c>
      <c r="C1240" s="135" t="s">
        <v>2617</v>
      </c>
      <c r="D1240" s="8">
        <v>35</v>
      </c>
    </row>
    <row r="1241" spans="1:4" ht="15">
      <c r="A1241" s="20" t="s">
        <v>2618</v>
      </c>
      <c r="B1241" s="687">
        <v>1.5</v>
      </c>
      <c r="C1241" s="135" t="s">
        <v>2619</v>
      </c>
      <c r="D1241" s="8">
        <v>35</v>
      </c>
    </row>
    <row r="1242" spans="1:4" ht="15">
      <c r="A1242" s="20" t="s">
        <v>2618</v>
      </c>
      <c r="B1242" s="687">
        <v>2.5</v>
      </c>
      <c r="C1242" s="135" t="s">
        <v>2619</v>
      </c>
      <c r="D1242" s="8">
        <v>35</v>
      </c>
    </row>
    <row r="1243" spans="1:4" ht="15">
      <c r="A1243" s="20" t="s">
        <v>2618</v>
      </c>
      <c r="B1243" s="687">
        <v>3.75</v>
      </c>
      <c r="C1243" s="135" t="s">
        <v>2619</v>
      </c>
      <c r="D1243" s="8">
        <v>35</v>
      </c>
    </row>
    <row r="1244" spans="1:4" ht="15">
      <c r="A1244" s="20" t="s">
        <v>2620</v>
      </c>
      <c r="B1244" s="687">
        <v>1.5</v>
      </c>
      <c r="C1244" s="135" t="s">
        <v>2621</v>
      </c>
      <c r="D1244" s="8">
        <v>35</v>
      </c>
    </row>
    <row r="1245" spans="1:4" ht="15">
      <c r="A1245" s="20" t="s">
        <v>2620</v>
      </c>
      <c r="B1245" s="687">
        <v>2.5</v>
      </c>
      <c r="C1245" s="135" t="s">
        <v>2621</v>
      </c>
      <c r="D1245" s="8">
        <v>35</v>
      </c>
    </row>
    <row r="1246" spans="1:4" ht="15">
      <c r="A1246" s="20" t="s">
        <v>2620</v>
      </c>
      <c r="B1246" s="687">
        <v>3.75</v>
      </c>
      <c r="C1246" s="135" t="s">
        <v>2621</v>
      </c>
      <c r="D1246" s="8">
        <v>35</v>
      </c>
    </row>
    <row r="1247" spans="1:4" ht="15">
      <c r="A1247" s="20" t="s">
        <v>2622</v>
      </c>
      <c r="B1247" s="687">
        <v>1.5</v>
      </c>
      <c r="C1247" s="135" t="s">
        <v>2623</v>
      </c>
      <c r="D1247" s="8">
        <v>35</v>
      </c>
    </row>
    <row r="1248" spans="1:4" ht="15">
      <c r="A1248" s="20" t="s">
        <v>2622</v>
      </c>
      <c r="B1248" s="687">
        <v>2.5</v>
      </c>
      <c r="C1248" s="135" t="s">
        <v>2623</v>
      </c>
      <c r="D1248" s="8">
        <v>35</v>
      </c>
    </row>
    <row r="1249" spans="1:4" ht="15">
      <c r="A1249" s="20" t="s">
        <v>2622</v>
      </c>
      <c r="B1249" s="687">
        <v>3.75</v>
      </c>
      <c r="C1249" s="135" t="s">
        <v>2623</v>
      </c>
      <c r="D1249" s="8">
        <v>35</v>
      </c>
    </row>
    <row r="1250" spans="1:4" ht="15">
      <c r="A1250" s="20" t="s">
        <v>2624</v>
      </c>
      <c r="B1250" s="687">
        <v>1.5</v>
      </c>
      <c r="C1250" s="135" t="s">
        <v>2625</v>
      </c>
      <c r="D1250" s="8">
        <v>35</v>
      </c>
    </row>
    <row r="1251" spans="1:4" ht="15">
      <c r="A1251" s="20" t="s">
        <v>2624</v>
      </c>
      <c r="B1251" s="687">
        <v>2.5</v>
      </c>
      <c r="C1251" s="135" t="s">
        <v>2625</v>
      </c>
      <c r="D1251" s="8">
        <v>35</v>
      </c>
    </row>
    <row r="1252" spans="1:4" ht="15">
      <c r="A1252" s="20" t="s">
        <v>2624</v>
      </c>
      <c r="B1252" s="687">
        <v>3.75</v>
      </c>
      <c r="C1252" s="135" t="s">
        <v>2625</v>
      </c>
      <c r="D1252" s="8">
        <v>35</v>
      </c>
    </row>
    <row r="1256" spans="1:4" ht="15">
      <c r="A1256" s="20" t="s">
        <v>2614</v>
      </c>
      <c r="B1256" s="687">
        <v>2.5</v>
      </c>
      <c r="C1256" s="135" t="s">
        <v>2626</v>
      </c>
      <c r="D1256" s="8">
        <v>30</v>
      </c>
    </row>
    <row r="1257" spans="1:4" ht="15">
      <c r="A1257" s="20" t="s">
        <v>2616</v>
      </c>
      <c r="B1257" s="687">
        <v>2.5</v>
      </c>
      <c r="C1257" s="135" t="s">
        <v>2627</v>
      </c>
      <c r="D1257" s="8">
        <v>30</v>
      </c>
    </row>
    <row r="1258" spans="1:4" ht="15">
      <c r="A1258" s="20" t="s">
        <v>2618</v>
      </c>
      <c r="B1258" s="687">
        <v>2.5</v>
      </c>
      <c r="C1258" s="135" t="s">
        <v>2628</v>
      </c>
      <c r="D1258" s="8">
        <v>30</v>
      </c>
    </row>
    <row r="1259" spans="1:4" ht="15">
      <c r="A1259" s="20" t="s">
        <v>2620</v>
      </c>
      <c r="B1259" s="687">
        <v>2.5</v>
      </c>
      <c r="C1259" s="135" t="s">
        <v>2629</v>
      </c>
      <c r="D1259" s="8">
        <v>30</v>
      </c>
    </row>
    <row r="1260" spans="1:4" ht="15">
      <c r="A1260" s="20" t="s">
        <v>2622</v>
      </c>
      <c r="B1260" s="687">
        <v>2.5</v>
      </c>
      <c r="C1260" s="135" t="s">
        <v>2630</v>
      </c>
      <c r="D1260" s="8">
        <v>30</v>
      </c>
    </row>
    <row r="1261" spans="1:4" ht="15">
      <c r="A1261" s="20" t="s">
        <v>2624</v>
      </c>
      <c r="B1261" s="687">
        <v>2.5</v>
      </c>
      <c r="C1261" s="135" t="s">
        <v>2631</v>
      </c>
      <c r="D1261" s="8">
        <v>30</v>
      </c>
    </row>
    <row r="1262" spans="1:4" ht="15">
      <c r="A1262" s="20" t="s">
        <v>2614</v>
      </c>
      <c r="B1262" s="687">
        <v>3.75</v>
      </c>
      <c r="C1262" s="135" t="s">
        <v>2626</v>
      </c>
      <c r="D1262" s="8">
        <v>30</v>
      </c>
    </row>
    <row r="1263" spans="1:4" ht="15">
      <c r="A1263" s="20" t="s">
        <v>2616</v>
      </c>
      <c r="B1263" s="687">
        <v>3.75</v>
      </c>
      <c r="C1263" s="135" t="s">
        <v>2627</v>
      </c>
      <c r="D1263" s="8">
        <v>30</v>
      </c>
    </row>
    <row r="1264" spans="1:4" ht="15">
      <c r="A1264" s="20" t="s">
        <v>2618</v>
      </c>
      <c r="B1264" s="687">
        <v>3.75</v>
      </c>
      <c r="C1264" s="135" t="s">
        <v>2628</v>
      </c>
      <c r="D1264" s="8">
        <v>30</v>
      </c>
    </row>
    <row r="1265" spans="1:5" ht="15">
      <c r="A1265" s="20" t="s">
        <v>2620</v>
      </c>
      <c r="B1265" s="687">
        <v>3.75</v>
      </c>
      <c r="C1265" s="135" t="s">
        <v>2629</v>
      </c>
      <c r="D1265" s="8">
        <v>30</v>
      </c>
    </row>
    <row r="1266" spans="1:5" ht="15">
      <c r="A1266" s="20" t="s">
        <v>2622</v>
      </c>
      <c r="B1266" s="687">
        <v>3.75</v>
      </c>
      <c r="C1266" s="135" t="s">
        <v>2630</v>
      </c>
      <c r="D1266" s="8">
        <v>30</v>
      </c>
    </row>
    <row r="1267" spans="1:5" ht="15">
      <c r="A1267" s="20" t="s">
        <v>2624</v>
      </c>
      <c r="B1267" s="687">
        <v>3.75</v>
      </c>
      <c r="C1267" s="135" t="s">
        <v>2631</v>
      </c>
      <c r="D1267" s="8">
        <v>30</v>
      </c>
    </row>
    <row r="1270" spans="1:5" ht="15">
      <c r="A1270" s="79" t="s">
        <v>2612</v>
      </c>
      <c r="B1270" s="79" t="s">
        <v>160</v>
      </c>
      <c r="C1270" s="80" t="s">
        <v>34</v>
      </c>
      <c r="D1270" s="80" t="s">
        <v>35</v>
      </c>
      <c r="E1270" s="81" t="s">
        <v>2308</v>
      </c>
    </row>
    <row r="1271" spans="1:5" ht="15">
      <c r="A1271" s="20" t="s">
        <v>274</v>
      </c>
      <c r="B1271" s="22">
        <v>6</v>
      </c>
      <c r="C1271" s="20" t="s">
        <v>2632</v>
      </c>
      <c r="D1271" s="8">
        <v>120</v>
      </c>
      <c r="E1271" s="36">
        <v>2.1800000000000002</v>
      </c>
    </row>
    <row r="1272" spans="1:5" ht="15">
      <c r="A1272" s="46"/>
      <c r="B1272" s="20" t="s">
        <v>12</v>
      </c>
      <c r="C1272" s="20"/>
      <c r="D1272" s="8" t="s">
        <v>61</v>
      </c>
      <c r="E1272" s="36">
        <v>12</v>
      </c>
    </row>
    <row r="1276" spans="1:5" ht="15">
      <c r="A1276" s="79" t="s">
        <v>2612</v>
      </c>
      <c r="B1276" s="80" t="s">
        <v>34</v>
      </c>
      <c r="C1276" s="80" t="s">
        <v>35</v>
      </c>
      <c r="D1276" s="81" t="s">
        <v>2308</v>
      </c>
    </row>
    <row r="1277" spans="1:5" ht="15">
      <c r="A1277" s="20" t="s">
        <v>2633</v>
      </c>
      <c r="B1277" s="34" t="s">
        <v>96</v>
      </c>
      <c r="C1277" s="57">
        <v>15</v>
      </c>
      <c r="D1277" s="36">
        <v>3.74</v>
      </c>
    </row>
    <row r="1278" spans="1:5" ht="15">
      <c r="A1278" s="20" t="s">
        <v>2634</v>
      </c>
      <c r="B1278" s="34" t="s">
        <v>96</v>
      </c>
      <c r="C1278" s="57">
        <v>5</v>
      </c>
      <c r="D1278" s="36">
        <v>3.84</v>
      </c>
    </row>
    <row r="1279" spans="1:5" ht="15">
      <c r="A1279" s="20" t="s">
        <v>2635</v>
      </c>
      <c r="B1279" s="34" t="s">
        <v>96</v>
      </c>
      <c r="C1279" s="57">
        <v>5</v>
      </c>
      <c r="D1279" s="36">
        <v>5.34</v>
      </c>
    </row>
    <row r="1280" spans="1:5" ht="15">
      <c r="A1280" s="20" t="s">
        <v>2636</v>
      </c>
      <c r="B1280" s="34" t="s">
        <v>96</v>
      </c>
      <c r="C1280" s="57">
        <v>10</v>
      </c>
      <c r="D1280" s="36">
        <v>5.93</v>
      </c>
    </row>
    <row r="1281" spans="1:8" ht="15">
      <c r="A1281" s="20" t="s">
        <v>2637</v>
      </c>
      <c r="B1281" s="34" t="s">
        <v>96</v>
      </c>
      <c r="C1281" s="57">
        <v>5</v>
      </c>
      <c r="D1281" s="36">
        <v>6.65</v>
      </c>
    </row>
    <row r="1282" spans="1:8" ht="15">
      <c r="A1282" s="46"/>
      <c r="B1282" s="34" t="s">
        <v>12</v>
      </c>
      <c r="C1282" s="8" t="s">
        <v>61</v>
      </c>
      <c r="D1282" s="36">
        <v>12</v>
      </c>
    </row>
    <row r="1285" spans="1:8" ht="15">
      <c r="A1285" s="79" t="s">
        <v>2612</v>
      </c>
      <c r="B1285" s="80" t="s">
        <v>34</v>
      </c>
      <c r="C1285" s="80" t="s">
        <v>35</v>
      </c>
    </row>
    <row r="1286" spans="1:8" ht="15">
      <c r="A1286" s="20" t="s">
        <v>1880</v>
      </c>
      <c r="B1286" s="34" t="s">
        <v>196</v>
      </c>
      <c r="C1286" s="103">
        <v>12</v>
      </c>
    </row>
    <row r="1287" spans="1:8" ht="15">
      <c r="A1287" s="20" t="s">
        <v>1880</v>
      </c>
      <c r="B1287" s="34" t="s">
        <v>1881</v>
      </c>
      <c r="C1287" s="103">
        <v>24.5</v>
      </c>
    </row>
    <row r="1291" spans="1:8" ht="15">
      <c r="A1291" s="79" t="s">
        <v>2612</v>
      </c>
    </row>
    <row r="1292" spans="1:8" ht="15">
      <c r="A1292" s="84" t="s">
        <v>2638</v>
      </c>
      <c r="B1292" s="79" t="s">
        <v>2612</v>
      </c>
      <c r="C1292" s="79" t="s">
        <v>160</v>
      </c>
      <c r="D1292" s="80" t="s">
        <v>34</v>
      </c>
      <c r="E1292" s="80" t="s">
        <v>2</v>
      </c>
      <c r="F1292" s="80" t="s">
        <v>113</v>
      </c>
      <c r="G1292" s="80" t="s">
        <v>112</v>
      </c>
      <c r="H1292" s="85" t="s">
        <v>298</v>
      </c>
    </row>
    <row r="1293" spans="1:8" ht="15">
      <c r="A1293" s="20" t="s">
        <v>2639</v>
      </c>
      <c r="B1293" s="20" t="s">
        <v>1891</v>
      </c>
      <c r="C1293" s="133" t="s">
        <v>14</v>
      </c>
      <c r="D1293" s="20" t="s">
        <v>1893</v>
      </c>
      <c r="E1293" s="103">
        <v>30</v>
      </c>
      <c r="F1293" s="104">
        <v>8</v>
      </c>
      <c r="G1293" s="8">
        <v>240</v>
      </c>
      <c r="H1293" s="688" t="s">
        <v>2640</v>
      </c>
    </row>
    <row r="1294" spans="1:8" ht="15">
      <c r="A1294" s="20" t="s">
        <v>2639</v>
      </c>
      <c r="B1294" s="20" t="s">
        <v>1891</v>
      </c>
      <c r="C1294" s="13">
        <v>15</v>
      </c>
      <c r="D1294" s="20" t="s">
        <v>1893</v>
      </c>
      <c r="E1294" s="103">
        <v>30</v>
      </c>
      <c r="F1294" s="104">
        <v>20</v>
      </c>
      <c r="G1294" s="8">
        <v>600</v>
      </c>
      <c r="H1294" s="688" t="s">
        <v>2640</v>
      </c>
    </row>
    <row r="1295" spans="1:8" ht="15">
      <c r="A1295" s="20" t="s">
        <v>2639</v>
      </c>
      <c r="B1295" s="20" t="s">
        <v>1891</v>
      </c>
      <c r="C1295" s="13">
        <v>15</v>
      </c>
      <c r="D1295" s="20" t="s">
        <v>1892</v>
      </c>
      <c r="E1295" s="103">
        <v>30</v>
      </c>
      <c r="F1295" s="104">
        <v>43</v>
      </c>
      <c r="G1295" s="8">
        <v>1290</v>
      </c>
      <c r="H1295" s="688" t="s">
        <v>2640</v>
      </c>
    </row>
    <row r="1296" spans="1:8" ht="15">
      <c r="A1296" s="150"/>
      <c r="B1296" s="174"/>
      <c r="C1296" s="152"/>
      <c r="D1296" s="152"/>
      <c r="E1296" s="154"/>
      <c r="F1296" s="155"/>
      <c r="G1296" s="153"/>
      <c r="H1296" s="153"/>
    </row>
    <row r="1297" spans="1:8" ht="15">
      <c r="A1297" s="20" t="s">
        <v>2641</v>
      </c>
      <c r="B1297" s="20" t="s">
        <v>1891</v>
      </c>
      <c r="C1297" s="133" t="s">
        <v>14</v>
      </c>
      <c r="D1297" s="20" t="s">
        <v>1892</v>
      </c>
      <c r="E1297" s="103">
        <v>30</v>
      </c>
      <c r="F1297" s="104">
        <v>57</v>
      </c>
      <c r="G1297" s="8">
        <v>1710</v>
      </c>
      <c r="H1297" s="688" t="s">
        <v>2642</v>
      </c>
    </row>
    <row r="1298" spans="1:8" ht="15">
      <c r="A1298" s="20" t="s">
        <v>2641</v>
      </c>
      <c r="B1298" s="20" t="s">
        <v>1891</v>
      </c>
      <c r="C1298" s="13">
        <v>15</v>
      </c>
      <c r="D1298" s="20" t="s">
        <v>1892</v>
      </c>
      <c r="E1298" s="103">
        <v>30</v>
      </c>
      <c r="F1298" s="104">
        <v>67</v>
      </c>
      <c r="G1298" s="8">
        <v>2010</v>
      </c>
      <c r="H1298" s="688" t="s">
        <v>2643</v>
      </c>
    </row>
    <row r="1299" spans="1:8" ht="15">
      <c r="A1299" s="20" t="s">
        <v>2641</v>
      </c>
      <c r="B1299" s="20" t="s">
        <v>1891</v>
      </c>
      <c r="C1299" s="13">
        <v>18</v>
      </c>
      <c r="D1299" s="20" t="s">
        <v>1892</v>
      </c>
      <c r="E1299" s="103">
        <v>30</v>
      </c>
      <c r="F1299" s="104">
        <v>9</v>
      </c>
      <c r="G1299" s="8">
        <v>270</v>
      </c>
      <c r="H1299" s="688" t="s">
        <v>2640</v>
      </c>
    </row>
    <row r="1302" spans="1:8" ht="15">
      <c r="A1302" s="79" t="s">
        <v>2612</v>
      </c>
      <c r="B1302" s="79" t="s">
        <v>160</v>
      </c>
      <c r="C1302" s="80" t="s">
        <v>34</v>
      </c>
      <c r="D1302" s="80" t="s">
        <v>35</v>
      </c>
      <c r="E1302" s="80" t="s">
        <v>106</v>
      </c>
    </row>
    <row r="1303" spans="1:8" ht="15">
      <c r="A1303" s="20">
        <v>9527</v>
      </c>
      <c r="B1303" s="22"/>
      <c r="C1303" s="20" t="s">
        <v>165</v>
      </c>
      <c r="D1303" s="8">
        <v>5</v>
      </c>
      <c r="E1303" s="689" t="s">
        <v>2644</v>
      </c>
    </row>
    <row r="1304" spans="1:8" ht="15">
      <c r="A1304" s="20">
        <v>9527</v>
      </c>
      <c r="B1304" s="22"/>
      <c r="C1304" s="20" t="s">
        <v>1899</v>
      </c>
      <c r="D1304" s="8">
        <v>5</v>
      </c>
      <c r="E1304" s="689" t="s">
        <v>2644</v>
      </c>
    </row>
    <row r="1305" spans="1:8" ht="15">
      <c r="A1305" s="20">
        <v>9527</v>
      </c>
      <c r="B1305" s="22"/>
      <c r="C1305" s="20" t="s">
        <v>1900</v>
      </c>
      <c r="D1305" s="8">
        <v>5</v>
      </c>
      <c r="E1305" s="689" t="s">
        <v>2644</v>
      </c>
    </row>
    <row r="1306" spans="1:8" ht="15">
      <c r="A1306" s="79" t="s">
        <v>2612</v>
      </c>
      <c r="B1306" s="79" t="s">
        <v>160</v>
      </c>
      <c r="C1306" s="80" t="s">
        <v>34</v>
      </c>
      <c r="D1306" s="80" t="s">
        <v>35</v>
      </c>
      <c r="E1306" s="689"/>
    </row>
    <row r="1307" spans="1:8" ht="15">
      <c r="A1307" s="20">
        <v>5637</v>
      </c>
      <c r="B1307" s="22" t="s">
        <v>202</v>
      </c>
      <c r="C1307" s="20" t="s">
        <v>173</v>
      </c>
      <c r="D1307" s="8">
        <v>5</v>
      </c>
      <c r="E1307" s="689" t="s">
        <v>2645</v>
      </c>
    </row>
    <row r="1308" spans="1:8" ht="15">
      <c r="A1308" s="20">
        <v>5637</v>
      </c>
      <c r="B1308" s="22" t="s">
        <v>202</v>
      </c>
      <c r="C1308" s="20" t="s">
        <v>217</v>
      </c>
      <c r="D1308" s="8">
        <v>5</v>
      </c>
      <c r="E1308" s="689" t="s">
        <v>2645</v>
      </c>
    </row>
    <row r="1309" spans="1:8" ht="15">
      <c r="A1309" s="20">
        <v>5637</v>
      </c>
      <c r="B1309" s="22" t="s">
        <v>202</v>
      </c>
      <c r="C1309" s="20" t="s">
        <v>1901</v>
      </c>
      <c r="D1309" s="8">
        <v>5</v>
      </c>
      <c r="E1309" s="689" t="s">
        <v>2645</v>
      </c>
    </row>
    <row r="1310" spans="1:8" ht="15">
      <c r="A1310" s="20">
        <v>5637</v>
      </c>
      <c r="B1310" s="22" t="s">
        <v>202</v>
      </c>
      <c r="C1310" s="20" t="s">
        <v>1902</v>
      </c>
      <c r="D1310" s="8">
        <v>5</v>
      </c>
      <c r="E1310" s="689" t="s">
        <v>2645</v>
      </c>
    </row>
    <row r="1315" spans="1:4" ht="15">
      <c r="A1315" s="690" t="s">
        <v>2646</v>
      </c>
      <c r="B1315" s="80"/>
      <c r="C1315" s="80"/>
      <c r="D1315" s="81"/>
    </row>
    <row r="1316" spans="1:4" ht="15">
      <c r="A1316" s="79" t="s">
        <v>2612</v>
      </c>
      <c r="B1316" s="80" t="s">
        <v>34</v>
      </c>
      <c r="C1316" s="80" t="s">
        <v>35</v>
      </c>
      <c r="D1316" s="81" t="s">
        <v>2647</v>
      </c>
    </row>
    <row r="1317" spans="1:4" ht="15">
      <c r="A1317" s="45" t="s">
        <v>1907</v>
      </c>
      <c r="B1317" s="34" t="s">
        <v>2648</v>
      </c>
      <c r="C1317" s="103">
        <v>30</v>
      </c>
      <c r="D1317" s="36">
        <v>4.5999999999999996</v>
      </c>
    </row>
    <row r="1318" spans="1:4" ht="15">
      <c r="A1318" s="45" t="s">
        <v>1907</v>
      </c>
      <c r="B1318" s="34" t="s">
        <v>2649</v>
      </c>
      <c r="C1318" s="103">
        <v>30</v>
      </c>
      <c r="D1318" s="36">
        <v>4.5999999999999996</v>
      </c>
    </row>
    <row r="1319" spans="1:4" ht="15">
      <c r="A1319" s="45" t="s">
        <v>1910</v>
      </c>
      <c r="B1319" s="34" t="s">
        <v>2648</v>
      </c>
      <c r="C1319" s="103">
        <v>30</v>
      </c>
      <c r="D1319" s="36">
        <v>5.65</v>
      </c>
    </row>
    <row r="1320" spans="1:4" ht="15">
      <c r="A1320" s="45" t="s">
        <v>1910</v>
      </c>
      <c r="B1320" s="34" t="s">
        <v>2649</v>
      </c>
      <c r="C1320" s="103">
        <v>30</v>
      </c>
      <c r="D1320" s="36">
        <v>5.65</v>
      </c>
    </row>
    <row r="1321" spans="1:4" ht="15">
      <c r="A1321" s="45" t="s">
        <v>1912</v>
      </c>
      <c r="B1321" s="34" t="s">
        <v>2648</v>
      </c>
      <c r="C1321" s="103">
        <v>30</v>
      </c>
      <c r="D1321" s="36">
        <v>6.03</v>
      </c>
    </row>
    <row r="1322" spans="1:4" ht="15">
      <c r="A1322" s="45" t="s">
        <v>1912</v>
      </c>
      <c r="B1322" s="34" t="s">
        <v>2649</v>
      </c>
      <c r="C1322" s="103">
        <v>30</v>
      </c>
      <c r="D1322" s="36">
        <v>6.03</v>
      </c>
    </row>
    <row r="1323" spans="1:4" ht="15">
      <c r="A1323" s="45" t="s">
        <v>1913</v>
      </c>
      <c r="B1323" s="34" t="s">
        <v>2648</v>
      </c>
      <c r="C1323" s="103">
        <v>30</v>
      </c>
      <c r="D1323" s="36">
        <v>4.59</v>
      </c>
    </row>
    <row r="1324" spans="1:4" ht="15">
      <c r="A1324" s="45" t="s">
        <v>1913</v>
      </c>
      <c r="B1324" s="34" t="s">
        <v>2649</v>
      </c>
      <c r="C1324" s="103">
        <v>30</v>
      </c>
      <c r="D1324" s="36">
        <v>4.59</v>
      </c>
    </row>
    <row r="1325" spans="1:4" ht="15">
      <c r="A1325" s="20"/>
      <c r="B1325" s="34" t="s">
        <v>186</v>
      </c>
      <c r="C1325" s="162" t="s">
        <v>2650</v>
      </c>
      <c r="D1325" s="36">
        <v>80</v>
      </c>
    </row>
    <row r="1326" spans="1:4" ht="15">
      <c r="A1326" s="690" t="s">
        <v>2651</v>
      </c>
      <c r="B1326" s="34"/>
      <c r="C1326" s="162"/>
      <c r="D1326" s="36"/>
    </row>
    <row r="1327" spans="1:4" ht="15">
      <c r="A1327" s="79" t="s">
        <v>2612</v>
      </c>
      <c r="B1327" s="80" t="s">
        <v>34</v>
      </c>
      <c r="C1327" s="80" t="s">
        <v>35</v>
      </c>
      <c r="D1327" s="81" t="s">
        <v>2308</v>
      </c>
    </row>
    <row r="1328" spans="1:4" ht="15">
      <c r="A1328" s="20" t="s">
        <v>1903</v>
      </c>
      <c r="B1328" s="34" t="s">
        <v>2648</v>
      </c>
      <c r="C1328" s="103">
        <v>50</v>
      </c>
      <c r="D1328" s="36">
        <v>2.04</v>
      </c>
    </row>
    <row r="1329" spans="1:8" ht="15">
      <c r="A1329" s="20" t="s">
        <v>1903</v>
      </c>
      <c r="B1329" s="34" t="s">
        <v>2649</v>
      </c>
      <c r="C1329" s="103">
        <v>50</v>
      </c>
      <c r="D1329" s="36">
        <v>2.04</v>
      </c>
    </row>
    <row r="1330" spans="1:8" ht="15">
      <c r="A1330" s="20"/>
      <c r="B1330" s="34" t="s">
        <v>186</v>
      </c>
      <c r="C1330" s="162" t="s">
        <v>2652</v>
      </c>
      <c r="D1330" s="36">
        <v>250</v>
      </c>
    </row>
    <row r="1331" spans="1:8" ht="15">
      <c r="A1331" s="20"/>
      <c r="B1331" s="34" t="s">
        <v>12</v>
      </c>
      <c r="C1331" s="35">
        <v>1</v>
      </c>
      <c r="D1331" s="36">
        <v>12</v>
      </c>
    </row>
    <row r="1333" spans="1:8" ht="14.25" thickBot="1"/>
    <row r="1334" spans="1:8" ht="15.75" thickBot="1">
      <c r="A1334" s="1312" t="s">
        <v>2653</v>
      </c>
      <c r="B1334" s="1314" t="s">
        <v>2654</v>
      </c>
      <c r="C1334" s="1315"/>
      <c r="D1334" s="1315"/>
      <c r="E1334" s="1316"/>
      <c r="F1334" s="691" t="s">
        <v>2655</v>
      </c>
      <c r="G1334" s="692" t="s">
        <v>306</v>
      </c>
      <c r="H1334" s="1312" t="s">
        <v>2656</v>
      </c>
    </row>
    <row r="1335" spans="1:8" ht="15.75" thickBot="1">
      <c r="A1335" s="1313"/>
      <c r="B1335" s="693" t="s">
        <v>2657</v>
      </c>
      <c r="C1335" s="693" t="s">
        <v>2658</v>
      </c>
      <c r="D1335" s="693" t="s">
        <v>2659</v>
      </c>
      <c r="E1335" s="693" t="s">
        <v>2660</v>
      </c>
      <c r="F1335" s="694" t="s">
        <v>2661</v>
      </c>
      <c r="G1335" s="695" t="s">
        <v>2662</v>
      </c>
      <c r="H1335" s="1313"/>
    </row>
    <row r="1336" spans="1:8" ht="15.75" thickBot="1">
      <c r="A1336" s="696" t="s">
        <v>1907</v>
      </c>
      <c r="B1336" s="697">
        <v>4.5999999999999996</v>
      </c>
      <c r="C1336" s="697">
        <v>4.3</v>
      </c>
      <c r="D1336" s="697">
        <v>4.1500000000000004</v>
      </c>
      <c r="E1336" s="697">
        <v>3.99</v>
      </c>
      <c r="F1336" s="698">
        <v>343.2</v>
      </c>
      <c r="G1336" s="698">
        <v>8.5</v>
      </c>
      <c r="H1336" s="699" t="s">
        <v>2663</v>
      </c>
    </row>
    <row r="1337" spans="1:8" ht="15.75" thickBot="1">
      <c r="A1337" s="696" t="s">
        <v>1910</v>
      </c>
      <c r="B1337" s="697">
        <v>5.65</v>
      </c>
      <c r="C1337" s="697">
        <v>5.28</v>
      </c>
      <c r="D1337" s="697">
        <v>5.09</v>
      </c>
      <c r="E1337" s="697">
        <v>4.9000000000000004</v>
      </c>
      <c r="F1337" s="698">
        <v>300</v>
      </c>
      <c r="G1337" s="698">
        <v>9.3000000000000007</v>
      </c>
      <c r="H1337" s="699" t="s">
        <v>2664</v>
      </c>
    </row>
    <row r="1338" spans="1:8" ht="15.75" thickBot="1">
      <c r="A1338" s="696" t="s">
        <v>1912</v>
      </c>
      <c r="B1338" s="697">
        <v>6.03</v>
      </c>
      <c r="C1338" s="697">
        <v>5.4</v>
      </c>
      <c r="D1338" s="697">
        <v>4.79</v>
      </c>
      <c r="E1338" s="697">
        <v>4.53</v>
      </c>
      <c r="F1338" s="698">
        <v>633</v>
      </c>
      <c r="G1338" s="698">
        <v>8.6999999999999993</v>
      </c>
      <c r="H1338" s="699" t="s">
        <v>2665</v>
      </c>
    </row>
    <row r="1339" spans="1:8" ht="15.75" thickBot="1">
      <c r="A1339" s="696" t="s">
        <v>1913</v>
      </c>
      <c r="B1339" s="697">
        <v>4.59</v>
      </c>
      <c r="C1339" s="697">
        <v>4.29</v>
      </c>
      <c r="D1339" s="697">
        <v>4.1399999999999997</v>
      </c>
      <c r="E1339" s="697">
        <v>3.98</v>
      </c>
      <c r="F1339" s="698">
        <v>292.8</v>
      </c>
      <c r="G1339" s="698">
        <v>12.5</v>
      </c>
      <c r="H1339" s="699" t="s">
        <v>2666</v>
      </c>
    </row>
    <row r="1340" spans="1:8" ht="15.75">
      <c r="A1340" s="700"/>
    </row>
    <row r="1345" spans="1:6" ht="15">
      <c r="A1345" s="20" t="s">
        <v>1903</v>
      </c>
      <c r="B1345" s="34" t="s">
        <v>1908</v>
      </c>
      <c r="C1345" s="103">
        <v>42</v>
      </c>
    </row>
    <row r="1346" spans="1:6" ht="15">
      <c r="A1346" s="20" t="s">
        <v>1903</v>
      </c>
      <c r="B1346" s="34" t="s">
        <v>1909</v>
      </c>
      <c r="C1346" s="103">
        <v>42</v>
      </c>
    </row>
    <row r="1351" spans="1:6" ht="15">
      <c r="A1351" s="79" t="s">
        <v>2612</v>
      </c>
      <c r="B1351" s="79" t="s">
        <v>209</v>
      </c>
      <c r="C1351" s="79" t="s">
        <v>2667</v>
      </c>
      <c r="D1351" s="79" t="s">
        <v>263</v>
      </c>
      <c r="E1351" s="81" t="s">
        <v>2668</v>
      </c>
      <c r="F1351" s="81" t="s">
        <v>268</v>
      </c>
    </row>
    <row r="1352" spans="1:6" ht="15">
      <c r="A1352" s="20" t="s">
        <v>218</v>
      </c>
      <c r="B1352" s="107">
        <v>158</v>
      </c>
      <c r="C1352" s="135" t="s">
        <v>1904</v>
      </c>
      <c r="D1352" s="136">
        <v>120</v>
      </c>
      <c r="E1352" s="36">
        <v>0.88</v>
      </c>
      <c r="F1352" s="268" t="s">
        <v>2669</v>
      </c>
    </row>
    <row r="1353" spans="1:6" ht="15">
      <c r="A1353" s="20" t="s">
        <v>218</v>
      </c>
      <c r="B1353" s="107">
        <v>158</v>
      </c>
      <c r="C1353" s="135" t="s">
        <v>1905</v>
      </c>
      <c r="D1353" s="136">
        <v>120</v>
      </c>
      <c r="E1353" s="36">
        <v>0.88</v>
      </c>
      <c r="F1353" s="268" t="s">
        <v>2669</v>
      </c>
    </row>
    <row r="1354" spans="1:6" ht="15">
      <c r="A1354" s="20"/>
      <c r="B1354" s="34"/>
      <c r="C1354" s="34" t="s">
        <v>12</v>
      </c>
      <c r="D1354" s="35">
        <v>1</v>
      </c>
      <c r="E1354" s="36">
        <v>12</v>
      </c>
      <c r="F1354" s="268" t="s">
        <v>2669</v>
      </c>
    </row>
    <row r="1355" spans="1:6" ht="15">
      <c r="A1355" s="20" t="s">
        <v>218</v>
      </c>
      <c r="B1355" s="107">
        <v>180</v>
      </c>
      <c r="C1355" s="135" t="s">
        <v>1906</v>
      </c>
      <c r="D1355" s="136">
        <v>250</v>
      </c>
      <c r="E1355" s="36">
        <v>0.95</v>
      </c>
      <c r="F1355" s="268" t="s">
        <v>2670</v>
      </c>
    </row>
    <row r="1356" spans="1:6" ht="15">
      <c r="A1356" s="20" t="s">
        <v>218</v>
      </c>
      <c r="B1356" s="107">
        <v>158</v>
      </c>
      <c r="C1356" s="135" t="s">
        <v>1904</v>
      </c>
      <c r="D1356" s="136">
        <v>100</v>
      </c>
      <c r="E1356" s="36">
        <v>0.88</v>
      </c>
      <c r="F1356" s="268" t="s">
        <v>2670</v>
      </c>
    </row>
    <row r="1357" spans="1:6" ht="15">
      <c r="A1357" s="46"/>
      <c r="B1357" s="34"/>
      <c r="C1357" s="34" t="s">
        <v>12</v>
      </c>
      <c r="D1357" s="35">
        <v>1</v>
      </c>
      <c r="E1357" s="36">
        <v>12</v>
      </c>
      <c r="F1357" s="268" t="s">
        <v>2670</v>
      </c>
    </row>
    <row r="1359" spans="1:6" ht="15">
      <c r="A1359" s="79" t="s">
        <v>2612</v>
      </c>
      <c r="B1359" s="80" t="s">
        <v>34</v>
      </c>
      <c r="C1359" s="80" t="s">
        <v>35</v>
      </c>
      <c r="D1359" s="81" t="s">
        <v>2308</v>
      </c>
    </row>
    <row r="1360" spans="1:6" ht="15">
      <c r="A1360" s="20" t="s">
        <v>1917</v>
      </c>
      <c r="B1360" s="20" t="s">
        <v>1918</v>
      </c>
      <c r="C1360" s="103">
        <v>6</v>
      </c>
      <c r="D1360" s="601"/>
    </row>
    <row r="1361" spans="1:7" ht="15">
      <c r="A1361" s="20" t="s">
        <v>1919</v>
      </c>
      <c r="B1361" s="20" t="s">
        <v>1920</v>
      </c>
      <c r="C1361" s="103">
        <v>6</v>
      </c>
      <c r="D1361" s="601"/>
    </row>
    <row r="1362" spans="1:7" ht="15">
      <c r="A1362" s="20" t="s">
        <v>1921</v>
      </c>
      <c r="B1362" s="20" t="s">
        <v>1918</v>
      </c>
      <c r="C1362" s="103">
        <v>6</v>
      </c>
      <c r="D1362" s="601"/>
    </row>
    <row r="1363" spans="1:7" ht="15">
      <c r="A1363" s="20" t="s">
        <v>1922</v>
      </c>
      <c r="B1363" s="20" t="s">
        <v>1918</v>
      </c>
      <c r="C1363" s="103">
        <v>6</v>
      </c>
      <c r="D1363" s="601"/>
    </row>
    <row r="1364" spans="1:7" ht="15">
      <c r="A1364" s="20" t="s">
        <v>191</v>
      </c>
      <c r="B1364" s="20" t="s">
        <v>1918</v>
      </c>
      <c r="C1364" s="103">
        <v>6</v>
      </c>
      <c r="D1364" s="601"/>
    </row>
    <row r="1365" spans="1:7" ht="15">
      <c r="A1365" s="20"/>
      <c r="B1365" s="34" t="s">
        <v>12</v>
      </c>
      <c r="C1365" s="35">
        <v>1</v>
      </c>
      <c r="D1365" s="36">
        <v>12</v>
      </c>
    </row>
    <row r="1369" spans="1:7" ht="15.75">
      <c r="A1369" s="79" t="s">
        <v>2612</v>
      </c>
      <c r="B1369" s="79" t="s">
        <v>160</v>
      </c>
      <c r="C1369" s="79" t="s">
        <v>95</v>
      </c>
      <c r="D1369" s="98" t="s">
        <v>2</v>
      </c>
      <c r="E1369" s="98" t="s">
        <v>113</v>
      </c>
      <c r="F1369" s="98" t="s">
        <v>112</v>
      </c>
      <c r="G1369" s="98" t="s">
        <v>2671</v>
      </c>
    </row>
    <row r="1370" spans="1:7" ht="15">
      <c r="A1370" s="20">
        <v>2250</v>
      </c>
      <c r="B1370" s="34">
        <v>9</v>
      </c>
      <c r="C1370" s="20" t="s">
        <v>1923</v>
      </c>
      <c r="D1370" s="103">
        <v>30</v>
      </c>
      <c r="E1370" s="104">
        <v>10</v>
      </c>
      <c r="F1370" s="8">
        <v>300</v>
      </c>
      <c r="G1370" s="268" t="s">
        <v>2672</v>
      </c>
    </row>
    <row r="1371" spans="1:7" ht="15">
      <c r="A1371" s="20">
        <v>2250</v>
      </c>
      <c r="B1371" s="34">
        <v>12</v>
      </c>
      <c r="C1371" s="20" t="s">
        <v>1924</v>
      </c>
      <c r="D1371" s="103">
        <v>30</v>
      </c>
      <c r="E1371" s="104">
        <v>4</v>
      </c>
      <c r="F1371" s="8">
        <v>120</v>
      </c>
      <c r="G1371" s="268" t="s">
        <v>190</v>
      </c>
    </row>
    <row r="1372" spans="1:7" ht="15">
      <c r="A1372" s="20">
        <v>2250</v>
      </c>
      <c r="B1372" s="34">
        <v>9</v>
      </c>
      <c r="C1372" s="20" t="s">
        <v>1924</v>
      </c>
      <c r="D1372" s="103">
        <v>30</v>
      </c>
      <c r="E1372" s="104">
        <v>11</v>
      </c>
      <c r="F1372" s="8">
        <v>330</v>
      </c>
      <c r="G1372" s="268" t="s">
        <v>190</v>
      </c>
    </row>
    <row r="1375" spans="1:7" ht="15">
      <c r="A1375" s="20" t="s">
        <v>1896</v>
      </c>
      <c r="B1375" s="20" t="s">
        <v>96</v>
      </c>
    </row>
    <row r="1376" spans="1:7" ht="15">
      <c r="A1376" s="20" t="s">
        <v>1896</v>
      </c>
      <c r="B1376" s="20" t="s">
        <v>176</v>
      </c>
    </row>
    <row r="1377" spans="1:8" ht="15">
      <c r="A1377" s="20" t="s">
        <v>1895</v>
      </c>
      <c r="B1377" s="20" t="s">
        <v>96</v>
      </c>
    </row>
    <row r="1378" spans="1:8" ht="15">
      <c r="A1378" s="20" t="s">
        <v>1895</v>
      </c>
      <c r="B1378" s="20" t="s">
        <v>176</v>
      </c>
    </row>
    <row r="1380" spans="1:8" ht="15.75">
      <c r="A1380" s="79" t="s">
        <v>2612</v>
      </c>
      <c r="B1380" s="79" t="s">
        <v>160</v>
      </c>
      <c r="C1380" s="79" t="s">
        <v>95</v>
      </c>
      <c r="D1380" s="98" t="s">
        <v>2</v>
      </c>
      <c r="E1380" s="98" t="s">
        <v>113</v>
      </c>
      <c r="F1380" s="98" t="s">
        <v>112</v>
      </c>
      <c r="G1380" s="14" t="s">
        <v>5</v>
      </c>
    </row>
    <row r="1381" spans="1:8" ht="15">
      <c r="A1381" s="20" t="s">
        <v>1891</v>
      </c>
      <c r="B1381" s="133" t="s">
        <v>200</v>
      </c>
      <c r="C1381" s="20" t="s">
        <v>1928</v>
      </c>
      <c r="D1381" s="103">
        <v>30</v>
      </c>
      <c r="E1381" s="104">
        <v>10</v>
      </c>
      <c r="F1381" s="8">
        <v>300</v>
      </c>
      <c r="G1381" s="36">
        <v>1.57</v>
      </c>
    </row>
    <row r="1382" spans="1:8" ht="15">
      <c r="A1382" s="20" t="s">
        <v>1929</v>
      </c>
      <c r="B1382" s="133">
        <v>10</v>
      </c>
      <c r="C1382" s="20" t="s">
        <v>1930</v>
      </c>
      <c r="D1382" s="103">
        <v>100</v>
      </c>
      <c r="E1382" s="104">
        <v>3</v>
      </c>
      <c r="F1382" s="8">
        <v>300</v>
      </c>
      <c r="G1382" s="36">
        <v>1.06</v>
      </c>
    </row>
    <row r="1383" spans="1:8" ht="15">
      <c r="A1383" s="20"/>
      <c r="B1383" s="13"/>
      <c r="C1383" s="34" t="s">
        <v>1931</v>
      </c>
      <c r="D1383" s="118"/>
      <c r="E1383" s="104"/>
      <c r="F1383" s="35">
        <v>1</v>
      </c>
      <c r="G1383" s="36">
        <v>485</v>
      </c>
    </row>
    <row r="1384" spans="1:8" ht="14.25" thickBot="1"/>
    <row r="1385" spans="1:8" ht="15.75" thickBot="1">
      <c r="A1385" s="1312" t="s">
        <v>2653</v>
      </c>
      <c r="B1385" s="1314" t="s">
        <v>2654</v>
      </c>
      <c r="C1385" s="1315"/>
      <c r="D1385" s="1315"/>
      <c r="E1385" s="1316"/>
      <c r="F1385" s="691" t="s">
        <v>2655</v>
      </c>
      <c r="G1385" s="692" t="s">
        <v>306</v>
      </c>
      <c r="H1385" s="1312" t="s">
        <v>2656</v>
      </c>
    </row>
    <row r="1386" spans="1:8" ht="15.75" thickBot="1">
      <c r="A1386" s="1313"/>
      <c r="B1386" s="693" t="s">
        <v>2657</v>
      </c>
      <c r="C1386" s="693" t="s">
        <v>2658</v>
      </c>
      <c r="D1386" s="693" t="s">
        <v>2659</v>
      </c>
      <c r="E1386" s="693" t="s">
        <v>2660</v>
      </c>
      <c r="F1386" s="694" t="s">
        <v>2661</v>
      </c>
      <c r="G1386" s="695" t="s">
        <v>2662</v>
      </c>
      <c r="H1386" s="1313"/>
    </row>
    <row r="1387" spans="1:8" ht="15.75" thickBot="1">
      <c r="A1387" s="696" t="s">
        <v>1910</v>
      </c>
      <c r="B1387" s="697">
        <v>5.65</v>
      </c>
      <c r="C1387" s="697">
        <v>5.28</v>
      </c>
      <c r="D1387" s="697">
        <v>5.09</v>
      </c>
      <c r="E1387" s="697">
        <v>4.9000000000000004</v>
      </c>
      <c r="F1387" s="698">
        <v>300</v>
      </c>
      <c r="G1387" s="698">
        <v>9.3000000000000007</v>
      </c>
      <c r="H1387" s="699" t="s">
        <v>2664</v>
      </c>
    </row>
    <row r="1388" spans="1:8" ht="15.75" thickBot="1">
      <c r="A1388" s="696" t="s">
        <v>1912</v>
      </c>
      <c r="B1388" s="697">
        <v>6.03</v>
      </c>
      <c r="C1388" s="697">
        <v>5.4</v>
      </c>
      <c r="D1388" s="697">
        <v>4.79</v>
      </c>
      <c r="E1388" s="697">
        <v>4.53</v>
      </c>
      <c r="F1388" s="698">
        <v>633</v>
      </c>
      <c r="G1388" s="698">
        <v>8.6999999999999993</v>
      </c>
      <c r="H1388" s="699" t="s">
        <v>2665</v>
      </c>
    </row>
    <row r="1390" spans="1:8" ht="14.25" thickBot="1">
      <c r="A1390" t="s">
        <v>2673</v>
      </c>
    </row>
    <row r="1391" spans="1:8" ht="15.75" thickBot="1">
      <c r="A1391" s="1312" t="s">
        <v>2653</v>
      </c>
      <c r="B1391" s="1314" t="s">
        <v>2654</v>
      </c>
      <c r="C1391" s="1315"/>
      <c r="D1391" s="1315"/>
      <c r="E1391" s="1316"/>
      <c r="F1391" s="691" t="s">
        <v>2655</v>
      </c>
      <c r="G1391" s="692" t="s">
        <v>306</v>
      </c>
      <c r="H1391" s="1312" t="s">
        <v>2656</v>
      </c>
    </row>
    <row r="1392" spans="1:8" ht="15.75" thickBot="1">
      <c r="A1392" s="1313"/>
      <c r="B1392" s="693" t="s">
        <v>2657</v>
      </c>
      <c r="C1392" s="693" t="s">
        <v>2658</v>
      </c>
      <c r="D1392" s="693" t="s">
        <v>2659</v>
      </c>
      <c r="E1392" s="693" t="s">
        <v>2660</v>
      </c>
      <c r="F1392" s="694" t="s">
        <v>2661</v>
      </c>
      <c r="G1392" s="695" t="s">
        <v>2662</v>
      </c>
      <c r="H1392" s="1313"/>
    </row>
    <row r="1393" spans="1:8" ht="15.75" thickBot="1">
      <c r="A1393" s="696" t="s">
        <v>2674</v>
      </c>
      <c r="B1393" s="697">
        <v>5.09</v>
      </c>
      <c r="C1393" s="697">
        <v>4.5</v>
      </c>
      <c r="D1393" s="697">
        <v>3.95</v>
      </c>
      <c r="E1393" s="697">
        <v>3.75</v>
      </c>
      <c r="F1393" s="698">
        <v>300</v>
      </c>
      <c r="G1393" s="698">
        <v>9.3000000000000007</v>
      </c>
      <c r="H1393" s="699" t="s">
        <v>2675</v>
      </c>
    </row>
    <row r="1394" spans="1:8" ht="15.75" thickBot="1">
      <c r="A1394" s="696" t="s">
        <v>2676</v>
      </c>
      <c r="B1394" s="697">
        <v>4.79</v>
      </c>
      <c r="C1394" s="697">
        <v>4.13</v>
      </c>
      <c r="D1394" s="697">
        <v>3.75</v>
      </c>
      <c r="E1394" s="697">
        <v>3.65</v>
      </c>
      <c r="F1394" s="698">
        <v>633</v>
      </c>
      <c r="G1394" s="698">
        <v>8.6999999999999993</v>
      </c>
      <c r="H1394" s="699" t="s">
        <v>2677</v>
      </c>
    </row>
    <row r="1395" spans="1:8" ht="15">
      <c r="A1395" s="264"/>
    </row>
    <row r="1396" spans="1:8" ht="15">
      <c r="A1396" s="690" t="s">
        <v>2646</v>
      </c>
      <c r="B1396" s="80"/>
      <c r="C1396" s="80"/>
      <c r="D1396" s="81"/>
    </row>
    <row r="1397" spans="1:8" ht="15">
      <c r="A1397" s="79" t="s">
        <v>2612</v>
      </c>
      <c r="B1397" s="80" t="s">
        <v>34</v>
      </c>
      <c r="C1397" s="80" t="s">
        <v>35</v>
      </c>
      <c r="D1397" s="81" t="s">
        <v>2647</v>
      </c>
    </row>
    <row r="1398" spans="1:8" ht="15">
      <c r="A1398" s="45" t="s">
        <v>1910</v>
      </c>
      <c r="B1398" s="34" t="s">
        <v>123</v>
      </c>
      <c r="C1398" s="103">
        <v>50</v>
      </c>
      <c r="D1398" s="36">
        <v>5.09</v>
      </c>
    </row>
    <row r="1399" spans="1:8" ht="15">
      <c r="A1399" s="45" t="s">
        <v>1910</v>
      </c>
      <c r="B1399" s="34" t="s">
        <v>2649</v>
      </c>
      <c r="C1399" s="103">
        <v>30</v>
      </c>
      <c r="D1399" s="36">
        <v>5.09</v>
      </c>
    </row>
    <row r="1400" spans="1:8" ht="15">
      <c r="A1400" s="45" t="s">
        <v>1912</v>
      </c>
      <c r="B1400" s="34" t="s">
        <v>123</v>
      </c>
      <c r="C1400" s="103">
        <v>50</v>
      </c>
      <c r="D1400" s="36">
        <v>4.79</v>
      </c>
    </row>
    <row r="1401" spans="1:8" ht="15">
      <c r="A1401" s="45" t="s">
        <v>1912</v>
      </c>
      <c r="B1401" s="34" t="s">
        <v>2649</v>
      </c>
      <c r="C1401" s="103">
        <v>30</v>
      </c>
      <c r="D1401" s="36">
        <v>4.79</v>
      </c>
    </row>
    <row r="1402" spans="1:8" ht="15">
      <c r="A1402" s="20"/>
      <c r="B1402" s="34" t="s">
        <v>186</v>
      </c>
      <c r="C1402" s="162" t="s">
        <v>2678</v>
      </c>
      <c r="D1402" s="36">
        <v>80</v>
      </c>
    </row>
    <row r="1405" spans="1:8" ht="15">
      <c r="A1405" s="690" t="s">
        <v>2646</v>
      </c>
      <c r="B1405" s="129"/>
      <c r="C1405" s="129"/>
      <c r="D1405" s="129"/>
    </row>
    <row r="1406" spans="1:8" ht="15">
      <c r="A1406" s="79" t="s">
        <v>2612</v>
      </c>
      <c r="B1406" s="80" t="s">
        <v>34</v>
      </c>
      <c r="C1406" s="80" t="s">
        <v>35</v>
      </c>
      <c r="D1406" s="81" t="s">
        <v>2647</v>
      </c>
    </row>
    <row r="1407" spans="1:8" ht="15">
      <c r="A1407" s="45" t="s">
        <v>1910</v>
      </c>
      <c r="B1407" s="34" t="s">
        <v>1932</v>
      </c>
      <c r="C1407" s="8">
        <v>50</v>
      </c>
      <c r="D1407" s="36">
        <v>5.09</v>
      </c>
    </row>
    <row r="1408" spans="1:8" ht="15">
      <c r="A1408" s="45" t="s">
        <v>1910</v>
      </c>
      <c r="B1408" s="34" t="s">
        <v>1909</v>
      </c>
      <c r="C1408" s="8">
        <v>30</v>
      </c>
      <c r="D1408" s="36">
        <v>5.09</v>
      </c>
    </row>
    <row r="1409" spans="1:7" ht="15">
      <c r="A1409" s="45" t="s">
        <v>1912</v>
      </c>
      <c r="B1409" s="34" t="s">
        <v>1932</v>
      </c>
      <c r="C1409" s="8">
        <v>50</v>
      </c>
      <c r="D1409" s="36">
        <v>4.79</v>
      </c>
    </row>
    <row r="1410" spans="1:7" ht="15">
      <c r="A1410" s="45" t="s">
        <v>1912</v>
      </c>
      <c r="B1410" s="34" t="s">
        <v>1909</v>
      </c>
      <c r="C1410" s="8">
        <v>30</v>
      </c>
      <c r="D1410" s="36">
        <v>4.79</v>
      </c>
    </row>
    <row r="1411" spans="1:7" ht="15">
      <c r="A1411" s="20"/>
      <c r="B1411" s="34" t="s">
        <v>1935</v>
      </c>
      <c r="C1411" s="162" t="s">
        <v>61</v>
      </c>
      <c r="D1411" s="36">
        <v>40</v>
      </c>
    </row>
    <row r="1412" spans="1:7" ht="15">
      <c r="A1412" s="690" t="s">
        <v>2651</v>
      </c>
      <c r="B1412" s="20"/>
      <c r="C1412" s="57"/>
      <c r="D1412" s="14"/>
    </row>
    <row r="1413" spans="1:7" ht="15">
      <c r="A1413" s="79" t="s">
        <v>2612</v>
      </c>
      <c r="B1413" s="80" t="s">
        <v>34</v>
      </c>
      <c r="C1413" s="80" t="s">
        <v>35</v>
      </c>
      <c r="D1413" s="81" t="s">
        <v>2308</v>
      </c>
    </row>
    <row r="1414" spans="1:7" ht="15">
      <c r="A1414" s="20" t="s">
        <v>1903</v>
      </c>
      <c r="B1414" s="34" t="s">
        <v>176</v>
      </c>
      <c r="C1414" s="8">
        <v>50</v>
      </c>
      <c r="D1414" s="36">
        <v>2.04</v>
      </c>
    </row>
    <row r="1415" spans="1:7" ht="15">
      <c r="A1415" s="20" t="s">
        <v>1903</v>
      </c>
      <c r="B1415" s="34" t="s">
        <v>1909</v>
      </c>
      <c r="C1415" s="8">
        <v>30</v>
      </c>
      <c r="D1415" s="36">
        <v>2.04</v>
      </c>
    </row>
    <row r="1416" spans="1:7" ht="15">
      <c r="A1416" s="20"/>
      <c r="B1416" s="34" t="s">
        <v>1935</v>
      </c>
      <c r="C1416" s="162" t="s">
        <v>61</v>
      </c>
      <c r="D1416" s="36">
        <v>125</v>
      </c>
    </row>
    <row r="1417" spans="1:7" ht="15">
      <c r="A1417" s="20"/>
      <c r="B1417" s="34" t="s">
        <v>12</v>
      </c>
      <c r="C1417" s="35">
        <v>1</v>
      </c>
      <c r="D1417" s="36">
        <v>12</v>
      </c>
    </row>
    <row r="1423" spans="1:7" ht="15">
      <c r="A1423" s="12" t="s">
        <v>309</v>
      </c>
      <c r="B1423" s="123"/>
      <c r="C1423" s="34"/>
      <c r="D1423" s="103"/>
      <c r="E1423" s="35"/>
      <c r="F1423" s="104"/>
      <c r="G1423" s="14" t="s">
        <v>5</v>
      </c>
    </row>
    <row r="1424" spans="1:7" ht="15">
      <c r="A1424" s="62" t="s">
        <v>1910</v>
      </c>
      <c r="B1424" s="34"/>
      <c r="C1424" s="34" t="s">
        <v>1932</v>
      </c>
      <c r="D1424" s="8">
        <v>50</v>
      </c>
      <c r="E1424" s="8">
        <v>50</v>
      </c>
      <c r="F1424" s="8">
        <v>50</v>
      </c>
      <c r="G1424" s="36">
        <v>5.09</v>
      </c>
    </row>
    <row r="1425" spans="1:7" ht="15">
      <c r="A1425" s="62" t="s">
        <v>1910</v>
      </c>
      <c r="B1425" s="34"/>
      <c r="C1425" s="34" t="s">
        <v>1909</v>
      </c>
      <c r="D1425" s="8">
        <v>30</v>
      </c>
      <c r="E1425" s="8">
        <v>30</v>
      </c>
      <c r="F1425" s="8">
        <v>30</v>
      </c>
      <c r="G1425" s="36">
        <v>5.09</v>
      </c>
    </row>
    <row r="1426" spans="1:7" ht="15">
      <c r="A1426" s="52" t="s">
        <v>1911</v>
      </c>
      <c r="B1426" s="34"/>
      <c r="C1426" s="34"/>
      <c r="D1426" s="103"/>
      <c r="E1426" s="35"/>
      <c r="F1426" s="104"/>
      <c r="G1426" s="36"/>
    </row>
    <row r="1427" spans="1:7" ht="15">
      <c r="A1427" s="62" t="s">
        <v>1912</v>
      </c>
      <c r="B1427" s="34"/>
      <c r="C1427" s="34" t="s">
        <v>1932</v>
      </c>
      <c r="D1427" s="8">
        <v>50</v>
      </c>
      <c r="E1427" s="8">
        <v>50</v>
      </c>
      <c r="F1427" s="8">
        <v>50</v>
      </c>
      <c r="G1427" s="36">
        <v>4.79</v>
      </c>
    </row>
    <row r="1428" spans="1:7" ht="15">
      <c r="A1428" s="62" t="s">
        <v>1912</v>
      </c>
      <c r="B1428" s="34"/>
      <c r="C1428" s="34" t="s">
        <v>1909</v>
      </c>
      <c r="D1428" s="8">
        <v>30</v>
      </c>
      <c r="E1428" s="8">
        <v>30</v>
      </c>
      <c r="F1428" s="8">
        <v>30</v>
      </c>
      <c r="G1428" s="36">
        <v>4.79</v>
      </c>
    </row>
    <row r="1429" spans="1:7" ht="15">
      <c r="A1429" s="46"/>
      <c r="B1429" s="123"/>
      <c r="C1429" s="34" t="s">
        <v>1933</v>
      </c>
      <c r="D1429" s="35">
        <v>1</v>
      </c>
      <c r="E1429" s="36"/>
      <c r="F1429" s="104"/>
      <c r="G1429" s="36">
        <v>40</v>
      </c>
    </row>
    <row r="1430" spans="1:7" ht="15">
      <c r="A1430" s="46"/>
      <c r="B1430" s="123"/>
      <c r="C1430" s="34" t="s">
        <v>1933</v>
      </c>
      <c r="D1430" s="35">
        <v>1</v>
      </c>
      <c r="E1430" s="36"/>
      <c r="F1430" s="104"/>
      <c r="G1430" s="36">
        <v>40</v>
      </c>
    </row>
    <row r="1431" spans="1:7" ht="15">
      <c r="A1431" s="17" t="s">
        <v>309</v>
      </c>
      <c r="B1431" s="22"/>
      <c r="C1431" s="20"/>
      <c r="D1431" s="57"/>
      <c r="E1431" s="57"/>
      <c r="F1431" s="58"/>
      <c r="G1431" s="14" t="s">
        <v>5</v>
      </c>
    </row>
    <row r="1432" spans="1:7" ht="15">
      <c r="A1432" s="46" t="s">
        <v>1903</v>
      </c>
      <c r="B1432" s="34"/>
      <c r="C1432" s="34" t="s">
        <v>1934</v>
      </c>
      <c r="D1432" s="8">
        <v>50</v>
      </c>
      <c r="E1432" s="8">
        <v>50</v>
      </c>
      <c r="F1432" s="8">
        <v>50</v>
      </c>
      <c r="G1432" s="36">
        <v>2.04</v>
      </c>
    </row>
    <row r="1433" spans="1:7" ht="15">
      <c r="A1433" s="46" t="s">
        <v>1903</v>
      </c>
      <c r="B1433" s="34"/>
      <c r="C1433" s="34" t="s">
        <v>1909</v>
      </c>
      <c r="D1433" s="8">
        <v>30</v>
      </c>
      <c r="E1433" s="8">
        <v>30</v>
      </c>
      <c r="F1433" s="8">
        <v>30</v>
      </c>
      <c r="G1433" s="36">
        <v>2.04</v>
      </c>
    </row>
    <row r="1434" spans="1:7" ht="22.5">
      <c r="A1434" s="20"/>
      <c r="B1434" s="241"/>
      <c r="C1434" s="34" t="s">
        <v>1935</v>
      </c>
      <c r="D1434" s="162">
        <v>1</v>
      </c>
      <c r="E1434" s="588"/>
      <c r="F1434" s="104" ph="1"/>
      <c r="G1434" s="36">
        <v>125</v>
      </c>
    </row>
    <row r="1435" spans="1:7" ht="22.5">
      <c r="A1435" s="20"/>
      <c r="B1435" s="241"/>
      <c r="C1435" s="34" t="s">
        <v>1936</v>
      </c>
      <c r="D1435" s="162">
        <v>1</v>
      </c>
      <c r="E1435" s="588"/>
      <c r="F1435" s="104" ph="1"/>
      <c r="G1435" s="36">
        <v>125</v>
      </c>
    </row>
    <row r="1436" spans="1:7" ht="22.5">
      <c r="A1436" s="20"/>
      <c r="B1436" s="241"/>
      <c r="C1436" s="34" t="s">
        <v>12</v>
      </c>
      <c r="D1436" s="35">
        <v>1</v>
      </c>
      <c r="E1436" s="8"/>
      <c r="F1436" s="104" ph="1"/>
      <c r="G1436" s="36">
        <v>12</v>
      </c>
    </row>
    <row r="1440" spans="1:7" ht="15">
      <c r="A1440" s="20" t="s">
        <v>242</v>
      </c>
      <c r="B1440" s="20" t="s">
        <v>2679</v>
      </c>
    </row>
    <row r="1441" spans="1:8" ht="15">
      <c r="A1441" s="20">
        <v>3047</v>
      </c>
      <c r="B1441" s="36">
        <v>418.31</v>
      </c>
    </row>
    <row r="1442" spans="1:8" ht="15">
      <c r="A1442" s="20">
        <v>3048</v>
      </c>
      <c r="B1442" s="36">
        <v>503.58</v>
      </c>
    </row>
    <row r="1443" spans="1:8" ht="15">
      <c r="A1443" s="20">
        <v>3054</v>
      </c>
      <c r="B1443" s="36">
        <v>308.36</v>
      </c>
    </row>
    <row r="1444" spans="1:8" ht="15.75">
      <c r="A1444" s="73" t="s">
        <v>157</v>
      </c>
      <c r="B1444" s="113">
        <f>SUM(B1441:B1443)</f>
        <v>1230.25</v>
      </c>
    </row>
    <row r="1447" spans="1:8" ht="15">
      <c r="A1447" s="79" t="s">
        <v>2612</v>
      </c>
      <c r="B1447" s="80" t="s">
        <v>34</v>
      </c>
      <c r="C1447" s="80" t="s">
        <v>35</v>
      </c>
      <c r="D1447" s="81" t="s">
        <v>2680</v>
      </c>
    </row>
    <row r="1448" spans="1:8" ht="15">
      <c r="A1448" s="20">
        <v>5540</v>
      </c>
      <c r="B1448" s="20" t="s">
        <v>196</v>
      </c>
      <c r="C1448" s="103">
        <v>17.5</v>
      </c>
      <c r="D1448" s="86" t="s">
        <v>2681</v>
      </c>
    </row>
    <row r="1449" spans="1:8" ht="15">
      <c r="A1449" s="79" t="s">
        <v>2612</v>
      </c>
      <c r="B1449" s="80" t="s">
        <v>34</v>
      </c>
      <c r="C1449" s="80" t="s">
        <v>35</v>
      </c>
      <c r="D1449" s="81" t="s">
        <v>2680</v>
      </c>
    </row>
    <row r="1450" spans="1:8" ht="15">
      <c r="A1450" s="20" t="s">
        <v>1942</v>
      </c>
      <c r="B1450" s="34" t="s">
        <v>96</v>
      </c>
      <c r="C1450" s="8">
        <v>9</v>
      </c>
      <c r="D1450" s="86" t="s">
        <v>2682</v>
      </c>
    </row>
    <row r="1451" spans="1:8" ht="22.5">
      <c r="A1451" s="79" t="s">
        <v>2612</v>
      </c>
      <c r="B1451" s="80" t="s">
        <v>34</v>
      </c>
      <c r="C1451" s="80" t="s">
        <v>35</v>
      </c>
      <c r="D1451" s="81" t="s">
        <v>2680</v>
      </c>
      <c r="F1451" ph="1"/>
    </row>
    <row r="1452" spans="1:8" ht="15">
      <c r="A1452" s="20" t="s">
        <v>2683</v>
      </c>
      <c r="B1452" s="34" t="s">
        <v>96</v>
      </c>
      <c r="C1452" s="57">
        <v>14</v>
      </c>
      <c r="D1452" s="86" t="s">
        <v>2684</v>
      </c>
    </row>
    <row r="1453" spans="1:8" ht="21">
      <c r="F1453" ph="1"/>
    </row>
    <row r="1455" spans="1:8" ht="15.75">
      <c r="A1455" s="79" t="s">
        <v>2612</v>
      </c>
      <c r="B1455" s="80" t="s">
        <v>34</v>
      </c>
      <c r="C1455" s="98" t="s">
        <v>2</v>
      </c>
      <c r="D1455" s="98" t="s">
        <v>113</v>
      </c>
      <c r="E1455" s="98" t="s">
        <v>112</v>
      </c>
      <c r="F1455" s="81" t="s">
        <v>2680</v>
      </c>
      <c r="G1455" s="7"/>
      <c r="H1455" s="7"/>
    </row>
    <row r="1456" spans="1:8" ht="15">
      <c r="A1456" s="20" t="s">
        <v>1941</v>
      </c>
      <c r="B1456" s="34" t="s">
        <v>2685</v>
      </c>
      <c r="C1456" s="103">
        <v>13.7</v>
      </c>
      <c r="D1456" s="104">
        <v>1</v>
      </c>
      <c r="E1456" s="122">
        <v>13.7</v>
      </c>
      <c r="F1456" s="86" t="s">
        <v>2686</v>
      </c>
      <c r="G1456" s="7">
        <v>2800</v>
      </c>
      <c r="H1456" s="7">
        <f>G1456*E1456</f>
        <v>38360</v>
      </c>
    </row>
    <row r="1457" spans="1:8" ht="15">
      <c r="A1457" s="20" t="s">
        <v>1941</v>
      </c>
      <c r="B1457" s="34" t="s">
        <v>2687</v>
      </c>
      <c r="C1457" s="103">
        <v>13.7</v>
      </c>
      <c r="D1457" s="104">
        <v>2</v>
      </c>
      <c r="E1457" s="122">
        <v>27.4</v>
      </c>
      <c r="F1457" s="86" t="s">
        <v>2686</v>
      </c>
      <c r="G1457" s="7">
        <v>2800</v>
      </c>
      <c r="H1457" s="7">
        <f>G1457*E1457</f>
        <v>76720</v>
      </c>
    </row>
    <row r="1458" spans="1:8" ht="15">
      <c r="A1458" s="20" t="s">
        <v>1941</v>
      </c>
      <c r="B1458" s="34" t="s">
        <v>262</v>
      </c>
      <c r="C1458" s="103">
        <v>13.7</v>
      </c>
      <c r="D1458" s="104">
        <v>1</v>
      </c>
      <c r="E1458" s="122">
        <v>13.7</v>
      </c>
      <c r="F1458" s="86" t="s">
        <v>2686</v>
      </c>
      <c r="G1458" s="7">
        <v>2800</v>
      </c>
      <c r="H1458" s="7">
        <f>G1458*E1458</f>
        <v>38360</v>
      </c>
    </row>
    <row r="1459" spans="1:8" ht="15">
      <c r="A1459" s="46"/>
      <c r="B1459" s="34"/>
      <c r="C1459" s="34" t="s">
        <v>186</v>
      </c>
      <c r="D1459" s="104"/>
      <c r="E1459" s="122"/>
      <c r="F1459" s="86" t="s">
        <v>2688</v>
      </c>
      <c r="G1459" s="7">
        <f>19600+26000+19600</f>
        <v>65200</v>
      </c>
      <c r="H1459" s="7">
        <f>19600+26000+19600</f>
        <v>65200</v>
      </c>
    </row>
    <row r="1462" spans="1:8" ht="15">
      <c r="A1462" s="79" t="s">
        <v>2612</v>
      </c>
      <c r="B1462" s="80" t="s">
        <v>34</v>
      </c>
      <c r="C1462" s="80" t="s">
        <v>112</v>
      </c>
    </row>
    <row r="1463" spans="1:8" ht="15">
      <c r="A1463" s="20" t="s">
        <v>1903</v>
      </c>
      <c r="B1463" s="34" t="s">
        <v>176</v>
      </c>
      <c r="C1463" s="8">
        <v>1320</v>
      </c>
    </row>
    <row r="1464" spans="1:8" ht="15">
      <c r="A1464" s="20" t="s">
        <v>1903</v>
      </c>
      <c r="B1464" s="34" t="s">
        <v>1909</v>
      </c>
      <c r="C1464" s="8">
        <v>1770</v>
      </c>
    </row>
    <row r="1465" spans="1:8" ht="15">
      <c r="A1465" s="20" t="s">
        <v>1903</v>
      </c>
      <c r="B1465" s="34" t="s">
        <v>176</v>
      </c>
      <c r="C1465" s="8">
        <v>5</v>
      </c>
    </row>
    <row r="1466" spans="1:8" ht="15">
      <c r="A1466" s="20" t="s">
        <v>1903</v>
      </c>
      <c r="B1466" s="34" t="s">
        <v>1909</v>
      </c>
      <c r="C1466" s="8">
        <v>5</v>
      </c>
    </row>
    <row r="1468" spans="1:8" ht="15">
      <c r="A1468" s="79" t="s">
        <v>77</v>
      </c>
      <c r="B1468" s="79" t="s">
        <v>2612</v>
      </c>
      <c r="C1468" s="80" t="s">
        <v>34</v>
      </c>
      <c r="D1468" s="80" t="s">
        <v>112</v>
      </c>
      <c r="E1468" s="80" t="s">
        <v>2689</v>
      </c>
    </row>
    <row r="1469" spans="1:8" ht="15">
      <c r="A1469" s="6" t="s">
        <v>1949</v>
      </c>
      <c r="B1469" s="45" t="s">
        <v>2690</v>
      </c>
      <c r="C1469" s="34" t="s">
        <v>1932</v>
      </c>
      <c r="D1469" s="8">
        <v>1195</v>
      </c>
      <c r="E1469" s="36">
        <v>5.09</v>
      </c>
    </row>
    <row r="1470" spans="1:8" ht="15">
      <c r="A1470" s="6" t="s">
        <v>1949</v>
      </c>
      <c r="B1470" s="45" t="s">
        <v>2691</v>
      </c>
      <c r="C1470" s="34" t="s">
        <v>1932</v>
      </c>
      <c r="D1470" s="8">
        <v>380</v>
      </c>
      <c r="E1470" s="36">
        <v>4.79</v>
      </c>
    </row>
    <row r="1474" spans="1:6" ht="15.75">
      <c r="A1474" s="79" t="s">
        <v>77</v>
      </c>
      <c r="B1474" s="79" t="s">
        <v>2612</v>
      </c>
      <c r="C1474" s="80" t="s">
        <v>34</v>
      </c>
      <c r="D1474" s="80" t="s">
        <v>112</v>
      </c>
      <c r="E1474" s="80" t="s">
        <v>2692</v>
      </c>
      <c r="F1474" s="98" t="s">
        <v>229</v>
      </c>
    </row>
    <row r="1475" spans="1:6" ht="15.75">
      <c r="A1475" s="26" t="s">
        <v>1949</v>
      </c>
      <c r="B1475" s="20" t="s">
        <v>1910</v>
      </c>
      <c r="C1475" s="34" t="s">
        <v>1932</v>
      </c>
      <c r="D1475" s="8">
        <v>1195</v>
      </c>
      <c r="E1475" s="36">
        <v>4.9000000000000004</v>
      </c>
      <c r="F1475" s="628" t="s">
        <v>2693</v>
      </c>
    </row>
    <row r="1476" spans="1:6" ht="15.75">
      <c r="A1476" s="26" t="s">
        <v>1949</v>
      </c>
      <c r="B1476" s="20" t="s">
        <v>1912</v>
      </c>
      <c r="C1476" s="34" t="s">
        <v>1932</v>
      </c>
      <c r="D1476" s="8">
        <v>380</v>
      </c>
      <c r="E1476" s="36">
        <v>4.79</v>
      </c>
      <c r="F1476" s="628" t="s">
        <v>190</v>
      </c>
    </row>
    <row r="1477" spans="1:6" ht="15">
      <c r="A1477" s="26"/>
      <c r="B1477" s="20"/>
      <c r="C1477" s="34"/>
      <c r="D1477" s="8"/>
      <c r="E1477" s="36"/>
    </row>
    <row r="1478" spans="1:6" ht="15.75">
      <c r="A1478" s="79" t="s">
        <v>77</v>
      </c>
      <c r="B1478" s="73" t="s">
        <v>2612</v>
      </c>
      <c r="C1478" s="80" t="s">
        <v>34</v>
      </c>
      <c r="D1478" s="80" t="s">
        <v>112</v>
      </c>
      <c r="E1478" s="81" t="s">
        <v>2308</v>
      </c>
      <c r="F1478" s="98" t="s">
        <v>229</v>
      </c>
    </row>
    <row r="1479" spans="1:6" ht="15.75">
      <c r="A1479" s="26" t="s">
        <v>1950</v>
      </c>
      <c r="B1479" s="20" t="s">
        <v>1903</v>
      </c>
      <c r="C1479" s="34" t="s">
        <v>1934</v>
      </c>
      <c r="D1479" s="8">
        <v>1320</v>
      </c>
      <c r="E1479" s="36">
        <v>2.04</v>
      </c>
      <c r="F1479" s="628" t="s">
        <v>2694</v>
      </c>
    </row>
    <row r="1480" spans="1:6" ht="15.75">
      <c r="A1480" s="26" t="s">
        <v>1950</v>
      </c>
      <c r="B1480" s="20" t="s">
        <v>1903</v>
      </c>
      <c r="C1480" s="34" t="s">
        <v>1909</v>
      </c>
      <c r="D1480" s="8">
        <v>1770</v>
      </c>
      <c r="E1480" s="36">
        <v>2.04</v>
      </c>
      <c r="F1480" s="628" t="s">
        <v>2694</v>
      </c>
    </row>
    <row r="1483" spans="1:6" ht="15.75">
      <c r="A1483" s="73" t="s">
        <v>2612</v>
      </c>
      <c r="B1483" s="80" t="s">
        <v>34</v>
      </c>
      <c r="C1483" s="80" t="s">
        <v>112</v>
      </c>
    </row>
    <row r="1484" spans="1:6" ht="15">
      <c r="A1484" s="20" t="s">
        <v>6</v>
      </c>
      <c r="B1484" s="20" t="s">
        <v>1951</v>
      </c>
      <c r="C1484" s="103">
        <v>15</v>
      </c>
    </row>
    <row r="1485" spans="1:6" ht="15">
      <c r="A1485" s="20" t="s">
        <v>6</v>
      </c>
      <c r="B1485" s="20" t="s">
        <v>1952</v>
      </c>
      <c r="C1485" s="103">
        <v>15</v>
      </c>
    </row>
    <row r="1488" spans="1:6" ht="15.75">
      <c r="A1488" s="73" t="s">
        <v>2612</v>
      </c>
      <c r="B1488" s="80" t="s">
        <v>34</v>
      </c>
      <c r="C1488" s="80" t="s">
        <v>35</v>
      </c>
      <c r="D1488" s="85" t="s">
        <v>2695</v>
      </c>
      <c r="E1488" s="58"/>
      <c r="F1488" s="14" t="s">
        <v>5</v>
      </c>
    </row>
    <row r="1489" spans="1:6" ht="15">
      <c r="A1489" s="20" t="s">
        <v>1903</v>
      </c>
      <c r="B1489" s="34" t="s">
        <v>1934</v>
      </c>
      <c r="C1489" s="8">
        <v>130</v>
      </c>
      <c r="D1489" s="8" t="s">
        <v>2696</v>
      </c>
      <c r="E1489" s="8">
        <v>130</v>
      </c>
      <c r="F1489" s="36">
        <v>2.04</v>
      </c>
    </row>
    <row r="1490" spans="1:6" ht="15">
      <c r="A1490" s="20" t="s">
        <v>1903</v>
      </c>
      <c r="B1490" s="34" t="s">
        <v>1909</v>
      </c>
      <c r="C1490" s="8">
        <v>130</v>
      </c>
      <c r="D1490" s="8" t="s">
        <v>2696</v>
      </c>
      <c r="E1490" s="8">
        <v>130</v>
      </c>
      <c r="F1490" s="36">
        <v>2.04</v>
      </c>
    </row>
    <row r="1491" spans="1:6" ht="15">
      <c r="A1491" s="20" t="s">
        <v>1903</v>
      </c>
      <c r="B1491" s="34" t="s">
        <v>1934</v>
      </c>
      <c r="C1491" s="8" t="s">
        <v>2697</v>
      </c>
      <c r="D1491" s="8" t="s">
        <v>2696</v>
      </c>
      <c r="E1491" s="8">
        <v>10</v>
      </c>
      <c r="F1491" s="36">
        <v>2.04</v>
      </c>
    </row>
    <row r="1492" spans="1:6" ht="15">
      <c r="A1492" s="20" t="s">
        <v>1903</v>
      </c>
      <c r="B1492" s="34" t="s">
        <v>1909</v>
      </c>
      <c r="C1492" s="8" t="s">
        <v>2697</v>
      </c>
      <c r="D1492" s="8" t="s">
        <v>2696</v>
      </c>
      <c r="E1492" s="8">
        <v>10</v>
      </c>
      <c r="F1492" s="36">
        <v>2.04</v>
      </c>
    </row>
    <row r="1493" spans="1:6" ht="15">
      <c r="A1493" s="20" t="s">
        <v>1903</v>
      </c>
      <c r="B1493" s="34" t="s">
        <v>1934</v>
      </c>
      <c r="C1493" s="8">
        <v>1270</v>
      </c>
      <c r="D1493" s="8" t="s">
        <v>2698</v>
      </c>
      <c r="E1493" s="8">
        <v>1270</v>
      </c>
      <c r="F1493" s="36">
        <v>2.04</v>
      </c>
    </row>
    <row r="1494" spans="1:6" ht="15">
      <c r="A1494" s="20" t="s">
        <v>1903</v>
      </c>
      <c r="B1494" s="34" t="s">
        <v>1909</v>
      </c>
      <c r="C1494" s="8">
        <v>1710</v>
      </c>
      <c r="D1494" s="8" t="s">
        <v>2698</v>
      </c>
      <c r="E1494" s="8">
        <v>1710</v>
      </c>
      <c r="F1494" s="36">
        <v>2.04</v>
      </c>
    </row>
    <row r="1497" spans="1:6" ht="15">
      <c r="A1497" s="178" t="s">
        <v>2699</v>
      </c>
      <c r="B1497" s="178" t="s">
        <v>2679</v>
      </c>
    </row>
    <row r="1498" spans="1:6" ht="15">
      <c r="A1498" s="20" t="s">
        <v>2700</v>
      </c>
      <c r="B1498" s="701">
        <v>685.44</v>
      </c>
    </row>
    <row r="1499" spans="1:6" ht="15">
      <c r="A1499" s="20" t="s">
        <v>2701</v>
      </c>
      <c r="B1499" s="701">
        <v>1079.8800000000001</v>
      </c>
    </row>
    <row r="1500" spans="1:6" ht="15">
      <c r="A1500" s="20" t="s">
        <v>2702</v>
      </c>
      <c r="B1500" s="701">
        <v>7254.6</v>
      </c>
    </row>
    <row r="1501" spans="1:6" ht="15">
      <c r="A1501" s="20" t="s">
        <v>2703</v>
      </c>
      <c r="B1501" s="701">
        <v>5956.8</v>
      </c>
    </row>
    <row r="1502" spans="1:6" ht="15.75">
      <c r="A1502" s="73" t="s">
        <v>2704</v>
      </c>
      <c r="B1502" s="702">
        <f>SUM(B1498:B1501)</f>
        <v>14976.720000000001</v>
      </c>
    </row>
    <row r="1504" spans="1:6" ht="15.75">
      <c r="A1504" s="73" t="s">
        <v>2612</v>
      </c>
      <c r="B1504" s="80" t="s">
        <v>34</v>
      </c>
      <c r="C1504" s="80" t="s">
        <v>35</v>
      </c>
      <c r="D1504" s="81" t="s">
        <v>2680</v>
      </c>
      <c r="E1504" s="7"/>
    </row>
    <row r="1505" spans="1:6" ht="15">
      <c r="A1505" s="20" t="s">
        <v>1959</v>
      </c>
      <c r="B1505" s="34" t="s">
        <v>56</v>
      </c>
      <c r="C1505" s="122">
        <v>27.4</v>
      </c>
      <c r="D1505" s="12">
        <v>69</v>
      </c>
      <c r="E1505" s="7"/>
    </row>
    <row r="1506" spans="1:6" ht="15">
      <c r="A1506" s="20" t="s">
        <v>1960</v>
      </c>
      <c r="B1506" s="34" t="s">
        <v>1961</v>
      </c>
      <c r="C1506" s="103">
        <v>27.4</v>
      </c>
      <c r="D1506" s="12">
        <v>123</v>
      </c>
      <c r="E1506" s="7"/>
    </row>
    <row r="1511" spans="1:6" ht="15.75">
      <c r="A1511" s="73" t="s">
        <v>2612</v>
      </c>
      <c r="B1511" s="73" t="s">
        <v>33</v>
      </c>
      <c r="C1511" s="80" t="s">
        <v>34</v>
      </c>
      <c r="D1511" s="98" t="s">
        <v>2</v>
      </c>
      <c r="E1511" s="98" t="s">
        <v>113</v>
      </c>
      <c r="F1511" s="98" t="s">
        <v>112</v>
      </c>
    </row>
    <row r="1512" spans="1:6" ht="15">
      <c r="A1512" s="20">
        <v>5636</v>
      </c>
      <c r="B1512" s="34" t="s">
        <v>202</v>
      </c>
      <c r="C1512" s="34" t="s">
        <v>236</v>
      </c>
      <c r="D1512" s="103">
        <v>50</v>
      </c>
      <c r="E1512" s="104">
        <v>24</v>
      </c>
      <c r="F1512" s="8">
        <v>1200</v>
      </c>
    </row>
    <row r="1513" spans="1:6" ht="15">
      <c r="A1513" s="20">
        <v>5636</v>
      </c>
      <c r="B1513" s="34" t="s">
        <v>202</v>
      </c>
      <c r="C1513" s="34" t="s">
        <v>1953</v>
      </c>
      <c r="D1513" s="103">
        <v>50</v>
      </c>
      <c r="E1513" s="104">
        <v>35</v>
      </c>
      <c r="F1513" s="8">
        <v>1750</v>
      </c>
    </row>
    <row r="1514" spans="1:6" ht="15">
      <c r="A1514" s="20">
        <v>5636</v>
      </c>
      <c r="B1514" s="34" t="s">
        <v>202</v>
      </c>
      <c r="C1514" s="34" t="s">
        <v>1954</v>
      </c>
      <c r="D1514" s="103">
        <v>50</v>
      </c>
      <c r="E1514" s="104">
        <v>28</v>
      </c>
      <c r="F1514" s="8">
        <v>1400</v>
      </c>
    </row>
    <row r="1517" spans="1:6" ht="15.75">
      <c r="A1517" s="73" t="s">
        <v>2612</v>
      </c>
      <c r="B1517" s="80" t="s">
        <v>34</v>
      </c>
      <c r="C1517" s="80" t="s">
        <v>35</v>
      </c>
      <c r="D1517" s="80" t="s">
        <v>223</v>
      </c>
    </row>
    <row r="1518" spans="1:6" ht="15">
      <c r="A1518" s="20">
        <v>5600</v>
      </c>
      <c r="B1518" s="20" t="s">
        <v>1962</v>
      </c>
      <c r="C1518" s="103">
        <v>54</v>
      </c>
      <c r="D1518" s="703" t="s">
        <v>2705</v>
      </c>
    </row>
    <row r="1519" spans="1:6" ht="15">
      <c r="A1519" s="20" t="s">
        <v>1963</v>
      </c>
      <c r="B1519" s="20" t="s">
        <v>1964</v>
      </c>
      <c r="C1519" s="103">
        <v>52</v>
      </c>
      <c r="D1519" s="703" t="s">
        <v>2705</v>
      </c>
    </row>
    <row r="1520" spans="1:6" ht="15">
      <c r="A1520" s="20" t="s">
        <v>6</v>
      </c>
      <c r="B1520" s="20" t="s">
        <v>86</v>
      </c>
      <c r="C1520" s="103">
        <v>40</v>
      </c>
      <c r="D1520" s="703" t="s">
        <v>2706</v>
      </c>
    </row>
    <row r="1521" spans="1:14" ht="15">
      <c r="A1521" s="20" t="s">
        <v>2707</v>
      </c>
      <c r="B1521" s="20" t="s">
        <v>1965</v>
      </c>
      <c r="C1521" s="103">
        <v>50</v>
      </c>
      <c r="D1521" s="703" t="s">
        <v>2708</v>
      </c>
    </row>
    <row r="1523" spans="1:14" ht="15.75">
      <c r="A1523" s="73"/>
    </row>
    <row r="1524" spans="1:14" ht="15.75">
      <c r="A1524" s="73" t="s">
        <v>77</v>
      </c>
      <c r="B1524" s="73" t="s">
        <v>2612</v>
      </c>
      <c r="C1524" s="73" t="s">
        <v>33</v>
      </c>
      <c r="D1524" s="80" t="s">
        <v>34</v>
      </c>
      <c r="E1524" s="98" t="s">
        <v>35</v>
      </c>
      <c r="F1524" s="81" t="s">
        <v>2308</v>
      </c>
      <c r="G1524" s="704" t="s">
        <v>2709</v>
      </c>
      <c r="H1524" s="10"/>
      <c r="I1524" s="127"/>
      <c r="J1524" s="12"/>
      <c r="K1524" s="36"/>
      <c r="L1524" s="12"/>
      <c r="M1524" s="228"/>
      <c r="N1524" s="7"/>
    </row>
    <row r="1525" spans="1:14" ht="15">
      <c r="A1525" s="26" t="s">
        <v>2710</v>
      </c>
      <c r="B1525" s="20">
        <v>1100</v>
      </c>
      <c r="C1525" s="34">
        <v>40</v>
      </c>
      <c r="D1525" s="34" t="s">
        <v>1969</v>
      </c>
      <c r="E1525" s="8">
        <v>210</v>
      </c>
      <c r="F1525" s="36">
        <v>2.15</v>
      </c>
      <c r="G1525" s="12">
        <v>116</v>
      </c>
      <c r="H1525" s="130">
        <v>44418</v>
      </c>
      <c r="I1525" s="126"/>
      <c r="J1525" s="36">
        <f>(M1525/0.7/90)</f>
        <v>1.8412698412698414</v>
      </c>
      <c r="K1525" s="36">
        <v>1.84</v>
      </c>
      <c r="L1525" s="36"/>
      <c r="M1525" s="7">
        <v>116</v>
      </c>
      <c r="N1525" s="87">
        <f>M1525*E1525</f>
        <v>24360</v>
      </c>
    </row>
    <row r="1526" spans="1:14" ht="15">
      <c r="A1526" s="26" t="s">
        <v>2710</v>
      </c>
      <c r="B1526" s="20"/>
      <c r="C1526" s="97"/>
      <c r="D1526" s="20" t="s">
        <v>186</v>
      </c>
      <c r="E1526" s="35">
        <v>1</v>
      </c>
      <c r="F1526" s="36">
        <v>310</v>
      </c>
      <c r="G1526" s="12">
        <v>22000</v>
      </c>
      <c r="H1526" s="130"/>
      <c r="I1526" s="126"/>
      <c r="J1526" s="36">
        <f>M1526/0.88/90</f>
        <v>277.77777777777777</v>
      </c>
      <c r="K1526" s="36">
        <v>277.77999999999997</v>
      </c>
      <c r="L1526" s="19"/>
      <c r="M1526" s="7">
        <v>22000</v>
      </c>
      <c r="N1526" s="87">
        <f>M1526*E1526</f>
        <v>22000</v>
      </c>
    </row>
    <row r="1527" spans="1:14" ht="15">
      <c r="A1527" s="240"/>
      <c r="B1527" s="174"/>
      <c r="C1527" s="152"/>
      <c r="D1527" s="152"/>
      <c r="E1527" s="153"/>
      <c r="F1527" s="160"/>
      <c r="G1527" s="156"/>
      <c r="H1527" s="157"/>
      <c r="I1527" s="158"/>
      <c r="J1527" s="149"/>
      <c r="K1527" s="237"/>
      <c r="L1527" s="237"/>
      <c r="M1527" s="164"/>
      <c r="N1527" s="165"/>
    </row>
    <row r="1528" spans="1:14" ht="15.75">
      <c r="A1528" s="73" t="s">
        <v>77</v>
      </c>
      <c r="B1528" s="73" t="s">
        <v>2612</v>
      </c>
      <c r="C1528" s="73" t="s">
        <v>209</v>
      </c>
      <c r="D1528" s="79" t="s">
        <v>219</v>
      </c>
      <c r="E1528" s="79" t="s">
        <v>35</v>
      </c>
      <c r="F1528" s="81" t="s">
        <v>2668</v>
      </c>
      <c r="G1528" s="704" t="s">
        <v>2709</v>
      </c>
      <c r="H1528" s="31"/>
      <c r="I1528" s="126"/>
      <c r="J1528" s="6"/>
      <c r="K1528" s="585"/>
      <c r="L1528" s="19"/>
      <c r="M1528" s="7"/>
      <c r="N1528" s="7"/>
    </row>
    <row r="1529" spans="1:14" ht="15">
      <c r="A1529" s="26" t="s">
        <v>2711</v>
      </c>
      <c r="B1529" s="17" t="s">
        <v>1971</v>
      </c>
      <c r="C1529" s="107">
        <v>140</v>
      </c>
      <c r="D1529" s="135" t="s">
        <v>1972</v>
      </c>
      <c r="E1529" s="136">
        <v>345</v>
      </c>
      <c r="F1529" s="36"/>
      <c r="G1529" s="705">
        <v>131.6</v>
      </c>
      <c r="H1529" s="31"/>
      <c r="I1529" s="126"/>
      <c r="J1529" s="36">
        <f>ROUNDUP(M1529/0.7/90,2)</f>
        <v>2.09</v>
      </c>
      <c r="K1529" s="36">
        <v>2.09</v>
      </c>
      <c r="L1529" s="124"/>
      <c r="M1529" s="7">
        <v>131.6</v>
      </c>
      <c r="N1529" s="7">
        <f t="shared" ref="N1529:N1535" si="4">M1529*E1529</f>
        <v>45402</v>
      </c>
    </row>
    <row r="1530" spans="1:14" ht="15">
      <c r="A1530" s="26" t="s">
        <v>2711</v>
      </c>
      <c r="B1530" s="17" t="s">
        <v>1971</v>
      </c>
      <c r="C1530" s="107">
        <v>140</v>
      </c>
      <c r="D1530" s="135" t="s">
        <v>1973</v>
      </c>
      <c r="E1530" s="136">
        <v>105</v>
      </c>
      <c r="F1530" s="36"/>
      <c r="G1530" s="705">
        <v>129.80000000000001</v>
      </c>
      <c r="H1530" s="31"/>
      <c r="I1530" s="126"/>
      <c r="J1530" s="36">
        <f>ROUNDUP(M1530/0.7/90,2)</f>
        <v>2.0699999999999998</v>
      </c>
      <c r="K1530" s="36">
        <v>2.0699999999999998</v>
      </c>
      <c r="L1530" s="124"/>
      <c r="M1530" s="7">
        <v>129.80000000000001</v>
      </c>
      <c r="N1530" s="7">
        <f t="shared" si="4"/>
        <v>13629.000000000002</v>
      </c>
    </row>
    <row r="1531" spans="1:14" ht="15">
      <c r="A1531" s="26" t="s">
        <v>2711</v>
      </c>
      <c r="B1531" s="17" t="s">
        <v>1971</v>
      </c>
      <c r="C1531" s="107">
        <v>140</v>
      </c>
      <c r="D1531" s="135" t="s">
        <v>1974</v>
      </c>
      <c r="E1531" s="136">
        <v>610</v>
      </c>
      <c r="F1531" s="36"/>
      <c r="G1531" s="705">
        <v>120.8</v>
      </c>
      <c r="H1531" s="31"/>
      <c r="I1531" s="126"/>
      <c r="J1531" s="36">
        <f>ROUNDUP(M1531/0.7/90,2)</f>
        <v>1.92</v>
      </c>
      <c r="K1531" s="36">
        <v>1.92</v>
      </c>
      <c r="L1531" s="124"/>
      <c r="M1531" s="7">
        <v>120.8</v>
      </c>
      <c r="N1531" s="7">
        <f t="shared" si="4"/>
        <v>73688</v>
      </c>
    </row>
    <row r="1532" spans="1:14" ht="15">
      <c r="A1532" s="26" t="s">
        <v>2711</v>
      </c>
      <c r="B1532" s="17" t="s">
        <v>1971</v>
      </c>
      <c r="C1532" s="107">
        <v>140</v>
      </c>
      <c r="D1532" s="135" t="s">
        <v>1975</v>
      </c>
      <c r="E1532" s="136">
        <v>170</v>
      </c>
      <c r="F1532" s="36"/>
      <c r="G1532" s="705">
        <v>140.6</v>
      </c>
      <c r="H1532" s="31"/>
      <c r="I1532" s="126"/>
      <c r="J1532" s="36">
        <f>M1532/0.7/90</f>
        <v>2.2317460317460318</v>
      </c>
      <c r="K1532" s="36">
        <v>2.23</v>
      </c>
      <c r="L1532" s="124"/>
      <c r="M1532" s="7">
        <v>140.6</v>
      </c>
      <c r="N1532" s="7">
        <f t="shared" si="4"/>
        <v>23902</v>
      </c>
    </row>
    <row r="1533" spans="1:14" ht="15">
      <c r="A1533" s="26" t="s">
        <v>2711</v>
      </c>
      <c r="B1533" s="20"/>
      <c r="C1533" s="97"/>
      <c r="D1533" s="20" t="s">
        <v>1976</v>
      </c>
      <c r="E1533" s="35">
        <v>2</v>
      </c>
      <c r="F1533" s="36">
        <v>180</v>
      </c>
      <c r="G1533" s="77" t="s">
        <v>2712</v>
      </c>
      <c r="H1533" s="31"/>
      <c r="I1533" s="126"/>
      <c r="J1533" s="36">
        <f>M1533/0.88/90</f>
        <v>101.010101010101</v>
      </c>
      <c r="K1533" s="36">
        <v>101.01</v>
      </c>
      <c r="L1533" s="19"/>
      <c r="M1533" s="7">
        <v>8000</v>
      </c>
      <c r="N1533" s="7">
        <f t="shared" si="4"/>
        <v>16000</v>
      </c>
    </row>
    <row r="1534" spans="1:14" ht="15">
      <c r="A1534" s="26" t="s">
        <v>2711</v>
      </c>
      <c r="B1534" s="20"/>
      <c r="C1534" s="97"/>
      <c r="D1534" s="20" t="s">
        <v>1977</v>
      </c>
      <c r="E1534" s="35">
        <v>2</v>
      </c>
      <c r="F1534" s="36">
        <v>0</v>
      </c>
      <c r="G1534" s="77" t="s">
        <v>2713</v>
      </c>
      <c r="H1534" s="31"/>
      <c r="I1534" s="126"/>
      <c r="J1534" s="36">
        <f>ROUNDUP(M1534/0.88/90,2)</f>
        <v>50.51</v>
      </c>
      <c r="K1534" s="36">
        <v>50.51</v>
      </c>
      <c r="L1534" s="19"/>
      <c r="M1534" s="7">
        <v>4000</v>
      </c>
      <c r="N1534" s="7">
        <f t="shared" si="4"/>
        <v>8000</v>
      </c>
    </row>
    <row r="1535" spans="1:14" ht="15">
      <c r="A1535" s="26" t="s">
        <v>2711</v>
      </c>
      <c r="B1535" s="20"/>
      <c r="C1535" s="34"/>
      <c r="D1535" s="34" t="s">
        <v>12</v>
      </c>
      <c r="E1535" s="35">
        <v>1</v>
      </c>
      <c r="F1535" s="36">
        <v>12</v>
      </c>
      <c r="G1535" s="77">
        <v>1100</v>
      </c>
      <c r="H1535" s="31"/>
      <c r="I1535" s="126"/>
      <c r="J1535" s="6"/>
      <c r="K1535" s="36">
        <v>12</v>
      </c>
      <c r="L1535" s="19"/>
      <c r="M1535" s="7">
        <v>1100</v>
      </c>
      <c r="N1535" s="7">
        <f t="shared" si="4"/>
        <v>1100</v>
      </c>
    </row>
    <row r="1536" spans="1:14" ht="15">
      <c r="A1536" s="240"/>
      <c r="B1536" s="174"/>
      <c r="C1536" s="483"/>
      <c r="D1536" s="152"/>
      <c r="E1536" s="153"/>
      <c r="F1536" s="160"/>
      <c r="G1536" s="156"/>
      <c r="H1536" s="157"/>
      <c r="I1536" s="158"/>
      <c r="J1536" s="149"/>
      <c r="K1536" s="237"/>
      <c r="L1536" s="237"/>
      <c r="M1536" s="164"/>
      <c r="N1536" s="165"/>
    </row>
    <row r="1537" spans="1:14" ht="15.75">
      <c r="A1537" s="73" t="s">
        <v>77</v>
      </c>
      <c r="B1537" s="73" t="s">
        <v>2612</v>
      </c>
      <c r="C1537" s="73" t="s">
        <v>209</v>
      </c>
      <c r="D1537" s="79" t="s">
        <v>219</v>
      </c>
      <c r="E1537" s="79" t="s">
        <v>35</v>
      </c>
      <c r="F1537" s="81" t="s">
        <v>2668</v>
      </c>
      <c r="G1537" s="704" t="s">
        <v>2709</v>
      </c>
      <c r="H1537" s="31"/>
      <c r="I1537" s="126"/>
      <c r="J1537" s="6"/>
      <c r="K1537" s="585"/>
      <c r="L1537" s="19"/>
      <c r="M1537" s="7"/>
      <c r="N1537" s="7"/>
    </row>
    <row r="1538" spans="1:14" ht="15">
      <c r="A1538" s="26" t="s">
        <v>2714</v>
      </c>
      <c r="B1538" s="17" t="s">
        <v>1971</v>
      </c>
      <c r="C1538" s="107">
        <v>170</v>
      </c>
      <c r="D1538" s="592" t="s">
        <v>1979</v>
      </c>
      <c r="E1538" s="136">
        <v>110</v>
      </c>
      <c r="F1538" s="36">
        <v>2.74</v>
      </c>
      <c r="G1538" s="12">
        <v>139.6</v>
      </c>
      <c r="H1538" s="31"/>
      <c r="I1538" s="126"/>
      <c r="J1538" s="36">
        <f t="shared" ref="J1538:J1543" si="5">M1538/0.7/90</f>
        <v>2.215873015873016</v>
      </c>
      <c r="K1538" s="36">
        <v>2.2200000000000002</v>
      </c>
      <c r="L1538" s="124"/>
      <c r="M1538" s="7">
        <v>139.6</v>
      </c>
      <c r="N1538" s="7">
        <f t="shared" ref="N1538:N1546" si="6">M1538*E1538</f>
        <v>15356</v>
      </c>
    </row>
    <row r="1539" spans="1:14" ht="15">
      <c r="A1539" s="26" t="s">
        <v>2714</v>
      </c>
      <c r="B1539" s="17" t="s">
        <v>1971</v>
      </c>
      <c r="C1539" s="107">
        <v>170</v>
      </c>
      <c r="D1539" s="135" t="s">
        <v>1974</v>
      </c>
      <c r="E1539" s="136">
        <v>120</v>
      </c>
      <c r="F1539" s="36">
        <v>2.48</v>
      </c>
      <c r="G1539" s="12">
        <v>126.5</v>
      </c>
      <c r="H1539" s="31"/>
      <c r="I1539" s="126"/>
      <c r="J1539" s="36">
        <f t="shared" si="5"/>
        <v>2.0079365079365079</v>
      </c>
      <c r="K1539" s="36">
        <v>2.0099999999999998</v>
      </c>
      <c r="L1539" s="124"/>
      <c r="M1539" s="7">
        <v>126.5</v>
      </c>
      <c r="N1539" s="7">
        <f t="shared" si="6"/>
        <v>15180</v>
      </c>
    </row>
    <row r="1540" spans="1:14" ht="15">
      <c r="A1540" s="26" t="s">
        <v>2714</v>
      </c>
      <c r="B1540" s="17" t="s">
        <v>1971</v>
      </c>
      <c r="C1540" s="107">
        <v>120</v>
      </c>
      <c r="D1540" s="592" t="s">
        <v>1979</v>
      </c>
      <c r="E1540" s="136">
        <v>140</v>
      </c>
      <c r="F1540" s="36">
        <v>2.48</v>
      </c>
      <c r="G1540" s="12">
        <v>126.2</v>
      </c>
      <c r="H1540" s="31"/>
      <c r="I1540" s="126"/>
      <c r="J1540" s="36">
        <f t="shared" si="5"/>
        <v>2.0031746031746036</v>
      </c>
      <c r="K1540" s="36">
        <v>2</v>
      </c>
      <c r="L1540" s="124"/>
      <c r="M1540" s="7">
        <v>126.2</v>
      </c>
      <c r="N1540" s="7">
        <f t="shared" si="6"/>
        <v>17668</v>
      </c>
    </row>
    <row r="1541" spans="1:14" ht="15">
      <c r="A1541" s="26" t="s">
        <v>2714</v>
      </c>
      <c r="B1541" s="17" t="s">
        <v>1971</v>
      </c>
      <c r="C1541" s="107">
        <v>120</v>
      </c>
      <c r="D1541" s="135" t="s">
        <v>1974</v>
      </c>
      <c r="E1541" s="136">
        <v>290</v>
      </c>
      <c r="F1541" s="36">
        <v>2.2999999999999998</v>
      </c>
      <c r="G1541" s="12">
        <v>117</v>
      </c>
      <c r="H1541" s="31"/>
      <c r="I1541" s="126"/>
      <c r="J1541" s="36">
        <f t="shared" si="5"/>
        <v>1.8571428571428574</v>
      </c>
      <c r="K1541" s="36">
        <v>1.86</v>
      </c>
      <c r="L1541" s="124"/>
      <c r="M1541" s="7">
        <v>117</v>
      </c>
      <c r="N1541" s="7">
        <f t="shared" si="6"/>
        <v>33930</v>
      </c>
    </row>
    <row r="1542" spans="1:14" ht="15">
      <c r="A1542" s="26" t="s">
        <v>2714</v>
      </c>
      <c r="B1542" s="17" t="s">
        <v>1971</v>
      </c>
      <c r="C1542" s="107">
        <v>200</v>
      </c>
      <c r="D1542" s="592" t="s">
        <v>1979</v>
      </c>
      <c r="E1542" s="136">
        <v>190</v>
      </c>
      <c r="F1542" s="36">
        <v>2.9</v>
      </c>
      <c r="G1542" s="12">
        <v>147.6</v>
      </c>
      <c r="H1542" s="31"/>
      <c r="I1542" s="126"/>
      <c r="J1542" s="36">
        <f t="shared" si="5"/>
        <v>2.342857142857143</v>
      </c>
      <c r="K1542" s="36">
        <v>2.34</v>
      </c>
      <c r="L1542" s="124"/>
      <c r="M1542" s="7">
        <v>147.6</v>
      </c>
      <c r="N1542" s="7">
        <f t="shared" si="6"/>
        <v>28044</v>
      </c>
    </row>
    <row r="1543" spans="1:14" ht="15">
      <c r="A1543" s="26" t="s">
        <v>2714</v>
      </c>
      <c r="B1543" s="17" t="s">
        <v>1971</v>
      </c>
      <c r="C1543" s="107">
        <v>200</v>
      </c>
      <c r="D1543" s="135" t="s">
        <v>1974</v>
      </c>
      <c r="E1543" s="136">
        <v>240</v>
      </c>
      <c r="F1543" s="36">
        <v>2.6</v>
      </c>
      <c r="G1543" s="12">
        <v>132.19999999999999</v>
      </c>
      <c r="H1543" s="31"/>
      <c r="I1543" s="126"/>
      <c r="J1543" s="36">
        <f t="shared" si="5"/>
        <v>2.0984126984126985</v>
      </c>
      <c r="K1543" s="36">
        <v>2.1</v>
      </c>
      <c r="L1543" s="124"/>
      <c r="M1543" s="7">
        <v>132.19999999999999</v>
      </c>
      <c r="N1543" s="7">
        <f t="shared" si="6"/>
        <v>31727.999999999996</v>
      </c>
    </row>
    <row r="1544" spans="1:14" ht="15">
      <c r="A1544" s="26" t="s">
        <v>2714</v>
      </c>
      <c r="B1544" s="20"/>
      <c r="C1544" s="97"/>
      <c r="D1544" s="20" t="s">
        <v>1980</v>
      </c>
      <c r="E1544" s="706">
        <v>1</v>
      </c>
      <c r="F1544" s="601">
        <v>180</v>
      </c>
      <c r="G1544" s="707" t="s">
        <v>2715</v>
      </c>
      <c r="H1544" s="31"/>
      <c r="I1544" s="126"/>
      <c r="J1544" s="36">
        <f>M1544/0.88/90</f>
        <v>101.010101010101</v>
      </c>
      <c r="K1544" s="36">
        <v>101.01</v>
      </c>
      <c r="L1544" s="19"/>
      <c r="M1544" s="7">
        <v>8000</v>
      </c>
      <c r="N1544" s="7">
        <f t="shared" si="6"/>
        <v>8000</v>
      </c>
    </row>
    <row r="1545" spans="1:14" ht="15">
      <c r="A1545" s="26" t="s">
        <v>2714</v>
      </c>
      <c r="B1545" s="20"/>
      <c r="C1545" s="97"/>
      <c r="D1545" s="20" t="s">
        <v>1981</v>
      </c>
      <c r="E1545" s="706">
        <v>1</v>
      </c>
      <c r="F1545" s="601">
        <v>0</v>
      </c>
      <c r="G1545" s="707" t="s">
        <v>2716</v>
      </c>
      <c r="H1545" s="31"/>
      <c r="I1545" s="126"/>
      <c r="J1545" s="36">
        <f>ROUNDUP(M1545/0.88/90,2)</f>
        <v>50.51</v>
      </c>
      <c r="K1545" s="36">
        <v>50.51</v>
      </c>
      <c r="L1545" s="19"/>
      <c r="M1545" s="7">
        <v>4000</v>
      </c>
      <c r="N1545" s="7">
        <f t="shared" si="6"/>
        <v>4000</v>
      </c>
    </row>
    <row r="1546" spans="1:14" ht="15">
      <c r="A1546" s="26" t="s">
        <v>2714</v>
      </c>
      <c r="B1546" s="46"/>
      <c r="C1546" s="34"/>
      <c r="D1546" s="34" t="s">
        <v>12</v>
      </c>
      <c r="E1546" s="35">
        <v>1</v>
      </c>
      <c r="F1546" s="36">
        <v>12</v>
      </c>
      <c r="G1546" s="12">
        <v>1100</v>
      </c>
      <c r="H1546" s="31"/>
      <c r="I1546" s="126"/>
      <c r="J1546" s="6"/>
      <c r="K1546" s="36">
        <v>12</v>
      </c>
      <c r="L1546" s="19"/>
      <c r="M1546" s="7">
        <v>1100</v>
      </c>
      <c r="N1546" s="7">
        <f t="shared" si="6"/>
        <v>1100</v>
      </c>
    </row>
    <row r="1551" spans="1:14" ht="15">
      <c r="A1551" s="108" t="s">
        <v>44</v>
      </c>
      <c r="B1551" s="108" t="s">
        <v>108</v>
      </c>
      <c r="C1551" s="108" t="s">
        <v>2717</v>
      </c>
      <c r="D1551" s="108" t="s">
        <v>48</v>
      </c>
      <c r="E1551" s="79" t="s">
        <v>35</v>
      </c>
    </row>
    <row r="1552" spans="1:14" ht="15">
      <c r="A1552" s="20">
        <v>3808</v>
      </c>
      <c r="B1552" s="34">
        <v>9</v>
      </c>
      <c r="C1552" s="34" t="s">
        <v>1879</v>
      </c>
      <c r="D1552" s="8">
        <v>150</v>
      </c>
    </row>
    <row r="1553" spans="1:9" ht="15">
      <c r="A1553" s="20">
        <v>3808</v>
      </c>
      <c r="B1553" s="34">
        <v>9</v>
      </c>
      <c r="C1553" s="34" t="s">
        <v>1877</v>
      </c>
      <c r="D1553" s="8">
        <v>50</v>
      </c>
    </row>
    <row r="1554" spans="1:9" ht="15">
      <c r="A1554" s="20">
        <v>3808</v>
      </c>
      <c r="B1554" s="34">
        <v>9</v>
      </c>
      <c r="C1554" s="34" t="s">
        <v>1968</v>
      </c>
      <c r="D1554" s="8">
        <v>100</v>
      </c>
    </row>
    <row r="1555" spans="1:9" ht="15">
      <c r="A1555" s="20">
        <v>3808</v>
      </c>
      <c r="B1555" s="34">
        <v>9</v>
      </c>
      <c r="C1555" s="34" t="s">
        <v>1878</v>
      </c>
      <c r="D1555" s="8">
        <v>50</v>
      </c>
    </row>
    <row r="1558" spans="1:9" ht="15.75">
      <c r="A1558" s="73" t="s">
        <v>77</v>
      </c>
      <c r="B1558" s="73" t="s">
        <v>2612</v>
      </c>
      <c r="C1558" s="73" t="s">
        <v>209</v>
      </c>
      <c r="D1558" s="79" t="s">
        <v>219</v>
      </c>
      <c r="E1558" s="79" t="s">
        <v>35</v>
      </c>
      <c r="F1558" s="81" t="s">
        <v>2668</v>
      </c>
      <c r="G1558" s="81" t="s">
        <v>2718</v>
      </c>
      <c r="H1558" s="704" t="s">
        <v>2709</v>
      </c>
    </row>
    <row r="1559" spans="1:9" ht="15">
      <c r="A1559" s="26" t="s">
        <v>1970</v>
      </c>
      <c r="B1559" s="17" t="s">
        <v>1971</v>
      </c>
      <c r="C1559" s="107">
        <v>140</v>
      </c>
      <c r="D1559" s="135" t="s">
        <v>1972</v>
      </c>
      <c r="E1559" s="136">
        <v>345</v>
      </c>
      <c r="F1559" s="36">
        <v>2.58</v>
      </c>
      <c r="G1559" s="130" t="s">
        <v>2719</v>
      </c>
      <c r="H1559" s="12">
        <v>131.6</v>
      </c>
      <c r="I1559" s="7">
        <f t="shared" ref="I1559:I1565" si="7">H1559*E1559</f>
        <v>45402</v>
      </c>
    </row>
    <row r="1560" spans="1:9" ht="15">
      <c r="A1560" s="26" t="s">
        <v>1970</v>
      </c>
      <c r="B1560" s="17" t="s">
        <v>1971</v>
      </c>
      <c r="C1560" s="107">
        <v>140</v>
      </c>
      <c r="D1560" s="135" t="s">
        <v>1973</v>
      </c>
      <c r="E1560" s="136">
        <v>105</v>
      </c>
      <c r="F1560" s="36">
        <v>2.5499999999999998</v>
      </c>
      <c r="G1560" s="130" t="s">
        <v>2719</v>
      </c>
      <c r="H1560" s="12">
        <v>129.80000000000001</v>
      </c>
      <c r="I1560" s="7">
        <f t="shared" si="7"/>
        <v>13629.000000000002</v>
      </c>
    </row>
    <row r="1561" spans="1:9" ht="15">
      <c r="A1561" s="26" t="s">
        <v>1970</v>
      </c>
      <c r="B1561" s="17" t="s">
        <v>1971</v>
      </c>
      <c r="C1561" s="107">
        <v>140</v>
      </c>
      <c r="D1561" s="135" t="s">
        <v>1974</v>
      </c>
      <c r="E1561" s="136">
        <v>610</v>
      </c>
      <c r="F1561" s="36">
        <v>2.37</v>
      </c>
      <c r="G1561" s="130" t="s">
        <v>2719</v>
      </c>
      <c r="H1561" s="12">
        <v>120.8</v>
      </c>
      <c r="I1561" s="7">
        <f t="shared" si="7"/>
        <v>73688</v>
      </c>
    </row>
    <row r="1562" spans="1:9" ht="15">
      <c r="A1562" s="26" t="s">
        <v>1970</v>
      </c>
      <c r="B1562" s="17" t="s">
        <v>1971</v>
      </c>
      <c r="C1562" s="107">
        <v>140</v>
      </c>
      <c r="D1562" s="135" t="s">
        <v>1975</v>
      </c>
      <c r="E1562" s="136">
        <v>170</v>
      </c>
      <c r="F1562" s="36">
        <v>2.76</v>
      </c>
      <c r="G1562" s="130" t="s">
        <v>2719</v>
      </c>
      <c r="H1562" s="12">
        <v>140.6</v>
      </c>
      <c r="I1562" s="7">
        <f t="shared" si="7"/>
        <v>23902</v>
      </c>
    </row>
    <row r="1563" spans="1:9" ht="15">
      <c r="A1563" s="26" t="s">
        <v>1970</v>
      </c>
      <c r="B1563" s="20"/>
      <c r="C1563" s="97"/>
      <c r="D1563" s="20" t="s">
        <v>1976</v>
      </c>
      <c r="E1563" s="35">
        <v>2</v>
      </c>
      <c r="F1563" s="36">
        <v>180</v>
      </c>
      <c r="G1563" s="130" t="s">
        <v>2719</v>
      </c>
      <c r="H1563" s="12">
        <v>8000</v>
      </c>
      <c r="I1563" s="7">
        <f t="shared" si="7"/>
        <v>16000</v>
      </c>
    </row>
    <row r="1564" spans="1:9" ht="15.75">
      <c r="A1564" s="26" t="s">
        <v>1970</v>
      </c>
      <c r="B1564" s="20"/>
      <c r="C1564" s="97"/>
      <c r="D1564" s="20" t="s">
        <v>1977</v>
      </c>
      <c r="E1564" s="35">
        <v>2</v>
      </c>
      <c r="F1564" s="708" t="s">
        <v>2720</v>
      </c>
      <c r="G1564" s="130" t="s">
        <v>2719</v>
      </c>
      <c r="H1564" s="12">
        <v>4000</v>
      </c>
      <c r="I1564" s="7">
        <f t="shared" si="7"/>
        <v>8000</v>
      </c>
    </row>
    <row r="1565" spans="1:9" ht="15">
      <c r="A1565" s="26" t="s">
        <v>1970</v>
      </c>
      <c r="B1565" s="20"/>
      <c r="C1565" s="34"/>
      <c r="D1565" s="34" t="s">
        <v>12</v>
      </c>
      <c r="E1565" s="35">
        <v>1</v>
      </c>
      <c r="F1565" s="36">
        <v>12</v>
      </c>
      <c r="G1565" s="130" t="s">
        <v>2719</v>
      </c>
      <c r="H1565" s="12">
        <v>1100</v>
      </c>
      <c r="I1565" s="7">
        <f t="shared" si="7"/>
        <v>1100</v>
      </c>
    </row>
    <row r="1566" spans="1:9" ht="15">
      <c r="A1566" s="240" t="s">
        <v>1970</v>
      </c>
      <c r="B1566" s="174"/>
      <c r="C1566" s="483"/>
      <c r="D1566" s="152" t="s">
        <v>215</v>
      </c>
      <c r="E1566" s="153"/>
      <c r="F1566" s="160">
        <v>0</v>
      </c>
      <c r="G1566" s="157"/>
      <c r="H1566" s="594">
        <v>0</v>
      </c>
      <c r="I1566" s="165">
        <v>0</v>
      </c>
    </row>
    <row r="1567" spans="1:9" ht="15.75">
      <c r="A1567" s="73" t="s">
        <v>77</v>
      </c>
      <c r="B1567" s="73" t="s">
        <v>2612</v>
      </c>
      <c r="C1567" s="73" t="s">
        <v>209</v>
      </c>
      <c r="D1567" s="79" t="s">
        <v>219</v>
      </c>
      <c r="E1567" s="79" t="s">
        <v>35</v>
      </c>
      <c r="F1567" s="81" t="s">
        <v>2668</v>
      </c>
      <c r="G1567" s="81" t="s">
        <v>2718</v>
      </c>
      <c r="H1567" s="704" t="s">
        <v>2709</v>
      </c>
    </row>
    <row r="1568" spans="1:9" ht="15">
      <c r="A1568" s="26" t="s">
        <v>1978</v>
      </c>
      <c r="B1568" s="17" t="s">
        <v>1971</v>
      </c>
      <c r="C1568" s="107">
        <v>170</v>
      </c>
      <c r="D1568" s="592" t="s">
        <v>1979</v>
      </c>
      <c r="E1568" s="136">
        <v>110</v>
      </c>
      <c r="F1568" s="36">
        <v>2.74</v>
      </c>
      <c r="G1568" s="130" t="s">
        <v>2719</v>
      </c>
      <c r="H1568" s="12">
        <v>139.6</v>
      </c>
      <c r="I1568" s="7">
        <f t="shared" ref="I1568:I1577" si="8">H1568*E1568</f>
        <v>15356</v>
      </c>
    </row>
    <row r="1569" spans="1:9" ht="15">
      <c r="A1569" s="26" t="s">
        <v>1978</v>
      </c>
      <c r="B1569" s="17" t="s">
        <v>1971</v>
      </c>
      <c r="C1569" s="107">
        <v>170</v>
      </c>
      <c r="D1569" s="135" t="s">
        <v>1974</v>
      </c>
      <c r="E1569" s="136">
        <v>120</v>
      </c>
      <c r="F1569" s="36">
        <v>2.48</v>
      </c>
      <c r="G1569" s="130" t="s">
        <v>2719</v>
      </c>
      <c r="H1569" s="12">
        <v>126.5</v>
      </c>
      <c r="I1569" s="7">
        <f t="shared" si="8"/>
        <v>15180</v>
      </c>
    </row>
    <row r="1570" spans="1:9" ht="15">
      <c r="A1570" s="26" t="s">
        <v>1978</v>
      </c>
      <c r="B1570" s="17" t="s">
        <v>1971</v>
      </c>
      <c r="C1570" s="107">
        <v>120</v>
      </c>
      <c r="D1570" s="592" t="s">
        <v>1979</v>
      </c>
      <c r="E1570" s="136">
        <v>140</v>
      </c>
      <c r="F1570" s="36">
        <v>2.48</v>
      </c>
      <c r="G1570" s="130" t="s">
        <v>2719</v>
      </c>
      <c r="H1570" s="12">
        <v>126.2</v>
      </c>
      <c r="I1570" s="7">
        <f t="shared" si="8"/>
        <v>17668</v>
      </c>
    </row>
    <row r="1571" spans="1:9" ht="15">
      <c r="A1571" s="26" t="s">
        <v>1978</v>
      </c>
      <c r="B1571" s="17" t="s">
        <v>1971</v>
      </c>
      <c r="C1571" s="107">
        <v>120</v>
      </c>
      <c r="D1571" s="135" t="s">
        <v>1974</v>
      </c>
      <c r="E1571" s="136">
        <v>290</v>
      </c>
      <c r="F1571" s="36">
        <v>2.2999999999999998</v>
      </c>
      <c r="G1571" s="130" t="s">
        <v>2719</v>
      </c>
      <c r="H1571" s="12">
        <v>117</v>
      </c>
      <c r="I1571" s="7">
        <f t="shared" si="8"/>
        <v>33930</v>
      </c>
    </row>
    <row r="1572" spans="1:9" ht="15">
      <c r="A1572" s="26" t="s">
        <v>1978</v>
      </c>
      <c r="B1572" s="17" t="s">
        <v>1971</v>
      </c>
      <c r="C1572" s="107">
        <v>200</v>
      </c>
      <c r="D1572" s="592" t="s">
        <v>1979</v>
      </c>
      <c r="E1572" s="136">
        <v>190</v>
      </c>
      <c r="F1572" s="36">
        <v>2.9</v>
      </c>
      <c r="G1572" s="130" t="s">
        <v>2719</v>
      </c>
      <c r="H1572" s="12">
        <v>147.6</v>
      </c>
      <c r="I1572" s="7">
        <f t="shared" si="8"/>
        <v>28044</v>
      </c>
    </row>
    <row r="1573" spans="1:9" ht="15">
      <c r="A1573" s="26" t="s">
        <v>1978</v>
      </c>
      <c r="B1573" s="17" t="s">
        <v>1971</v>
      </c>
      <c r="C1573" s="107">
        <v>200</v>
      </c>
      <c r="D1573" s="135" t="s">
        <v>1974</v>
      </c>
      <c r="E1573" s="136">
        <v>240</v>
      </c>
      <c r="F1573" s="36">
        <v>2.6</v>
      </c>
      <c r="G1573" s="130" t="s">
        <v>2719</v>
      </c>
      <c r="H1573" s="12">
        <v>132.19999999999999</v>
      </c>
      <c r="I1573" s="7">
        <f t="shared" si="8"/>
        <v>31727.999999999996</v>
      </c>
    </row>
    <row r="1574" spans="1:9" ht="15">
      <c r="A1574" s="26" t="s">
        <v>1978</v>
      </c>
      <c r="B1574" s="20"/>
      <c r="C1574" s="97"/>
      <c r="D1574" s="20" t="s">
        <v>1980</v>
      </c>
      <c r="E1574" s="35">
        <v>1</v>
      </c>
      <c r="F1574" s="36">
        <v>180</v>
      </c>
      <c r="G1574" s="130" t="s">
        <v>2719</v>
      </c>
      <c r="H1574" s="12">
        <v>8000</v>
      </c>
      <c r="I1574" s="7">
        <f t="shared" si="8"/>
        <v>8000</v>
      </c>
    </row>
    <row r="1575" spans="1:9" ht="15.75">
      <c r="A1575" s="26" t="s">
        <v>1978</v>
      </c>
      <c r="B1575" s="20"/>
      <c r="C1575" s="97"/>
      <c r="D1575" s="20" t="s">
        <v>1981</v>
      </c>
      <c r="E1575" s="35">
        <v>1</v>
      </c>
      <c r="F1575" s="708" t="s">
        <v>2721</v>
      </c>
      <c r="G1575" s="130" t="s">
        <v>2719</v>
      </c>
      <c r="H1575" s="12">
        <v>4000</v>
      </c>
      <c r="I1575" s="7">
        <f t="shared" si="8"/>
        <v>4000</v>
      </c>
    </row>
    <row r="1576" spans="1:9" ht="15">
      <c r="A1576" s="26" t="s">
        <v>1978</v>
      </c>
      <c r="B1576" s="20"/>
      <c r="C1576" s="97"/>
      <c r="D1576" s="20" t="s">
        <v>1981</v>
      </c>
      <c r="E1576" s="35">
        <v>2</v>
      </c>
      <c r="F1576" s="36">
        <v>80</v>
      </c>
      <c r="G1576" s="130" t="s">
        <v>2719</v>
      </c>
      <c r="H1576" s="12">
        <v>0</v>
      </c>
      <c r="I1576" s="7">
        <f>H1576*E1576</f>
        <v>0</v>
      </c>
    </row>
    <row r="1577" spans="1:9" ht="15">
      <c r="A1577" s="26" t="s">
        <v>1978</v>
      </c>
      <c r="B1577" s="20"/>
      <c r="C1577" s="34"/>
      <c r="D1577" s="34" t="s">
        <v>12</v>
      </c>
      <c r="E1577" s="35">
        <v>1</v>
      </c>
      <c r="F1577" s="36">
        <v>12</v>
      </c>
      <c r="G1577" s="130" t="s">
        <v>2719</v>
      </c>
      <c r="H1577" s="12">
        <v>1100</v>
      </c>
      <c r="I1577" s="7">
        <f t="shared" si="8"/>
        <v>1100</v>
      </c>
    </row>
    <row r="1580" spans="1:9" ht="15.75">
      <c r="A1580" s="73" t="s">
        <v>2612</v>
      </c>
      <c r="B1580" s="80" t="s">
        <v>34</v>
      </c>
      <c r="C1580" s="80" t="s">
        <v>35</v>
      </c>
      <c r="D1580" s="103"/>
      <c r="E1580" s="104"/>
    </row>
    <row r="1581" spans="1:9" ht="15">
      <c r="A1581" s="20" t="s">
        <v>187</v>
      </c>
      <c r="B1581" s="20" t="s">
        <v>1982</v>
      </c>
      <c r="C1581" s="8">
        <v>50</v>
      </c>
      <c r="D1581" s="103">
        <v>50</v>
      </c>
      <c r="E1581" s="104">
        <v>1</v>
      </c>
    </row>
    <row r="1582" spans="1:9" ht="15">
      <c r="A1582" s="20" t="s">
        <v>187</v>
      </c>
      <c r="B1582" s="20" t="s">
        <v>117</v>
      </c>
      <c r="C1582" s="8">
        <v>50</v>
      </c>
      <c r="D1582" s="103">
        <v>50</v>
      </c>
      <c r="E1582" s="104">
        <v>1</v>
      </c>
    </row>
    <row r="1586" spans="1:11" ht="15.75">
      <c r="A1586" s="73" t="s">
        <v>2612</v>
      </c>
      <c r="B1586" s="80" t="s">
        <v>34</v>
      </c>
      <c r="C1586" s="80" t="s">
        <v>35</v>
      </c>
      <c r="D1586" s="80" t="s">
        <v>2680</v>
      </c>
      <c r="E1586" s="30"/>
      <c r="F1586" s="31"/>
      <c r="G1586" s="126"/>
      <c r="H1586" s="12"/>
      <c r="I1586" s="36"/>
      <c r="J1586" s="12"/>
      <c r="K1586" s="7"/>
    </row>
    <row r="1587" spans="1:11" ht="15">
      <c r="A1587" s="20" t="s">
        <v>1983</v>
      </c>
      <c r="B1587" s="20" t="s">
        <v>96</v>
      </c>
      <c r="C1587" s="122">
        <v>27.4</v>
      </c>
      <c r="D1587" s="12">
        <v>98</v>
      </c>
      <c r="E1587" s="30"/>
      <c r="F1587" s="31"/>
      <c r="G1587" s="126"/>
      <c r="H1587" s="36">
        <f>ROUNDUP(K1587/0.7/90,2)</f>
        <v>1.56</v>
      </c>
      <c r="I1587" s="36">
        <v>1.56</v>
      </c>
      <c r="J1587" s="19"/>
      <c r="K1587" s="7">
        <v>98</v>
      </c>
    </row>
    <row r="1588" spans="1:11" ht="15">
      <c r="A1588" s="20" t="s">
        <v>1984</v>
      </c>
      <c r="B1588" s="20" t="s">
        <v>96</v>
      </c>
      <c r="C1588" s="122">
        <v>27.4</v>
      </c>
      <c r="D1588" s="12">
        <v>64</v>
      </c>
      <c r="E1588" s="30"/>
      <c r="F1588" s="31"/>
      <c r="G1588" s="126"/>
      <c r="H1588" s="36">
        <f>ROUNDUP(K1588/0.7/90,2)</f>
        <v>1.02</v>
      </c>
      <c r="I1588" s="36">
        <v>1.02</v>
      </c>
      <c r="J1588" s="19"/>
      <c r="K1588" s="7">
        <v>64</v>
      </c>
    </row>
    <row r="1591" spans="1:11" ht="15.75">
      <c r="A1591" s="108" t="s">
        <v>44</v>
      </c>
      <c r="B1591" s="108" t="s">
        <v>108</v>
      </c>
      <c r="C1591" s="98" t="s">
        <v>2722</v>
      </c>
      <c r="D1591" s="108" t="s">
        <v>109</v>
      </c>
      <c r="E1591" s="108" t="s">
        <v>288</v>
      </c>
      <c r="F1591" s="108" t="s">
        <v>289</v>
      </c>
    </row>
    <row r="1592" spans="1:11" ht="15">
      <c r="A1592" s="20" t="s">
        <v>2723</v>
      </c>
      <c r="B1592" s="34">
        <v>39</v>
      </c>
      <c r="C1592" s="593" t="s">
        <v>1946</v>
      </c>
      <c r="D1592" s="103">
        <v>50</v>
      </c>
      <c r="E1592" s="104">
        <v>44</v>
      </c>
      <c r="F1592" s="8">
        <f>D1592*E1592</f>
        <v>2200</v>
      </c>
    </row>
    <row r="1595" spans="1:11" ht="15">
      <c r="B1595" s="103">
        <v>50</v>
      </c>
      <c r="C1595" s="104">
        <v>44</v>
      </c>
      <c r="D1595" s="8">
        <f>B1595*C1595</f>
        <v>2200</v>
      </c>
    </row>
    <row r="1598" spans="1:11" ht="14.25">
      <c r="A1598" s="108" t="s">
        <v>44</v>
      </c>
      <c r="B1598" s="709" t="s">
        <v>204</v>
      </c>
      <c r="C1598" s="709" t="s">
        <v>48</v>
      </c>
    </row>
    <row r="1599" spans="1:11" ht="15">
      <c r="A1599" s="20" t="s">
        <v>208</v>
      </c>
      <c r="B1599" s="20" t="s">
        <v>1962</v>
      </c>
      <c r="C1599" s="103">
        <v>3</v>
      </c>
    </row>
    <row r="1602" spans="1:6" ht="14.25">
      <c r="A1602" s="108" t="s">
        <v>44</v>
      </c>
      <c r="B1602" s="709" t="s">
        <v>204</v>
      </c>
      <c r="C1602" s="709" t="s">
        <v>48</v>
      </c>
      <c r="D1602" s="709" t="s">
        <v>183</v>
      </c>
    </row>
    <row r="1603" spans="1:6" ht="15">
      <c r="A1603" s="20" t="s">
        <v>1986</v>
      </c>
      <c r="B1603" s="34" t="s">
        <v>115</v>
      </c>
      <c r="C1603" s="103">
        <v>6</v>
      </c>
      <c r="D1603" s="595" t="s">
        <v>2724</v>
      </c>
    </row>
    <row r="1604" spans="1:6" ht="15">
      <c r="A1604" s="20" t="s">
        <v>1987</v>
      </c>
      <c r="B1604" s="34" t="s">
        <v>56</v>
      </c>
      <c r="C1604" s="103">
        <v>15</v>
      </c>
      <c r="D1604" s="595" t="s">
        <v>2725</v>
      </c>
    </row>
    <row r="1607" spans="1:6" ht="14.25">
      <c r="A1607" s="108" t="s">
        <v>44</v>
      </c>
      <c r="B1607" s="709" t="s">
        <v>204</v>
      </c>
      <c r="C1607" s="709" t="s">
        <v>48</v>
      </c>
      <c r="D1607" s="709" t="s">
        <v>183</v>
      </c>
    </row>
    <row r="1608" spans="1:6" ht="15">
      <c r="A1608" s="20" t="s">
        <v>1956</v>
      </c>
      <c r="B1608" s="34" t="s">
        <v>115</v>
      </c>
      <c r="C1608" s="122">
        <v>27.4</v>
      </c>
      <c r="D1608" s="595" t="s">
        <v>2726</v>
      </c>
    </row>
    <row r="1612" spans="1:6" ht="15">
      <c r="A1612" s="108" t="s">
        <v>44</v>
      </c>
      <c r="B1612" s="108" t="s">
        <v>203</v>
      </c>
      <c r="C1612" s="108" t="s">
        <v>204</v>
      </c>
      <c r="D1612" s="709" t="s">
        <v>48</v>
      </c>
      <c r="E1612" s="709" t="s">
        <v>2727</v>
      </c>
      <c r="F1612" s="7"/>
    </row>
    <row r="1613" spans="1:6" ht="15">
      <c r="A1613" s="17" t="s">
        <v>1971</v>
      </c>
      <c r="B1613" s="107">
        <v>235</v>
      </c>
      <c r="C1613" s="592" t="s">
        <v>1979</v>
      </c>
      <c r="D1613" s="136">
        <v>40</v>
      </c>
      <c r="E1613" s="12">
        <v>167</v>
      </c>
      <c r="F1613" s="7">
        <f>E1613*D1613</f>
        <v>6680</v>
      </c>
    </row>
    <row r="1614" spans="1:6" ht="15">
      <c r="A1614" s="17" t="s">
        <v>1971</v>
      </c>
      <c r="B1614" s="107">
        <v>235</v>
      </c>
      <c r="C1614" s="135" t="s">
        <v>1974</v>
      </c>
      <c r="D1614" s="136">
        <v>70</v>
      </c>
      <c r="E1614" s="12">
        <v>148.9</v>
      </c>
      <c r="F1614" s="7">
        <f>E1614*D1614</f>
        <v>10423</v>
      </c>
    </row>
    <row r="1615" spans="1:6" ht="15">
      <c r="A1615" s="20"/>
      <c r="B1615" s="97"/>
      <c r="C1615" s="20" t="s">
        <v>2728</v>
      </c>
      <c r="D1615" s="35">
        <v>1</v>
      </c>
      <c r="E1615" s="12">
        <v>8000</v>
      </c>
      <c r="F1615" s="7">
        <f>E1615*D1615</f>
        <v>8000</v>
      </c>
    </row>
    <row r="1616" spans="1:6" ht="15">
      <c r="A1616" s="20"/>
      <c r="B1616" s="97"/>
      <c r="C1616" s="20" t="s">
        <v>2729</v>
      </c>
      <c r="D1616" s="35">
        <v>1</v>
      </c>
      <c r="E1616" s="12">
        <v>4000</v>
      </c>
      <c r="F1616" s="7">
        <f>E1616*D1616</f>
        <v>4000</v>
      </c>
    </row>
    <row r="1617" spans="1:9" ht="15">
      <c r="A1617" s="20"/>
      <c r="B1617" s="97"/>
      <c r="C1617" s="109" t="s">
        <v>2730</v>
      </c>
      <c r="D1617" s="35">
        <v>2</v>
      </c>
      <c r="E1617" s="12">
        <v>500</v>
      </c>
      <c r="F1617" s="7">
        <f>E1617*D1617</f>
        <v>1000</v>
      </c>
    </row>
    <row r="1620" spans="1:9" ht="15.75">
      <c r="A1620" s="710" t="s">
        <v>2731</v>
      </c>
      <c r="B1620" s="80" t="s">
        <v>34</v>
      </c>
      <c r="C1620" s="98" t="s">
        <v>2</v>
      </c>
      <c r="D1620" s="98" t="s">
        <v>113</v>
      </c>
      <c r="E1620" s="98" t="s">
        <v>112</v>
      </c>
      <c r="F1620" s="73" t="s">
        <v>240</v>
      </c>
      <c r="G1620" s="73" t="s">
        <v>194</v>
      </c>
      <c r="H1620" s="108" t="s">
        <v>213</v>
      </c>
      <c r="I1620" s="108" t="s">
        <v>2732</v>
      </c>
    </row>
    <row r="1621" spans="1:9" ht="15">
      <c r="A1621" s="20" t="s">
        <v>1941</v>
      </c>
      <c r="B1621" s="34" t="s">
        <v>1992</v>
      </c>
      <c r="C1621" s="103">
        <v>13.7</v>
      </c>
      <c r="D1621" s="104">
        <v>6</v>
      </c>
      <c r="E1621" s="122">
        <f>C1621*D1621</f>
        <v>82.199999999999989</v>
      </c>
      <c r="F1621" s="36">
        <v>45.98</v>
      </c>
      <c r="G1621" s="36">
        <f>F1621*E1621</f>
        <v>3779.5559999999991</v>
      </c>
      <c r="H1621" s="12">
        <f>2800+510</f>
        <v>3310</v>
      </c>
      <c r="I1621" s="12">
        <f>H1621*E1621</f>
        <v>272081.99999999994</v>
      </c>
    </row>
    <row r="1622" spans="1:9" ht="15">
      <c r="A1622" s="151"/>
      <c r="B1622" s="152"/>
      <c r="C1622" s="154"/>
      <c r="D1622" s="155"/>
      <c r="E1622" s="153"/>
      <c r="F1622" s="160"/>
      <c r="G1622" s="158"/>
      <c r="H1622" s="711"/>
      <c r="I1622" s="711"/>
    </row>
    <row r="1623" spans="1:9" ht="15.75">
      <c r="A1623" s="710" t="s">
        <v>2733</v>
      </c>
      <c r="B1623" s="80" t="s">
        <v>34</v>
      </c>
      <c r="C1623" s="98" t="s">
        <v>2</v>
      </c>
      <c r="D1623" s="98" t="s">
        <v>113</v>
      </c>
      <c r="E1623" s="98" t="s">
        <v>112</v>
      </c>
      <c r="F1623" s="73" t="s">
        <v>240</v>
      </c>
      <c r="G1623" s="73" t="s">
        <v>194</v>
      </c>
      <c r="H1623" s="108" t="s">
        <v>213</v>
      </c>
      <c r="I1623" s="108" t="s">
        <v>2732</v>
      </c>
    </row>
    <row r="1624" spans="1:9" ht="15">
      <c r="A1624" s="20" t="s">
        <v>1941</v>
      </c>
      <c r="B1624" s="34" t="s">
        <v>1992</v>
      </c>
      <c r="C1624" s="103">
        <v>13.7</v>
      </c>
      <c r="D1624" s="104">
        <v>1</v>
      </c>
      <c r="E1624" s="122">
        <f>C1624*D1624</f>
        <v>13.7</v>
      </c>
      <c r="F1624" s="36">
        <v>67.78</v>
      </c>
      <c r="G1624" s="36">
        <f>F1624*E1624</f>
        <v>928.58600000000001</v>
      </c>
      <c r="H1624" s="12">
        <f>4200+680</f>
        <v>4880</v>
      </c>
      <c r="I1624" s="12">
        <f>H1624*E1624</f>
        <v>66856</v>
      </c>
    </row>
    <row r="1625" spans="1:9" ht="15">
      <c r="A1625" s="20" t="s">
        <v>1941</v>
      </c>
      <c r="B1625" s="34" t="s">
        <v>1992</v>
      </c>
      <c r="C1625" s="103">
        <v>13.7</v>
      </c>
      <c r="D1625" s="104">
        <v>4</v>
      </c>
      <c r="E1625" s="122">
        <f>C1625*D1625</f>
        <v>54.8</v>
      </c>
      <c r="F1625" s="36">
        <v>48.34</v>
      </c>
      <c r="G1625" s="36">
        <f>F1625*E1625</f>
        <v>2649.0320000000002</v>
      </c>
      <c r="H1625" s="12">
        <f>2800+680</f>
        <v>3480</v>
      </c>
      <c r="I1625" s="12">
        <f>H1625*E1625</f>
        <v>190704</v>
      </c>
    </row>
    <row r="1629" spans="1:9" ht="15">
      <c r="A1629" s="20" t="s">
        <v>264</v>
      </c>
      <c r="B1629" s="20" t="s">
        <v>1993</v>
      </c>
      <c r="C1629" s="8">
        <v>3</v>
      </c>
    </row>
    <row r="1630" spans="1:9" ht="15">
      <c r="A1630" s="20" t="s">
        <v>264</v>
      </c>
      <c r="B1630" s="20" t="s">
        <v>1988</v>
      </c>
      <c r="C1630" s="8">
        <v>3</v>
      </c>
    </row>
    <row r="1631" spans="1:9" ht="15">
      <c r="A1631" s="20" t="s">
        <v>264</v>
      </c>
      <c r="B1631" s="20" t="s">
        <v>1994</v>
      </c>
      <c r="C1631" s="8">
        <v>3</v>
      </c>
    </row>
    <row r="1632" spans="1:9" ht="15">
      <c r="A1632" s="20" t="s">
        <v>264</v>
      </c>
      <c r="B1632" s="20" t="s">
        <v>1995</v>
      </c>
      <c r="C1632" s="8">
        <v>5</v>
      </c>
    </row>
    <row r="1633" spans="1:6" ht="15">
      <c r="A1633" s="20">
        <v>5600</v>
      </c>
      <c r="B1633" s="20" t="s">
        <v>1993</v>
      </c>
      <c r="C1633" s="8">
        <v>3</v>
      </c>
    </row>
    <row r="1634" spans="1:6" ht="15">
      <c r="A1634" s="20">
        <v>5600</v>
      </c>
      <c r="B1634" s="20" t="s">
        <v>1996</v>
      </c>
      <c r="C1634" s="8">
        <v>3</v>
      </c>
    </row>
    <row r="1635" spans="1:6" ht="15">
      <c r="A1635" s="20">
        <v>5600</v>
      </c>
      <c r="B1635" s="20" t="s">
        <v>1997</v>
      </c>
      <c r="C1635" s="8">
        <v>3</v>
      </c>
    </row>
    <row r="1636" spans="1:6" ht="15">
      <c r="A1636" s="20">
        <v>5600</v>
      </c>
      <c r="B1636" s="20" t="s">
        <v>1998</v>
      </c>
      <c r="C1636" s="8">
        <v>5</v>
      </c>
    </row>
    <row r="1638" spans="1:6" ht="15">
      <c r="A1638" s="78">
        <v>3808</v>
      </c>
      <c r="B1638" s="34">
        <v>9</v>
      </c>
      <c r="C1638" s="596" t="s">
        <v>1990</v>
      </c>
      <c r="D1638" s="103">
        <v>50</v>
      </c>
      <c r="E1638" s="597">
        <v>3</v>
      </c>
      <c r="F1638" s="57">
        <f>D1638*E1638</f>
        <v>150</v>
      </c>
    </row>
    <row r="1639" spans="1:6" ht="15">
      <c r="A1639" s="78">
        <v>3808</v>
      </c>
      <c r="B1639" s="34">
        <v>9</v>
      </c>
      <c r="C1639" s="596" t="s">
        <v>1989</v>
      </c>
      <c r="D1639" s="103">
        <v>50</v>
      </c>
      <c r="E1639" s="597">
        <v>4</v>
      </c>
      <c r="F1639" s="57">
        <f>D1639*E1639</f>
        <v>200</v>
      </c>
    </row>
    <row r="1640" spans="1:6" ht="15">
      <c r="A1640" s="78">
        <v>3808</v>
      </c>
      <c r="B1640" s="34">
        <v>9</v>
      </c>
      <c r="C1640" s="34" t="s">
        <v>1999</v>
      </c>
      <c r="D1640" s="103">
        <v>50</v>
      </c>
      <c r="E1640" s="597">
        <v>2</v>
      </c>
      <c r="F1640" s="57">
        <f>D1640*E1640</f>
        <v>100</v>
      </c>
    </row>
    <row r="1641" spans="1:6" ht="15">
      <c r="A1641" s="78">
        <v>3808</v>
      </c>
      <c r="B1641" s="34">
        <v>9</v>
      </c>
      <c r="C1641" s="596" t="s">
        <v>170</v>
      </c>
      <c r="D1641" s="103">
        <v>50</v>
      </c>
      <c r="E1641" s="597">
        <v>1</v>
      </c>
      <c r="F1641" s="57">
        <f>D1641*E1641</f>
        <v>50</v>
      </c>
    </row>
    <row r="1644" spans="1:6">
      <c r="A1644" s="175"/>
    </row>
    <row r="1645" spans="1:6" ht="15.75" thickBot="1">
      <c r="A1645" s="712">
        <v>20211206</v>
      </c>
    </row>
    <row r="1646" spans="1:6" ht="16.5" thickBot="1">
      <c r="A1646" s="713" t="s">
        <v>2612</v>
      </c>
      <c r="B1646" s="714" t="s">
        <v>308</v>
      </c>
      <c r="C1646" s="715" t="s">
        <v>2734</v>
      </c>
      <c r="D1646" s="716" t="s">
        <v>2735</v>
      </c>
      <c r="E1646" s="717" t="s">
        <v>2736</v>
      </c>
      <c r="F1646" s="714" t="s">
        <v>2737</v>
      </c>
    </row>
    <row r="1647" spans="1:6" ht="15.75" thickBot="1">
      <c r="A1647" s="560" t="s">
        <v>2005</v>
      </c>
      <c r="B1647" s="147" t="s">
        <v>2738</v>
      </c>
      <c r="C1647" s="147" t="s">
        <v>56</v>
      </c>
      <c r="D1647" s="718" t="s">
        <v>2739</v>
      </c>
      <c r="E1647" s="147" t="s">
        <v>2740</v>
      </c>
      <c r="F1647" s="719">
        <v>1.34</v>
      </c>
    </row>
    <row r="1648" spans="1:6">
      <c r="A1648" s="236"/>
    </row>
    <row r="1651" spans="1:6" ht="14.25" thickBot="1"/>
    <row r="1652" spans="1:6" ht="15.75" thickBot="1">
      <c r="A1652" s="713" t="s">
        <v>2612</v>
      </c>
      <c r="B1652" s="713" t="s">
        <v>95</v>
      </c>
      <c r="C1652" s="713" t="s">
        <v>35</v>
      </c>
      <c r="D1652" s="714" t="s">
        <v>2737</v>
      </c>
    </row>
    <row r="1653" spans="1:6" ht="15">
      <c r="A1653" s="20" t="s">
        <v>2005</v>
      </c>
      <c r="B1653" s="34" t="s">
        <v>115</v>
      </c>
      <c r="C1653" s="8">
        <v>50</v>
      </c>
      <c r="D1653" s="36">
        <v>1.34</v>
      </c>
    </row>
    <row r="1654" spans="1:6" ht="15">
      <c r="A1654" s="20" t="s">
        <v>2005</v>
      </c>
      <c r="B1654" s="34" t="s">
        <v>2006</v>
      </c>
      <c r="C1654" s="8">
        <v>50</v>
      </c>
      <c r="D1654" s="36">
        <v>1.34</v>
      </c>
    </row>
    <row r="1655" spans="1:6" ht="15">
      <c r="A1655" s="20" t="s">
        <v>2005</v>
      </c>
      <c r="B1655" s="34" t="s">
        <v>2007</v>
      </c>
      <c r="C1655" s="8">
        <v>50</v>
      </c>
      <c r="D1655" s="36">
        <v>1.34</v>
      </c>
    </row>
    <row r="1656" spans="1:6" ht="15">
      <c r="A1656" s="20"/>
      <c r="B1656" s="20" t="s">
        <v>186</v>
      </c>
      <c r="C1656" s="35" t="s">
        <v>2741</v>
      </c>
      <c r="D1656" s="36">
        <v>375</v>
      </c>
    </row>
    <row r="1657" spans="1:6" ht="15">
      <c r="A1657" s="20"/>
      <c r="B1657" s="20" t="s">
        <v>299</v>
      </c>
      <c r="C1657" s="35">
        <v>1</v>
      </c>
      <c r="D1657" s="36">
        <v>12</v>
      </c>
    </row>
    <row r="1660" spans="1:6" ht="14.25" thickBot="1"/>
    <row r="1661" spans="1:6" ht="15.75" thickBot="1">
      <c r="A1661" s="713" t="s">
        <v>77</v>
      </c>
      <c r="B1661" s="713" t="s">
        <v>2612</v>
      </c>
      <c r="C1661" s="713" t="s">
        <v>95</v>
      </c>
      <c r="D1661" s="713" t="s">
        <v>35</v>
      </c>
      <c r="E1661" s="713" t="s">
        <v>297</v>
      </c>
      <c r="F1661" s="713" t="s">
        <v>2742</v>
      </c>
    </row>
    <row r="1662" spans="1:6" ht="15">
      <c r="A1662" s="6" t="s">
        <v>2743</v>
      </c>
      <c r="B1662" s="20" t="s">
        <v>264</v>
      </c>
      <c r="C1662" s="20" t="s">
        <v>293</v>
      </c>
      <c r="D1662" s="8">
        <v>20</v>
      </c>
      <c r="E1662" s="20" t="s">
        <v>2744</v>
      </c>
      <c r="F1662" s="1317" t="s">
        <v>2745</v>
      </c>
    </row>
    <row r="1663" spans="1:6" ht="15">
      <c r="A1663" s="6" t="s">
        <v>2746</v>
      </c>
      <c r="B1663" s="20" t="s">
        <v>264</v>
      </c>
      <c r="C1663" s="20" t="s">
        <v>188</v>
      </c>
      <c r="D1663" s="8">
        <v>25</v>
      </c>
      <c r="E1663" s="20" t="s">
        <v>2747</v>
      </c>
      <c r="F1663" s="1318"/>
    </row>
    <row r="1664" spans="1:6" ht="15">
      <c r="A1664" s="6" t="s">
        <v>2748</v>
      </c>
      <c r="B1664" s="20" t="s">
        <v>7</v>
      </c>
      <c r="C1664" s="20" t="s">
        <v>2012</v>
      </c>
      <c r="D1664" s="8">
        <v>30</v>
      </c>
      <c r="E1664" s="20" t="s">
        <v>2749</v>
      </c>
      <c r="F1664" s="1319"/>
    </row>
    <row r="1665" spans="1:120" ht="14.25" thickBot="1"/>
    <row r="1666" spans="1:120" ht="15.75" thickBot="1">
      <c r="A1666" s="713" t="s">
        <v>2612</v>
      </c>
      <c r="B1666" s="713" t="s">
        <v>95</v>
      </c>
      <c r="C1666" s="713" t="s">
        <v>35</v>
      </c>
      <c r="D1666" s="720" t="s">
        <v>298</v>
      </c>
    </row>
    <row r="1667" spans="1:120" ht="15">
      <c r="A1667" s="20" t="s">
        <v>264</v>
      </c>
      <c r="B1667" s="20" t="s">
        <v>2003</v>
      </c>
      <c r="C1667" s="8">
        <v>185</v>
      </c>
      <c r="D1667" s="89" t="s">
        <v>2750</v>
      </c>
    </row>
    <row r="1668" spans="1:120" ht="15">
      <c r="A1668" s="20" t="s">
        <v>264</v>
      </c>
      <c r="B1668" s="20" t="s">
        <v>2011</v>
      </c>
      <c r="C1668" s="8">
        <v>195</v>
      </c>
      <c r="D1668" s="89" t="s">
        <v>2751</v>
      </c>
    </row>
    <row r="1669" spans="1:120" ht="15">
      <c r="A1669" s="20" t="s">
        <v>7</v>
      </c>
      <c r="B1669" s="20" t="s">
        <v>1897</v>
      </c>
      <c r="C1669" s="8">
        <v>135</v>
      </c>
      <c r="D1669" s="89" t="s">
        <v>2752</v>
      </c>
    </row>
    <row r="1671" spans="1:120" s="230" customFormat="1" ht="31.5">
      <c r="A1671" s="227" t="s">
        <v>221</v>
      </c>
      <c r="B1671" s="221" t="s">
        <v>158</v>
      </c>
      <c r="C1671" s="222" t="s">
        <v>2</v>
      </c>
      <c r="D1671" s="223" t="s">
        <v>235</v>
      </c>
      <c r="E1671" s="224" t="s">
        <v>300</v>
      </c>
      <c r="F1671" s="224" t="s">
        <v>2753</v>
      </c>
      <c r="G1671" s="224" t="s">
        <v>2754</v>
      </c>
    </row>
    <row r="1672" spans="1:120" s="234" customFormat="1" ht="15" customHeight="1">
      <c r="A1672" s="100" t="s">
        <v>280</v>
      </c>
      <c r="B1672" s="22">
        <v>36</v>
      </c>
      <c r="C1672" s="101">
        <v>10</v>
      </c>
      <c r="D1672" s="27" t="s">
        <v>239</v>
      </c>
      <c r="E1672" s="180">
        <v>3.92</v>
      </c>
      <c r="F1672" s="225">
        <f>E1672*C1672</f>
        <v>39.200000000000003</v>
      </c>
      <c r="G1672" s="225">
        <f>F1672*2</f>
        <v>78.400000000000006</v>
      </c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5"/>
      <c r="AG1672" s="15"/>
      <c r="AH1672" s="15"/>
      <c r="AI1672" s="15"/>
      <c r="AJ1672" s="15"/>
      <c r="AK1672" s="15"/>
      <c r="AL1672" s="15"/>
      <c r="AM1672" s="15"/>
      <c r="AN1672" s="15"/>
      <c r="AO1672" s="15"/>
      <c r="AP1672" s="15"/>
      <c r="AQ1672" s="15"/>
      <c r="AR1672" s="15"/>
      <c r="AS1672" s="15"/>
      <c r="AT1672" s="15"/>
      <c r="AU1672" s="15"/>
      <c r="AV1672" s="15"/>
      <c r="AW1672" s="15"/>
      <c r="AX1672" s="15"/>
      <c r="AY1672" s="15"/>
      <c r="AZ1672" s="15"/>
      <c r="BA1672" s="15"/>
      <c r="BB1672" s="15"/>
      <c r="BC1672" s="15"/>
      <c r="BD1672" s="15"/>
      <c r="BE1672" s="15"/>
      <c r="BF1672" s="15"/>
      <c r="BG1672" s="15"/>
      <c r="BH1672" s="15"/>
      <c r="BI1672" s="15"/>
      <c r="BJ1672" s="15"/>
      <c r="BK1672" s="15"/>
      <c r="BL1672" s="15"/>
      <c r="BM1672" s="15"/>
      <c r="BN1672" s="15"/>
      <c r="BO1672" s="15"/>
      <c r="BP1672" s="15"/>
      <c r="BQ1672" s="15"/>
      <c r="BR1672" s="15"/>
      <c r="BS1672" s="15"/>
      <c r="BT1672" s="15"/>
      <c r="BU1672" s="15"/>
      <c r="BV1672" s="15"/>
      <c r="BW1672" s="15"/>
      <c r="BX1672" s="15"/>
      <c r="BY1672" s="15"/>
      <c r="BZ1672" s="15"/>
      <c r="CA1672" s="15"/>
      <c r="CB1672" s="15"/>
      <c r="CC1672" s="15"/>
      <c r="CD1672" s="15"/>
      <c r="CE1672" s="15"/>
      <c r="CF1672" s="15"/>
      <c r="CG1672" s="15"/>
      <c r="CH1672" s="15"/>
      <c r="CI1672" s="15"/>
      <c r="CJ1672" s="15"/>
      <c r="CK1672" s="15"/>
      <c r="CL1672" s="15"/>
      <c r="CM1672" s="15"/>
      <c r="CN1672" s="15"/>
      <c r="CO1672" s="15"/>
      <c r="CP1672" s="15"/>
      <c r="CQ1672" s="15"/>
      <c r="CR1672" s="15"/>
      <c r="CS1672" s="15"/>
      <c r="CT1672" s="15"/>
      <c r="CU1672" s="15"/>
      <c r="CV1672" s="15"/>
      <c r="CW1672" s="15"/>
      <c r="CX1672" s="15"/>
      <c r="CY1672" s="15"/>
      <c r="CZ1672" s="15"/>
      <c r="DA1672" s="15"/>
      <c r="DB1672" s="15"/>
      <c r="DC1672" s="15"/>
      <c r="DD1672" s="15"/>
      <c r="DE1672" s="15"/>
      <c r="DF1672" s="15"/>
      <c r="DG1672" s="15"/>
      <c r="DH1672" s="15"/>
      <c r="DI1672" s="15"/>
      <c r="DJ1672" s="15"/>
      <c r="DK1672" s="15"/>
      <c r="DL1672" s="15"/>
      <c r="DM1672" s="15"/>
      <c r="DN1672" s="15"/>
    </row>
    <row r="1673" spans="1:120" s="234" customFormat="1" ht="15" customHeight="1">
      <c r="A1673" s="100" t="s">
        <v>277</v>
      </c>
      <c r="B1673" s="22">
        <v>9</v>
      </c>
      <c r="C1673" s="101">
        <v>10</v>
      </c>
      <c r="D1673" s="27" t="s">
        <v>239</v>
      </c>
      <c r="E1673" s="180">
        <v>0.79</v>
      </c>
      <c r="F1673" s="225">
        <f>E1673*C1673</f>
        <v>7.9</v>
      </c>
      <c r="G1673" s="225">
        <f>F1673*3</f>
        <v>23.700000000000003</v>
      </c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5"/>
      <c r="AG1673" s="15"/>
      <c r="AH1673" s="15"/>
      <c r="AI1673" s="15"/>
      <c r="AJ1673" s="15"/>
      <c r="AK1673" s="15"/>
      <c r="AL1673" s="15"/>
      <c r="AM1673" s="15"/>
      <c r="AN1673" s="15"/>
      <c r="AO1673" s="15"/>
      <c r="AP1673" s="15"/>
      <c r="AQ1673" s="15"/>
      <c r="AR1673" s="15"/>
      <c r="AS1673" s="15"/>
      <c r="AT1673" s="15"/>
      <c r="AU1673" s="15"/>
      <c r="AV1673" s="15"/>
      <c r="AW1673" s="15"/>
      <c r="AX1673" s="15"/>
      <c r="AY1673" s="15"/>
      <c r="AZ1673" s="15"/>
      <c r="BA1673" s="15"/>
      <c r="BB1673" s="15"/>
      <c r="BC1673" s="15"/>
      <c r="BD1673" s="15"/>
      <c r="BE1673" s="15"/>
      <c r="BF1673" s="15"/>
      <c r="BG1673" s="15"/>
      <c r="BH1673" s="15"/>
      <c r="BI1673" s="15"/>
      <c r="BJ1673" s="15"/>
      <c r="BK1673" s="15"/>
      <c r="BL1673" s="15"/>
      <c r="BM1673" s="15"/>
      <c r="BN1673" s="15"/>
      <c r="BO1673" s="15"/>
      <c r="BP1673" s="15"/>
      <c r="BQ1673" s="15"/>
      <c r="BR1673" s="15"/>
      <c r="BS1673" s="15"/>
      <c r="BT1673" s="15"/>
      <c r="BU1673" s="15"/>
      <c r="BV1673" s="15"/>
      <c r="BW1673" s="15"/>
      <c r="BX1673" s="15"/>
      <c r="BY1673" s="15"/>
      <c r="BZ1673" s="15"/>
      <c r="CA1673" s="15"/>
      <c r="CB1673" s="15"/>
      <c r="CC1673" s="15"/>
      <c r="CD1673" s="15"/>
      <c r="CE1673" s="15"/>
      <c r="CF1673" s="15"/>
      <c r="CG1673" s="15"/>
      <c r="CH1673" s="15"/>
      <c r="CI1673" s="15"/>
      <c r="CJ1673" s="15"/>
      <c r="CK1673" s="15"/>
      <c r="CL1673" s="15"/>
      <c r="CM1673" s="15"/>
      <c r="CN1673" s="15"/>
      <c r="CO1673" s="15"/>
      <c r="CP1673" s="15"/>
      <c r="CQ1673" s="15"/>
      <c r="CR1673" s="15"/>
      <c r="CS1673" s="15"/>
      <c r="CT1673" s="15"/>
      <c r="CU1673" s="15"/>
      <c r="CV1673" s="15"/>
      <c r="CW1673" s="15"/>
      <c r="CX1673" s="15"/>
      <c r="CY1673" s="15"/>
      <c r="CZ1673" s="15"/>
      <c r="DA1673" s="15"/>
      <c r="DB1673" s="15"/>
      <c r="DC1673" s="15"/>
      <c r="DD1673" s="15"/>
      <c r="DE1673" s="15"/>
      <c r="DF1673" s="15"/>
      <c r="DG1673" s="15"/>
      <c r="DH1673" s="15"/>
      <c r="DI1673" s="15"/>
      <c r="DJ1673" s="15"/>
      <c r="DK1673" s="15"/>
      <c r="DL1673" s="15"/>
      <c r="DM1673" s="15"/>
      <c r="DN1673" s="15"/>
    </row>
    <row r="1674" spans="1:120" s="234" customFormat="1" ht="15" customHeight="1">
      <c r="A1674" s="100" t="s">
        <v>277</v>
      </c>
      <c r="B1674" s="22">
        <v>12</v>
      </c>
      <c r="C1674" s="101">
        <v>10</v>
      </c>
      <c r="D1674" s="27" t="s">
        <v>239</v>
      </c>
      <c r="E1674" s="180">
        <v>0.88</v>
      </c>
      <c r="F1674" s="225">
        <f>E1674*C1674</f>
        <v>8.8000000000000007</v>
      </c>
      <c r="G1674" s="225">
        <v>8.8000000000000007</v>
      </c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5"/>
      <c r="AG1674" s="15"/>
      <c r="AH1674" s="15"/>
      <c r="AI1674" s="15"/>
      <c r="AJ1674" s="15"/>
      <c r="AK1674" s="15"/>
      <c r="AL1674" s="15"/>
      <c r="AM1674" s="15"/>
      <c r="AN1674" s="15"/>
      <c r="AO1674" s="15"/>
      <c r="AP1674" s="15"/>
      <c r="AQ1674" s="15"/>
      <c r="AR1674" s="15"/>
      <c r="AS1674" s="15"/>
      <c r="AT1674" s="15"/>
      <c r="AU1674" s="15"/>
      <c r="AV1674" s="15"/>
      <c r="AW1674" s="15"/>
      <c r="AX1674" s="15"/>
      <c r="AY1674" s="15"/>
      <c r="AZ1674" s="15"/>
      <c r="BA1674" s="15"/>
      <c r="BB1674" s="15"/>
      <c r="BC1674" s="15"/>
      <c r="BD1674" s="15"/>
      <c r="BE1674" s="15"/>
      <c r="BF1674" s="15"/>
      <c r="BG1674" s="15"/>
      <c r="BH1674" s="15"/>
      <c r="BI1674" s="15"/>
      <c r="BJ1674" s="15"/>
      <c r="BK1674" s="15"/>
      <c r="BL1674" s="15"/>
      <c r="BM1674" s="15"/>
      <c r="BN1674" s="15"/>
      <c r="BO1674" s="15"/>
      <c r="BP1674" s="15"/>
      <c r="BQ1674" s="15"/>
      <c r="BR1674" s="15"/>
      <c r="BS1674" s="15"/>
      <c r="BT1674" s="15"/>
      <c r="BU1674" s="15"/>
      <c r="BV1674" s="15"/>
      <c r="BW1674" s="15"/>
      <c r="BX1674" s="15"/>
      <c r="BY1674" s="15"/>
      <c r="BZ1674" s="15"/>
      <c r="CA1674" s="15"/>
      <c r="CB1674" s="15"/>
      <c r="CC1674" s="15"/>
      <c r="CD1674" s="15"/>
      <c r="CE1674" s="15"/>
      <c r="CF1674" s="15"/>
      <c r="CG1674" s="15"/>
      <c r="CH1674" s="15"/>
      <c r="CI1674" s="15"/>
      <c r="CJ1674" s="15"/>
      <c r="CK1674" s="15"/>
      <c r="CL1674" s="15"/>
      <c r="CM1674" s="15"/>
      <c r="CN1674" s="15"/>
      <c r="CO1674" s="15"/>
      <c r="CP1674" s="15"/>
      <c r="CQ1674" s="15"/>
      <c r="CR1674" s="15"/>
      <c r="CS1674" s="15"/>
      <c r="CT1674" s="15"/>
      <c r="CU1674" s="15"/>
      <c r="CV1674" s="15"/>
      <c r="CW1674" s="15"/>
      <c r="CX1674" s="15"/>
      <c r="CY1674" s="15"/>
      <c r="CZ1674" s="15"/>
      <c r="DA1674" s="15"/>
      <c r="DB1674" s="15"/>
      <c r="DC1674" s="15"/>
      <c r="DD1674" s="15"/>
      <c r="DE1674" s="15"/>
      <c r="DF1674" s="15"/>
      <c r="DG1674" s="15"/>
      <c r="DH1674" s="15"/>
      <c r="DI1674" s="15"/>
      <c r="DJ1674" s="15"/>
      <c r="DK1674" s="15"/>
      <c r="DL1674" s="15"/>
      <c r="DM1674" s="15"/>
      <c r="DN1674" s="15"/>
    </row>
    <row r="1675" spans="1:120" s="234" customFormat="1" ht="15" customHeight="1">
      <c r="A1675" s="100" t="s">
        <v>277</v>
      </c>
      <c r="B1675" s="22">
        <v>18</v>
      </c>
      <c r="C1675" s="101">
        <v>10</v>
      </c>
      <c r="D1675" s="27" t="s">
        <v>239</v>
      </c>
      <c r="E1675" s="180">
        <v>1.1399999999999999</v>
      </c>
      <c r="F1675" s="225">
        <f>E1675*C1675</f>
        <v>11.399999999999999</v>
      </c>
      <c r="G1675" s="225">
        <f>F1675*2</f>
        <v>22.799999999999997</v>
      </c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5"/>
      <c r="AG1675" s="15"/>
      <c r="AH1675" s="15"/>
      <c r="AI1675" s="15"/>
      <c r="AJ1675" s="15"/>
      <c r="AK1675" s="15"/>
      <c r="AL1675" s="15"/>
      <c r="AM1675" s="15"/>
      <c r="AN1675" s="15"/>
      <c r="AO1675" s="15"/>
      <c r="AP1675" s="15"/>
      <c r="AQ1675" s="15"/>
      <c r="AR1675" s="15"/>
      <c r="AS1675" s="15"/>
      <c r="AT1675" s="15"/>
      <c r="AU1675" s="15"/>
      <c r="AV1675" s="15"/>
      <c r="AW1675" s="15"/>
      <c r="AX1675" s="15"/>
      <c r="AY1675" s="15"/>
      <c r="AZ1675" s="15"/>
      <c r="BA1675" s="15"/>
      <c r="BB1675" s="15"/>
      <c r="BC1675" s="15"/>
      <c r="BD1675" s="15"/>
      <c r="BE1675" s="15"/>
      <c r="BF1675" s="15"/>
      <c r="BG1675" s="15"/>
      <c r="BH1675" s="15"/>
      <c r="BI1675" s="15"/>
      <c r="BJ1675" s="15"/>
      <c r="BK1675" s="15"/>
      <c r="BL1675" s="15"/>
      <c r="BM1675" s="15"/>
      <c r="BN1675" s="15"/>
      <c r="BO1675" s="15"/>
      <c r="BP1675" s="15"/>
      <c r="BQ1675" s="15"/>
      <c r="BR1675" s="15"/>
      <c r="BS1675" s="15"/>
      <c r="BT1675" s="15"/>
      <c r="BU1675" s="15"/>
      <c r="BV1675" s="15"/>
      <c r="BW1675" s="15"/>
      <c r="BX1675" s="15"/>
      <c r="BY1675" s="15"/>
      <c r="BZ1675" s="15"/>
      <c r="CA1675" s="15"/>
      <c r="CB1675" s="15"/>
      <c r="CC1675" s="15"/>
      <c r="CD1675" s="15"/>
      <c r="CE1675" s="15"/>
      <c r="CF1675" s="15"/>
      <c r="CG1675" s="15"/>
      <c r="CH1675" s="15"/>
      <c r="CI1675" s="15"/>
      <c r="CJ1675" s="15"/>
      <c r="CK1675" s="15"/>
      <c r="CL1675" s="15"/>
      <c r="CM1675" s="15"/>
      <c r="CN1675" s="15"/>
      <c r="CO1675" s="15"/>
      <c r="CP1675" s="15"/>
      <c r="CQ1675" s="15"/>
      <c r="CR1675" s="15"/>
      <c r="CS1675" s="15"/>
      <c r="CT1675" s="15"/>
      <c r="CU1675" s="15"/>
      <c r="CV1675" s="15"/>
      <c r="CW1675" s="15"/>
      <c r="CX1675" s="15"/>
      <c r="CY1675" s="15"/>
      <c r="CZ1675" s="15"/>
      <c r="DA1675" s="15"/>
      <c r="DB1675" s="15"/>
      <c r="DC1675" s="15"/>
      <c r="DD1675" s="15"/>
      <c r="DE1675" s="15"/>
      <c r="DF1675" s="15"/>
      <c r="DG1675" s="15"/>
      <c r="DH1675" s="15"/>
      <c r="DI1675" s="15"/>
      <c r="DJ1675" s="15"/>
      <c r="DK1675" s="15"/>
      <c r="DL1675" s="15"/>
      <c r="DM1675" s="15"/>
      <c r="DN1675" s="15"/>
    </row>
    <row r="1676" spans="1:120" s="234" customFormat="1" ht="15" customHeight="1">
      <c r="A1676" s="100"/>
      <c r="B1676" s="22"/>
      <c r="C1676" s="101"/>
      <c r="D1676" s="27"/>
      <c r="E1676" s="180"/>
      <c r="F1676" s="721" t="s">
        <v>157</v>
      </c>
      <c r="G1676" s="722">
        <f>SUM(G1672:G1675)</f>
        <v>133.69999999999999</v>
      </c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5"/>
      <c r="AG1676" s="15"/>
      <c r="AH1676" s="15"/>
      <c r="AI1676" s="15"/>
      <c r="AJ1676" s="15"/>
      <c r="AK1676" s="15"/>
      <c r="AL1676" s="15"/>
      <c r="AM1676" s="15"/>
      <c r="AN1676" s="15"/>
      <c r="AO1676" s="15"/>
      <c r="AP1676" s="15"/>
      <c r="AQ1676" s="15"/>
      <c r="AR1676" s="15"/>
      <c r="AS1676" s="15"/>
      <c r="AT1676" s="15"/>
      <c r="AU1676" s="15"/>
      <c r="AV1676" s="15"/>
      <c r="AW1676" s="15"/>
      <c r="AX1676" s="15"/>
      <c r="AY1676" s="15"/>
      <c r="AZ1676" s="15"/>
      <c r="BA1676" s="15"/>
      <c r="BB1676" s="15"/>
      <c r="BC1676" s="15"/>
      <c r="BD1676" s="15"/>
      <c r="BE1676" s="15"/>
      <c r="BF1676" s="15"/>
      <c r="BG1676" s="15"/>
      <c r="BH1676" s="15"/>
      <c r="BI1676" s="15"/>
      <c r="BJ1676" s="15"/>
      <c r="BK1676" s="15"/>
      <c r="BL1676" s="15"/>
      <c r="BM1676" s="15"/>
      <c r="BN1676" s="15"/>
      <c r="BO1676" s="15"/>
      <c r="BP1676" s="15"/>
      <c r="BQ1676" s="15"/>
      <c r="BR1676" s="15"/>
      <c r="BS1676" s="15"/>
      <c r="BT1676" s="15"/>
      <c r="BU1676" s="15"/>
      <c r="BV1676" s="15"/>
      <c r="BW1676" s="15"/>
      <c r="BX1676" s="15"/>
      <c r="BY1676" s="15"/>
      <c r="BZ1676" s="15"/>
      <c r="CA1676" s="15"/>
      <c r="CB1676" s="15"/>
      <c r="CC1676" s="15"/>
      <c r="CD1676" s="15"/>
      <c r="CE1676" s="15"/>
      <c r="CF1676" s="15"/>
      <c r="CG1676" s="15"/>
      <c r="CH1676" s="15"/>
      <c r="CI1676" s="15"/>
      <c r="CJ1676" s="15"/>
      <c r="CK1676" s="15"/>
      <c r="CL1676" s="15"/>
      <c r="CM1676" s="15"/>
      <c r="CN1676" s="15"/>
      <c r="CO1676" s="15"/>
      <c r="CP1676" s="15"/>
      <c r="CQ1676" s="15"/>
      <c r="CR1676" s="15"/>
      <c r="CS1676" s="15"/>
      <c r="CT1676" s="15"/>
      <c r="CU1676" s="15"/>
      <c r="CV1676" s="15"/>
      <c r="CW1676" s="15"/>
      <c r="CX1676" s="15"/>
      <c r="CY1676" s="15"/>
      <c r="CZ1676" s="15"/>
      <c r="DA1676" s="15"/>
      <c r="DB1676" s="15"/>
      <c r="DC1676" s="15"/>
      <c r="DD1676" s="15"/>
      <c r="DE1676" s="15"/>
      <c r="DF1676" s="15"/>
      <c r="DG1676" s="15"/>
      <c r="DH1676" s="15"/>
      <c r="DI1676" s="15"/>
      <c r="DJ1676" s="15"/>
      <c r="DK1676" s="15"/>
      <c r="DL1676" s="15"/>
      <c r="DM1676" s="15"/>
      <c r="DN1676" s="15"/>
    </row>
    <row r="1679" spans="1:120" s="230" customFormat="1" ht="31.5">
      <c r="A1679" s="227" t="s">
        <v>221</v>
      </c>
      <c r="B1679" s="221" t="s">
        <v>158</v>
      </c>
      <c r="C1679" s="222" t="s">
        <v>2</v>
      </c>
      <c r="D1679" s="223" t="s">
        <v>235</v>
      </c>
      <c r="E1679" s="229" t="s">
        <v>273</v>
      </c>
      <c r="F1679" s="229" t="s">
        <v>210</v>
      </c>
      <c r="G1679" s="224" t="s">
        <v>300</v>
      </c>
      <c r="H1679" s="224" t="s">
        <v>2755</v>
      </c>
    </row>
    <row r="1680" spans="1:120" s="234" customFormat="1" ht="15" customHeight="1">
      <c r="A1680" s="100" t="s">
        <v>280</v>
      </c>
      <c r="B1680" s="22">
        <v>3</v>
      </c>
      <c r="C1680" s="101">
        <v>40</v>
      </c>
      <c r="D1680" s="27" t="s">
        <v>239</v>
      </c>
      <c r="E1680" s="18" t="s">
        <v>144</v>
      </c>
      <c r="F1680" s="18" t="s">
        <v>281</v>
      </c>
      <c r="G1680" s="225">
        <v>1.17</v>
      </c>
      <c r="H1680" s="225">
        <f t="shared" ref="H1680:H1695" si="9">G1680*C1680</f>
        <v>46.8</v>
      </c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5"/>
      <c r="AG1680" s="15"/>
      <c r="AH1680" s="15"/>
      <c r="AI1680" s="15"/>
      <c r="AJ1680" s="15"/>
      <c r="AK1680" s="15"/>
      <c r="AL1680" s="15"/>
      <c r="AM1680" s="15"/>
      <c r="AN1680" s="15"/>
      <c r="AO1680" s="15"/>
      <c r="AP1680" s="15"/>
      <c r="AQ1680" s="15"/>
      <c r="AR1680" s="15"/>
      <c r="AS1680" s="15"/>
      <c r="AT1680" s="15"/>
      <c r="AU1680" s="15"/>
      <c r="AV1680" s="15"/>
      <c r="AW1680" s="15"/>
      <c r="AX1680" s="15"/>
      <c r="AY1680" s="15"/>
      <c r="AZ1680" s="15"/>
      <c r="BA1680" s="15"/>
      <c r="BB1680" s="15"/>
      <c r="BC1680" s="15"/>
      <c r="BD1680" s="15"/>
      <c r="BE1680" s="15"/>
      <c r="BF1680" s="15"/>
      <c r="BG1680" s="15"/>
      <c r="BH1680" s="15"/>
      <c r="BI1680" s="15"/>
      <c r="BJ1680" s="15"/>
      <c r="BK1680" s="15"/>
      <c r="BL1680" s="15"/>
      <c r="BM1680" s="15"/>
      <c r="BN1680" s="15"/>
      <c r="BO1680" s="15"/>
      <c r="BP1680" s="15"/>
      <c r="BQ1680" s="15"/>
      <c r="BR1680" s="15"/>
      <c r="BS1680" s="15"/>
      <c r="BT1680" s="15"/>
      <c r="BU1680" s="15"/>
      <c r="BV1680" s="15"/>
      <c r="BW1680" s="15"/>
      <c r="BX1680" s="15"/>
      <c r="BY1680" s="15"/>
      <c r="BZ1680" s="15"/>
      <c r="CA1680" s="15"/>
      <c r="CB1680" s="15"/>
      <c r="CC1680" s="15"/>
      <c r="CD1680" s="15"/>
      <c r="CE1680" s="15"/>
      <c r="CF1680" s="15"/>
      <c r="CG1680" s="15"/>
      <c r="CH1680" s="15"/>
      <c r="CI1680" s="15"/>
      <c r="CJ1680" s="15"/>
      <c r="CK1680" s="15"/>
      <c r="CL1680" s="15"/>
      <c r="CM1680" s="15"/>
      <c r="CN1680" s="15"/>
      <c r="CO1680" s="15"/>
      <c r="CP1680" s="15"/>
      <c r="CQ1680" s="15"/>
      <c r="CR1680" s="15"/>
      <c r="CS1680" s="15"/>
      <c r="CT1680" s="15"/>
      <c r="CU1680" s="15"/>
      <c r="CV1680" s="15"/>
      <c r="CW1680" s="15"/>
      <c r="CX1680" s="15"/>
      <c r="CY1680" s="15"/>
      <c r="CZ1680" s="15"/>
      <c r="DA1680" s="15"/>
      <c r="DB1680" s="15"/>
      <c r="DC1680" s="15"/>
      <c r="DD1680" s="15"/>
      <c r="DE1680" s="15"/>
      <c r="DF1680" s="15"/>
      <c r="DG1680" s="15"/>
      <c r="DH1680" s="15"/>
      <c r="DI1680" s="15"/>
      <c r="DJ1680" s="15"/>
      <c r="DK1680" s="15"/>
      <c r="DL1680" s="15"/>
      <c r="DM1680" s="15"/>
      <c r="DN1680" s="15"/>
      <c r="DO1680" s="15"/>
      <c r="DP1680" s="15"/>
    </row>
    <row r="1681" spans="1:120" s="234" customFormat="1" ht="15" customHeight="1">
      <c r="A1681" s="100" t="s">
        <v>280</v>
      </c>
      <c r="B1681" s="22">
        <v>6</v>
      </c>
      <c r="C1681" s="101">
        <v>10</v>
      </c>
      <c r="D1681" s="27" t="s">
        <v>239</v>
      </c>
      <c r="E1681" s="18" t="s">
        <v>144</v>
      </c>
      <c r="F1681" s="18" t="s">
        <v>281</v>
      </c>
      <c r="G1681" s="225">
        <v>1.23</v>
      </c>
      <c r="H1681" s="225">
        <f t="shared" si="9"/>
        <v>12.3</v>
      </c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5"/>
      <c r="AG1681" s="15"/>
      <c r="AH1681" s="15"/>
      <c r="AI1681" s="15"/>
      <c r="AJ1681" s="15"/>
      <c r="AK1681" s="15"/>
      <c r="AL1681" s="15"/>
      <c r="AM1681" s="15"/>
      <c r="AN1681" s="15"/>
      <c r="AO1681" s="15"/>
      <c r="AP1681" s="15"/>
      <c r="AQ1681" s="15"/>
      <c r="AR1681" s="15"/>
      <c r="AS1681" s="15"/>
      <c r="AT1681" s="15"/>
      <c r="AU1681" s="15"/>
      <c r="AV1681" s="15"/>
      <c r="AW1681" s="15"/>
      <c r="AX1681" s="15"/>
      <c r="AY1681" s="15"/>
      <c r="AZ1681" s="15"/>
      <c r="BA1681" s="15"/>
      <c r="BB1681" s="15"/>
      <c r="BC1681" s="15"/>
      <c r="BD1681" s="15"/>
      <c r="BE1681" s="15"/>
      <c r="BF1681" s="15"/>
      <c r="BG1681" s="15"/>
      <c r="BH1681" s="15"/>
      <c r="BI1681" s="15"/>
      <c r="BJ1681" s="15"/>
      <c r="BK1681" s="15"/>
      <c r="BL1681" s="15"/>
      <c r="BM1681" s="15"/>
      <c r="BN1681" s="15"/>
      <c r="BO1681" s="15"/>
      <c r="BP1681" s="15"/>
      <c r="BQ1681" s="15"/>
      <c r="BR1681" s="15"/>
      <c r="BS1681" s="15"/>
      <c r="BT1681" s="15"/>
      <c r="BU1681" s="15"/>
      <c r="BV1681" s="15"/>
      <c r="BW1681" s="15"/>
      <c r="BX1681" s="15"/>
      <c r="BY1681" s="15"/>
      <c r="BZ1681" s="15"/>
      <c r="CA1681" s="15"/>
      <c r="CB1681" s="15"/>
      <c r="CC1681" s="15"/>
      <c r="CD1681" s="15"/>
      <c r="CE1681" s="15"/>
      <c r="CF1681" s="15"/>
      <c r="CG1681" s="15"/>
      <c r="CH1681" s="15"/>
      <c r="CI1681" s="15"/>
      <c r="CJ1681" s="15"/>
      <c r="CK1681" s="15"/>
      <c r="CL1681" s="15"/>
      <c r="CM1681" s="15"/>
      <c r="CN1681" s="15"/>
      <c r="CO1681" s="15"/>
      <c r="CP1681" s="15"/>
      <c r="CQ1681" s="15"/>
      <c r="CR1681" s="15"/>
      <c r="CS1681" s="15"/>
      <c r="CT1681" s="15"/>
      <c r="CU1681" s="15"/>
      <c r="CV1681" s="15"/>
      <c r="CW1681" s="15"/>
      <c r="CX1681" s="15"/>
      <c r="CY1681" s="15"/>
      <c r="CZ1681" s="15"/>
      <c r="DA1681" s="15"/>
      <c r="DB1681" s="15"/>
      <c r="DC1681" s="15"/>
      <c r="DD1681" s="15"/>
      <c r="DE1681" s="15"/>
      <c r="DF1681" s="15"/>
      <c r="DG1681" s="15"/>
      <c r="DH1681" s="15"/>
      <c r="DI1681" s="15"/>
      <c r="DJ1681" s="15"/>
      <c r="DK1681" s="15"/>
      <c r="DL1681" s="15"/>
      <c r="DM1681" s="15"/>
      <c r="DN1681" s="15"/>
      <c r="DO1681" s="15"/>
      <c r="DP1681" s="15"/>
    </row>
    <row r="1682" spans="1:120" s="234" customFormat="1" ht="15" customHeight="1">
      <c r="A1682" s="100" t="s">
        <v>280</v>
      </c>
      <c r="B1682" s="22">
        <v>9</v>
      </c>
      <c r="C1682" s="101">
        <v>10</v>
      </c>
      <c r="D1682" s="27" t="s">
        <v>239</v>
      </c>
      <c r="E1682" s="18" t="s">
        <v>144</v>
      </c>
      <c r="F1682" s="18" t="s">
        <v>281</v>
      </c>
      <c r="G1682" s="225">
        <v>1.36</v>
      </c>
      <c r="H1682" s="225">
        <f t="shared" si="9"/>
        <v>13.600000000000001</v>
      </c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5"/>
      <c r="AG1682" s="15"/>
      <c r="AH1682" s="15"/>
      <c r="AI1682" s="15"/>
      <c r="AJ1682" s="15"/>
      <c r="AK1682" s="15"/>
      <c r="AL1682" s="15"/>
      <c r="AM1682" s="15"/>
      <c r="AN1682" s="15"/>
      <c r="AO1682" s="15"/>
      <c r="AP1682" s="15"/>
      <c r="AQ1682" s="15"/>
      <c r="AR1682" s="15"/>
      <c r="AS1682" s="15"/>
      <c r="AT1682" s="15"/>
      <c r="AU1682" s="15"/>
      <c r="AV1682" s="15"/>
      <c r="AW1682" s="15"/>
      <c r="AX1682" s="15"/>
      <c r="AY1682" s="15"/>
      <c r="AZ1682" s="15"/>
      <c r="BA1682" s="15"/>
      <c r="BB1682" s="15"/>
      <c r="BC1682" s="15"/>
      <c r="BD1682" s="15"/>
      <c r="BE1682" s="15"/>
      <c r="BF1682" s="15"/>
      <c r="BG1682" s="15"/>
      <c r="BH1682" s="15"/>
      <c r="BI1682" s="15"/>
      <c r="BJ1682" s="15"/>
      <c r="BK1682" s="15"/>
      <c r="BL1682" s="15"/>
      <c r="BM1682" s="15"/>
      <c r="BN1682" s="15"/>
      <c r="BO1682" s="15"/>
      <c r="BP1682" s="15"/>
      <c r="BQ1682" s="15"/>
      <c r="BR1682" s="15"/>
      <c r="BS1682" s="15"/>
      <c r="BT1682" s="15"/>
      <c r="BU1682" s="15"/>
      <c r="BV1682" s="15"/>
      <c r="BW1682" s="15"/>
      <c r="BX1682" s="15"/>
      <c r="BY1682" s="15"/>
      <c r="BZ1682" s="15"/>
      <c r="CA1682" s="15"/>
      <c r="CB1682" s="15"/>
      <c r="CC1682" s="15"/>
      <c r="CD1682" s="15"/>
      <c r="CE1682" s="15"/>
      <c r="CF1682" s="15"/>
      <c r="CG1682" s="15"/>
      <c r="CH1682" s="15"/>
      <c r="CI1682" s="15"/>
      <c r="CJ1682" s="15"/>
      <c r="CK1682" s="15"/>
      <c r="CL1682" s="15"/>
      <c r="CM1682" s="15"/>
      <c r="CN1682" s="15"/>
      <c r="CO1682" s="15"/>
      <c r="CP1682" s="15"/>
      <c r="CQ1682" s="15"/>
      <c r="CR1682" s="15"/>
      <c r="CS1682" s="15"/>
      <c r="CT1682" s="15"/>
      <c r="CU1682" s="15"/>
      <c r="CV1682" s="15"/>
      <c r="CW1682" s="15"/>
      <c r="CX1682" s="15"/>
      <c r="CY1682" s="15"/>
      <c r="CZ1682" s="15"/>
      <c r="DA1682" s="15"/>
      <c r="DB1682" s="15"/>
      <c r="DC1682" s="15"/>
      <c r="DD1682" s="15"/>
      <c r="DE1682" s="15"/>
      <c r="DF1682" s="15"/>
      <c r="DG1682" s="15"/>
      <c r="DH1682" s="15"/>
      <c r="DI1682" s="15"/>
      <c r="DJ1682" s="15"/>
      <c r="DK1682" s="15"/>
      <c r="DL1682" s="15"/>
      <c r="DM1682" s="15"/>
      <c r="DN1682" s="15"/>
      <c r="DO1682" s="15"/>
      <c r="DP1682" s="15"/>
    </row>
    <row r="1683" spans="1:120" s="234" customFormat="1" ht="15" customHeight="1">
      <c r="A1683" s="100" t="s">
        <v>280</v>
      </c>
      <c r="B1683" s="22">
        <v>12</v>
      </c>
      <c r="C1683" s="101">
        <v>10</v>
      </c>
      <c r="D1683" s="27" t="s">
        <v>239</v>
      </c>
      <c r="E1683" s="18" t="s">
        <v>144</v>
      </c>
      <c r="F1683" s="18" t="s">
        <v>281</v>
      </c>
      <c r="G1683" s="225">
        <v>1.47</v>
      </c>
      <c r="H1683" s="225">
        <f t="shared" si="9"/>
        <v>14.7</v>
      </c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5"/>
      <c r="AG1683" s="15"/>
      <c r="AH1683" s="15"/>
      <c r="AI1683" s="15"/>
      <c r="AJ1683" s="15"/>
      <c r="AK1683" s="15"/>
      <c r="AL1683" s="15"/>
      <c r="AM1683" s="15"/>
      <c r="AN1683" s="15"/>
      <c r="AO1683" s="15"/>
      <c r="AP1683" s="15"/>
      <c r="AQ1683" s="15"/>
      <c r="AR1683" s="15"/>
      <c r="AS1683" s="15"/>
      <c r="AT1683" s="15"/>
      <c r="AU1683" s="15"/>
      <c r="AV1683" s="15"/>
      <c r="AW1683" s="15"/>
      <c r="AX1683" s="15"/>
      <c r="AY1683" s="15"/>
      <c r="AZ1683" s="15"/>
      <c r="BA1683" s="15"/>
      <c r="BB1683" s="15"/>
      <c r="BC1683" s="15"/>
      <c r="BD1683" s="15"/>
      <c r="BE1683" s="15"/>
      <c r="BF1683" s="15"/>
      <c r="BG1683" s="15"/>
      <c r="BH1683" s="15"/>
      <c r="BI1683" s="15"/>
      <c r="BJ1683" s="15"/>
      <c r="BK1683" s="15"/>
      <c r="BL1683" s="15"/>
      <c r="BM1683" s="15"/>
      <c r="BN1683" s="15"/>
      <c r="BO1683" s="15"/>
      <c r="BP1683" s="15"/>
      <c r="BQ1683" s="15"/>
      <c r="BR1683" s="15"/>
      <c r="BS1683" s="15"/>
      <c r="BT1683" s="15"/>
      <c r="BU1683" s="15"/>
      <c r="BV1683" s="15"/>
      <c r="BW1683" s="15"/>
      <c r="BX1683" s="15"/>
      <c r="BY1683" s="15"/>
      <c r="BZ1683" s="15"/>
      <c r="CA1683" s="15"/>
      <c r="CB1683" s="15"/>
      <c r="CC1683" s="15"/>
      <c r="CD1683" s="15"/>
      <c r="CE1683" s="15"/>
      <c r="CF1683" s="15"/>
      <c r="CG1683" s="15"/>
      <c r="CH1683" s="15"/>
      <c r="CI1683" s="15"/>
      <c r="CJ1683" s="15"/>
      <c r="CK1683" s="15"/>
      <c r="CL1683" s="15"/>
      <c r="CM1683" s="15"/>
      <c r="CN1683" s="15"/>
      <c r="CO1683" s="15"/>
      <c r="CP1683" s="15"/>
      <c r="CQ1683" s="15"/>
      <c r="CR1683" s="15"/>
      <c r="CS1683" s="15"/>
      <c r="CT1683" s="15"/>
      <c r="CU1683" s="15"/>
      <c r="CV1683" s="15"/>
      <c r="CW1683" s="15"/>
      <c r="CX1683" s="15"/>
      <c r="CY1683" s="15"/>
      <c r="CZ1683" s="15"/>
      <c r="DA1683" s="15"/>
      <c r="DB1683" s="15"/>
      <c r="DC1683" s="15"/>
      <c r="DD1683" s="15"/>
      <c r="DE1683" s="15"/>
      <c r="DF1683" s="15"/>
      <c r="DG1683" s="15"/>
      <c r="DH1683" s="15"/>
      <c r="DI1683" s="15"/>
      <c r="DJ1683" s="15"/>
      <c r="DK1683" s="15"/>
      <c r="DL1683" s="15"/>
      <c r="DM1683" s="15"/>
      <c r="DN1683" s="15"/>
      <c r="DO1683" s="15"/>
      <c r="DP1683" s="15"/>
    </row>
    <row r="1684" spans="1:120" s="234" customFormat="1" ht="15" customHeight="1">
      <c r="A1684" s="100" t="s">
        <v>280</v>
      </c>
      <c r="B1684" s="22">
        <v>18</v>
      </c>
      <c r="C1684" s="101">
        <v>10</v>
      </c>
      <c r="D1684" s="27" t="s">
        <v>239</v>
      </c>
      <c r="E1684" s="18" t="s">
        <v>144</v>
      </c>
      <c r="F1684" s="18" t="s">
        <v>281</v>
      </c>
      <c r="G1684" s="225">
        <v>1.9</v>
      </c>
      <c r="H1684" s="225">
        <f t="shared" si="9"/>
        <v>19</v>
      </c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5"/>
      <c r="AG1684" s="15"/>
      <c r="AH1684" s="15"/>
      <c r="AI1684" s="15"/>
      <c r="AJ1684" s="15"/>
      <c r="AK1684" s="15"/>
      <c r="AL1684" s="15"/>
      <c r="AM1684" s="15"/>
      <c r="AN1684" s="15"/>
      <c r="AO1684" s="15"/>
      <c r="AP1684" s="15"/>
      <c r="AQ1684" s="15"/>
      <c r="AR1684" s="15"/>
      <c r="AS1684" s="15"/>
      <c r="AT1684" s="15"/>
      <c r="AU1684" s="15"/>
      <c r="AV1684" s="15"/>
      <c r="AW1684" s="15"/>
      <c r="AX1684" s="15"/>
      <c r="AY1684" s="15"/>
      <c r="AZ1684" s="15"/>
      <c r="BA1684" s="15"/>
      <c r="BB1684" s="15"/>
      <c r="BC1684" s="15"/>
      <c r="BD1684" s="15"/>
      <c r="BE1684" s="15"/>
      <c r="BF1684" s="15"/>
      <c r="BG1684" s="15"/>
      <c r="BH1684" s="15"/>
      <c r="BI1684" s="15"/>
      <c r="BJ1684" s="15"/>
      <c r="BK1684" s="15"/>
      <c r="BL1684" s="15"/>
      <c r="BM1684" s="15"/>
      <c r="BN1684" s="15"/>
      <c r="BO1684" s="15"/>
      <c r="BP1684" s="15"/>
      <c r="BQ1684" s="15"/>
      <c r="BR1684" s="15"/>
      <c r="BS1684" s="15"/>
      <c r="BT1684" s="15"/>
      <c r="BU1684" s="15"/>
      <c r="BV1684" s="15"/>
      <c r="BW1684" s="15"/>
      <c r="BX1684" s="15"/>
      <c r="BY1684" s="15"/>
      <c r="BZ1684" s="15"/>
      <c r="CA1684" s="15"/>
      <c r="CB1684" s="15"/>
      <c r="CC1684" s="15"/>
      <c r="CD1684" s="15"/>
      <c r="CE1684" s="15"/>
      <c r="CF1684" s="15"/>
      <c r="CG1684" s="15"/>
      <c r="CH1684" s="15"/>
      <c r="CI1684" s="15"/>
      <c r="CJ1684" s="15"/>
      <c r="CK1684" s="15"/>
      <c r="CL1684" s="15"/>
      <c r="CM1684" s="15"/>
      <c r="CN1684" s="15"/>
      <c r="CO1684" s="15"/>
      <c r="CP1684" s="15"/>
      <c r="CQ1684" s="15"/>
      <c r="CR1684" s="15"/>
      <c r="CS1684" s="15"/>
      <c r="CT1684" s="15"/>
      <c r="CU1684" s="15"/>
      <c r="CV1684" s="15"/>
      <c r="CW1684" s="15"/>
      <c r="CX1684" s="15"/>
      <c r="CY1684" s="15"/>
      <c r="CZ1684" s="15"/>
      <c r="DA1684" s="15"/>
      <c r="DB1684" s="15"/>
      <c r="DC1684" s="15"/>
      <c r="DD1684" s="15"/>
      <c r="DE1684" s="15"/>
      <c r="DF1684" s="15"/>
      <c r="DG1684" s="15"/>
      <c r="DH1684" s="15"/>
      <c r="DI1684" s="15"/>
      <c r="DJ1684" s="15"/>
      <c r="DK1684" s="15"/>
      <c r="DL1684" s="15"/>
      <c r="DM1684" s="15"/>
      <c r="DN1684" s="15"/>
      <c r="DO1684" s="15"/>
      <c r="DP1684" s="15"/>
    </row>
    <row r="1685" spans="1:120" s="234" customFormat="1" ht="15" customHeight="1">
      <c r="A1685" s="100" t="s">
        <v>280</v>
      </c>
      <c r="B1685" s="22">
        <v>24</v>
      </c>
      <c r="C1685" s="101">
        <v>10</v>
      </c>
      <c r="D1685" s="27" t="s">
        <v>239</v>
      </c>
      <c r="E1685" s="18" t="s">
        <v>144</v>
      </c>
      <c r="F1685" s="18" t="s">
        <v>281</v>
      </c>
      <c r="G1685" s="225">
        <v>2.36</v>
      </c>
      <c r="H1685" s="225">
        <f t="shared" si="9"/>
        <v>23.599999999999998</v>
      </c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5"/>
      <c r="AG1685" s="15"/>
      <c r="AH1685" s="15"/>
      <c r="AI1685" s="15"/>
      <c r="AJ1685" s="15"/>
      <c r="AK1685" s="15"/>
      <c r="AL1685" s="15"/>
      <c r="AM1685" s="15"/>
      <c r="AN1685" s="15"/>
      <c r="AO1685" s="15"/>
      <c r="AP1685" s="15"/>
      <c r="AQ1685" s="15"/>
      <c r="AR1685" s="15"/>
      <c r="AS1685" s="15"/>
      <c r="AT1685" s="15"/>
      <c r="AU1685" s="15"/>
      <c r="AV1685" s="15"/>
      <c r="AW1685" s="15"/>
      <c r="AX1685" s="15"/>
      <c r="AY1685" s="15"/>
      <c r="AZ1685" s="15"/>
      <c r="BA1685" s="15"/>
      <c r="BB1685" s="15"/>
      <c r="BC1685" s="15"/>
      <c r="BD1685" s="15"/>
      <c r="BE1685" s="15"/>
      <c r="BF1685" s="15"/>
      <c r="BG1685" s="15"/>
      <c r="BH1685" s="15"/>
      <c r="BI1685" s="15"/>
      <c r="BJ1685" s="15"/>
      <c r="BK1685" s="15"/>
      <c r="BL1685" s="15"/>
      <c r="BM1685" s="15"/>
      <c r="BN1685" s="15"/>
      <c r="BO1685" s="15"/>
      <c r="BP1685" s="15"/>
      <c r="BQ1685" s="15"/>
      <c r="BR1685" s="15"/>
      <c r="BS1685" s="15"/>
      <c r="BT1685" s="15"/>
      <c r="BU1685" s="15"/>
      <c r="BV1685" s="15"/>
      <c r="BW1685" s="15"/>
      <c r="BX1685" s="15"/>
      <c r="BY1685" s="15"/>
      <c r="BZ1685" s="15"/>
      <c r="CA1685" s="15"/>
      <c r="CB1685" s="15"/>
      <c r="CC1685" s="15"/>
      <c r="CD1685" s="15"/>
      <c r="CE1685" s="15"/>
      <c r="CF1685" s="15"/>
      <c r="CG1685" s="15"/>
      <c r="CH1685" s="15"/>
      <c r="CI1685" s="15"/>
      <c r="CJ1685" s="15"/>
      <c r="CK1685" s="15"/>
      <c r="CL1685" s="15"/>
      <c r="CM1685" s="15"/>
      <c r="CN1685" s="15"/>
      <c r="CO1685" s="15"/>
      <c r="CP1685" s="15"/>
      <c r="CQ1685" s="15"/>
      <c r="CR1685" s="15"/>
      <c r="CS1685" s="15"/>
      <c r="CT1685" s="15"/>
      <c r="CU1685" s="15"/>
      <c r="CV1685" s="15"/>
      <c r="CW1685" s="15"/>
      <c r="CX1685" s="15"/>
      <c r="CY1685" s="15"/>
      <c r="CZ1685" s="15"/>
      <c r="DA1685" s="15"/>
      <c r="DB1685" s="15"/>
      <c r="DC1685" s="15"/>
      <c r="DD1685" s="15"/>
      <c r="DE1685" s="15"/>
      <c r="DF1685" s="15"/>
      <c r="DG1685" s="15"/>
      <c r="DH1685" s="15"/>
      <c r="DI1685" s="15"/>
      <c r="DJ1685" s="15"/>
      <c r="DK1685" s="15"/>
      <c r="DL1685" s="15"/>
      <c r="DM1685" s="15"/>
      <c r="DN1685" s="15"/>
      <c r="DO1685" s="15"/>
      <c r="DP1685" s="15"/>
    </row>
    <row r="1686" spans="1:120" s="234" customFormat="1" ht="15" customHeight="1">
      <c r="A1686" s="100" t="s">
        <v>280</v>
      </c>
      <c r="B1686" s="22">
        <v>36</v>
      </c>
      <c r="C1686" s="101">
        <v>10</v>
      </c>
      <c r="D1686" s="27" t="s">
        <v>239</v>
      </c>
      <c r="E1686" s="18" t="s">
        <v>144</v>
      </c>
      <c r="F1686" s="18" t="s">
        <v>281</v>
      </c>
      <c r="G1686" s="225">
        <v>3.92</v>
      </c>
      <c r="H1686" s="225">
        <f t="shared" si="9"/>
        <v>39.200000000000003</v>
      </c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5"/>
      <c r="AG1686" s="15"/>
      <c r="AH1686" s="15"/>
      <c r="AI1686" s="15"/>
      <c r="AJ1686" s="15"/>
      <c r="AK1686" s="15"/>
      <c r="AL1686" s="15"/>
      <c r="AM1686" s="15"/>
      <c r="AN1686" s="15"/>
      <c r="AO1686" s="15"/>
      <c r="AP1686" s="15"/>
      <c r="AQ1686" s="15"/>
      <c r="AR1686" s="15"/>
      <c r="AS1686" s="15"/>
      <c r="AT1686" s="15"/>
      <c r="AU1686" s="15"/>
      <c r="AV1686" s="15"/>
      <c r="AW1686" s="15"/>
      <c r="AX1686" s="15"/>
      <c r="AY1686" s="15"/>
      <c r="AZ1686" s="15"/>
      <c r="BA1686" s="15"/>
      <c r="BB1686" s="15"/>
      <c r="BC1686" s="15"/>
      <c r="BD1686" s="15"/>
      <c r="BE1686" s="15"/>
      <c r="BF1686" s="15"/>
      <c r="BG1686" s="15"/>
      <c r="BH1686" s="15"/>
      <c r="BI1686" s="15"/>
      <c r="BJ1686" s="15"/>
      <c r="BK1686" s="15"/>
      <c r="BL1686" s="15"/>
      <c r="BM1686" s="15"/>
      <c r="BN1686" s="15"/>
      <c r="BO1686" s="15"/>
      <c r="BP1686" s="15"/>
      <c r="BQ1686" s="15"/>
      <c r="BR1686" s="15"/>
      <c r="BS1686" s="15"/>
      <c r="BT1686" s="15"/>
      <c r="BU1686" s="15"/>
      <c r="BV1686" s="15"/>
      <c r="BW1686" s="15"/>
      <c r="BX1686" s="15"/>
      <c r="BY1686" s="15"/>
      <c r="BZ1686" s="15"/>
      <c r="CA1686" s="15"/>
      <c r="CB1686" s="15"/>
      <c r="CC1686" s="15"/>
      <c r="CD1686" s="15"/>
      <c r="CE1686" s="15"/>
      <c r="CF1686" s="15"/>
      <c r="CG1686" s="15"/>
      <c r="CH1686" s="15"/>
      <c r="CI1686" s="15"/>
      <c r="CJ1686" s="15"/>
      <c r="CK1686" s="15"/>
      <c r="CL1686" s="15"/>
      <c r="CM1686" s="15"/>
      <c r="CN1686" s="15"/>
      <c r="CO1686" s="15"/>
      <c r="CP1686" s="15"/>
      <c r="CQ1686" s="15"/>
      <c r="CR1686" s="15"/>
      <c r="CS1686" s="15"/>
      <c r="CT1686" s="15"/>
      <c r="CU1686" s="15"/>
      <c r="CV1686" s="15"/>
      <c r="CW1686" s="15"/>
      <c r="CX1686" s="15"/>
      <c r="CY1686" s="15"/>
      <c r="CZ1686" s="15"/>
      <c r="DA1686" s="15"/>
      <c r="DB1686" s="15"/>
      <c r="DC1686" s="15"/>
      <c r="DD1686" s="15"/>
      <c r="DE1686" s="15"/>
      <c r="DF1686" s="15"/>
      <c r="DG1686" s="15"/>
      <c r="DH1686" s="15"/>
      <c r="DI1686" s="15"/>
      <c r="DJ1686" s="15"/>
      <c r="DK1686" s="15"/>
      <c r="DL1686" s="15"/>
      <c r="DM1686" s="15"/>
      <c r="DN1686" s="15"/>
      <c r="DO1686" s="15"/>
      <c r="DP1686" s="15"/>
    </row>
    <row r="1687" spans="1:120" s="234" customFormat="1" ht="15" customHeight="1">
      <c r="A1687" s="100" t="s">
        <v>280</v>
      </c>
      <c r="B1687" s="22">
        <v>48</v>
      </c>
      <c r="C1687" s="101">
        <v>10</v>
      </c>
      <c r="D1687" s="27" t="s">
        <v>239</v>
      </c>
      <c r="E1687" s="18" t="s">
        <v>144</v>
      </c>
      <c r="F1687" s="18" t="s">
        <v>281</v>
      </c>
      <c r="G1687" s="225">
        <v>5.76</v>
      </c>
      <c r="H1687" s="225">
        <f t="shared" si="9"/>
        <v>57.599999999999994</v>
      </c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5"/>
      <c r="AG1687" s="15"/>
      <c r="AH1687" s="15"/>
      <c r="AI1687" s="15"/>
      <c r="AJ1687" s="15"/>
      <c r="AK1687" s="15"/>
      <c r="AL1687" s="15"/>
      <c r="AM1687" s="15"/>
      <c r="AN1687" s="15"/>
      <c r="AO1687" s="15"/>
      <c r="AP1687" s="15"/>
      <c r="AQ1687" s="15"/>
      <c r="AR1687" s="15"/>
      <c r="AS1687" s="15"/>
      <c r="AT1687" s="15"/>
      <c r="AU1687" s="15"/>
      <c r="AV1687" s="15"/>
      <c r="AW1687" s="15"/>
      <c r="AX1687" s="15"/>
      <c r="AY1687" s="15"/>
      <c r="AZ1687" s="15"/>
      <c r="BA1687" s="15"/>
      <c r="BB1687" s="15"/>
      <c r="BC1687" s="15"/>
      <c r="BD1687" s="15"/>
      <c r="BE1687" s="15"/>
      <c r="BF1687" s="15"/>
      <c r="BG1687" s="15"/>
      <c r="BH1687" s="15"/>
      <c r="BI1687" s="15"/>
      <c r="BJ1687" s="15"/>
      <c r="BK1687" s="15"/>
      <c r="BL1687" s="15"/>
      <c r="BM1687" s="15"/>
      <c r="BN1687" s="15"/>
      <c r="BO1687" s="15"/>
      <c r="BP1687" s="15"/>
      <c r="BQ1687" s="15"/>
      <c r="BR1687" s="15"/>
      <c r="BS1687" s="15"/>
      <c r="BT1687" s="15"/>
      <c r="BU1687" s="15"/>
      <c r="BV1687" s="15"/>
      <c r="BW1687" s="15"/>
      <c r="BX1687" s="15"/>
      <c r="BY1687" s="15"/>
      <c r="BZ1687" s="15"/>
      <c r="CA1687" s="15"/>
      <c r="CB1687" s="15"/>
      <c r="CC1687" s="15"/>
      <c r="CD1687" s="15"/>
      <c r="CE1687" s="15"/>
      <c r="CF1687" s="15"/>
      <c r="CG1687" s="15"/>
      <c r="CH1687" s="15"/>
      <c r="CI1687" s="15"/>
      <c r="CJ1687" s="15"/>
      <c r="CK1687" s="15"/>
      <c r="CL1687" s="15"/>
      <c r="CM1687" s="15"/>
      <c r="CN1687" s="15"/>
      <c r="CO1687" s="15"/>
      <c r="CP1687" s="15"/>
      <c r="CQ1687" s="15"/>
      <c r="CR1687" s="15"/>
      <c r="CS1687" s="15"/>
      <c r="CT1687" s="15"/>
      <c r="CU1687" s="15"/>
      <c r="CV1687" s="15"/>
      <c r="CW1687" s="15"/>
      <c r="CX1687" s="15"/>
      <c r="CY1687" s="15"/>
      <c r="CZ1687" s="15"/>
      <c r="DA1687" s="15"/>
      <c r="DB1687" s="15"/>
      <c r="DC1687" s="15"/>
      <c r="DD1687" s="15"/>
      <c r="DE1687" s="15"/>
      <c r="DF1687" s="15"/>
      <c r="DG1687" s="15"/>
      <c r="DH1687" s="15"/>
      <c r="DI1687" s="15"/>
      <c r="DJ1687" s="15"/>
      <c r="DK1687" s="15"/>
      <c r="DL1687" s="15"/>
      <c r="DM1687" s="15"/>
      <c r="DN1687" s="15"/>
      <c r="DO1687" s="15"/>
      <c r="DP1687" s="15"/>
    </row>
    <row r="1688" spans="1:120" s="234" customFormat="1" ht="15" customHeight="1">
      <c r="A1688" s="100" t="s">
        <v>277</v>
      </c>
      <c r="B1688" s="22">
        <v>4</v>
      </c>
      <c r="C1688" s="181">
        <v>40</v>
      </c>
      <c r="D1688" s="27" t="s">
        <v>239</v>
      </c>
      <c r="E1688" s="18" t="s">
        <v>278</v>
      </c>
      <c r="F1688" s="18" t="s">
        <v>279</v>
      </c>
      <c r="G1688" s="225">
        <v>0.68</v>
      </c>
      <c r="H1688" s="225">
        <f t="shared" si="9"/>
        <v>27.200000000000003</v>
      </c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5"/>
      <c r="AG1688" s="15"/>
      <c r="AH1688" s="15"/>
      <c r="AI1688" s="15"/>
      <c r="AJ1688" s="15"/>
      <c r="AK1688" s="15"/>
      <c r="AL1688" s="15"/>
      <c r="AM1688" s="15"/>
      <c r="AN1688" s="15"/>
      <c r="AO1688" s="15"/>
      <c r="AP1688" s="15"/>
      <c r="AQ1688" s="15"/>
      <c r="AR1688" s="15"/>
      <c r="AS1688" s="15"/>
      <c r="AT1688" s="15"/>
      <c r="AU1688" s="15"/>
      <c r="AV1688" s="15"/>
      <c r="AW1688" s="15"/>
      <c r="AX1688" s="15"/>
      <c r="AY1688" s="15"/>
      <c r="AZ1688" s="15"/>
      <c r="BA1688" s="15"/>
      <c r="BB1688" s="15"/>
      <c r="BC1688" s="15"/>
      <c r="BD1688" s="15"/>
      <c r="BE1688" s="15"/>
      <c r="BF1688" s="15"/>
      <c r="BG1688" s="15"/>
      <c r="BH1688" s="15"/>
      <c r="BI1688" s="15"/>
      <c r="BJ1688" s="15"/>
      <c r="BK1688" s="15"/>
      <c r="BL1688" s="15"/>
      <c r="BM1688" s="15"/>
      <c r="BN1688" s="15"/>
      <c r="BO1688" s="15"/>
      <c r="BP1688" s="15"/>
      <c r="BQ1688" s="15"/>
      <c r="BR1688" s="15"/>
      <c r="BS1688" s="15"/>
      <c r="BT1688" s="15"/>
      <c r="BU1688" s="15"/>
      <c r="BV1688" s="15"/>
      <c r="BW1688" s="15"/>
      <c r="BX1688" s="15"/>
      <c r="BY1688" s="15"/>
      <c r="BZ1688" s="15"/>
      <c r="CA1688" s="15"/>
      <c r="CB1688" s="15"/>
      <c r="CC1688" s="15"/>
      <c r="CD1688" s="15"/>
      <c r="CE1688" s="15"/>
      <c r="CF1688" s="15"/>
      <c r="CG1688" s="15"/>
      <c r="CH1688" s="15"/>
      <c r="CI1688" s="15"/>
      <c r="CJ1688" s="15"/>
      <c r="CK1688" s="15"/>
      <c r="CL1688" s="15"/>
      <c r="CM1688" s="15"/>
      <c r="CN1688" s="15"/>
      <c r="CO1688" s="15"/>
      <c r="CP1688" s="15"/>
      <c r="CQ1688" s="15"/>
      <c r="CR1688" s="15"/>
      <c r="CS1688" s="15"/>
      <c r="CT1688" s="15"/>
      <c r="CU1688" s="15"/>
      <c r="CV1688" s="15"/>
      <c r="CW1688" s="15"/>
      <c r="CX1688" s="15"/>
      <c r="CY1688" s="15"/>
      <c r="CZ1688" s="15"/>
      <c r="DA1688" s="15"/>
      <c r="DB1688" s="15"/>
      <c r="DC1688" s="15"/>
      <c r="DD1688" s="15"/>
      <c r="DE1688" s="15"/>
      <c r="DF1688" s="15"/>
      <c r="DG1688" s="15"/>
      <c r="DH1688" s="15"/>
      <c r="DI1688" s="15"/>
      <c r="DJ1688" s="15"/>
      <c r="DK1688" s="15"/>
      <c r="DL1688" s="15"/>
      <c r="DM1688" s="15"/>
      <c r="DN1688" s="15"/>
      <c r="DO1688" s="15"/>
      <c r="DP1688" s="15"/>
    </row>
    <row r="1689" spans="1:120" s="234" customFormat="1" ht="15" customHeight="1">
      <c r="A1689" s="100" t="s">
        <v>277</v>
      </c>
      <c r="B1689" s="22">
        <v>6</v>
      </c>
      <c r="C1689" s="101">
        <v>10</v>
      </c>
      <c r="D1689" s="27" t="s">
        <v>239</v>
      </c>
      <c r="E1689" s="18" t="s">
        <v>278</v>
      </c>
      <c r="F1689" s="18" t="s">
        <v>279</v>
      </c>
      <c r="G1689" s="225">
        <v>0.7</v>
      </c>
      <c r="H1689" s="225">
        <f t="shared" si="9"/>
        <v>7</v>
      </c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5"/>
      <c r="AG1689" s="15"/>
      <c r="AH1689" s="15"/>
      <c r="AI1689" s="15"/>
      <c r="AJ1689" s="15"/>
      <c r="AK1689" s="15"/>
      <c r="AL1689" s="15"/>
      <c r="AM1689" s="15"/>
      <c r="AN1689" s="15"/>
      <c r="AO1689" s="15"/>
      <c r="AP1689" s="15"/>
      <c r="AQ1689" s="15"/>
      <c r="AR1689" s="15"/>
      <c r="AS1689" s="15"/>
      <c r="AT1689" s="15"/>
      <c r="AU1689" s="15"/>
      <c r="AV1689" s="15"/>
      <c r="AW1689" s="15"/>
      <c r="AX1689" s="15"/>
      <c r="AY1689" s="15"/>
      <c r="AZ1689" s="15"/>
      <c r="BA1689" s="15"/>
      <c r="BB1689" s="15"/>
      <c r="BC1689" s="15"/>
      <c r="BD1689" s="15"/>
      <c r="BE1689" s="15"/>
      <c r="BF1689" s="15"/>
      <c r="BG1689" s="15"/>
      <c r="BH1689" s="15"/>
      <c r="BI1689" s="15"/>
      <c r="BJ1689" s="15"/>
      <c r="BK1689" s="15"/>
      <c r="BL1689" s="15"/>
      <c r="BM1689" s="15"/>
      <c r="BN1689" s="15"/>
      <c r="BO1689" s="15"/>
      <c r="BP1689" s="15"/>
      <c r="BQ1689" s="15"/>
      <c r="BR1689" s="15"/>
      <c r="BS1689" s="15"/>
      <c r="BT1689" s="15"/>
      <c r="BU1689" s="15"/>
      <c r="BV1689" s="15"/>
      <c r="BW1689" s="15"/>
      <c r="BX1689" s="15"/>
      <c r="BY1689" s="15"/>
      <c r="BZ1689" s="15"/>
      <c r="CA1689" s="15"/>
      <c r="CB1689" s="15"/>
      <c r="CC1689" s="15"/>
      <c r="CD1689" s="15"/>
      <c r="CE1689" s="15"/>
      <c r="CF1689" s="15"/>
      <c r="CG1689" s="15"/>
      <c r="CH1689" s="15"/>
      <c r="CI1689" s="15"/>
      <c r="CJ1689" s="15"/>
      <c r="CK1689" s="15"/>
      <c r="CL1689" s="15"/>
      <c r="CM1689" s="15"/>
      <c r="CN1689" s="15"/>
      <c r="CO1689" s="15"/>
      <c r="CP1689" s="15"/>
      <c r="CQ1689" s="15"/>
      <c r="CR1689" s="15"/>
      <c r="CS1689" s="15"/>
      <c r="CT1689" s="15"/>
      <c r="CU1689" s="15"/>
      <c r="CV1689" s="15"/>
      <c r="CW1689" s="15"/>
      <c r="CX1689" s="15"/>
      <c r="CY1689" s="15"/>
      <c r="CZ1689" s="15"/>
      <c r="DA1689" s="15"/>
      <c r="DB1689" s="15"/>
      <c r="DC1689" s="15"/>
      <c r="DD1689" s="15"/>
      <c r="DE1689" s="15"/>
      <c r="DF1689" s="15"/>
      <c r="DG1689" s="15"/>
      <c r="DH1689" s="15"/>
      <c r="DI1689" s="15"/>
      <c r="DJ1689" s="15"/>
      <c r="DK1689" s="15"/>
      <c r="DL1689" s="15"/>
      <c r="DM1689" s="15"/>
      <c r="DN1689" s="15"/>
      <c r="DO1689" s="15"/>
      <c r="DP1689" s="15"/>
    </row>
    <row r="1690" spans="1:120" s="234" customFormat="1" ht="15" customHeight="1">
      <c r="A1690" s="100" t="s">
        <v>277</v>
      </c>
      <c r="B1690" s="22">
        <v>9</v>
      </c>
      <c r="C1690" s="101">
        <v>10</v>
      </c>
      <c r="D1690" s="27" t="s">
        <v>239</v>
      </c>
      <c r="E1690" s="18" t="s">
        <v>278</v>
      </c>
      <c r="F1690" s="18" t="s">
        <v>279</v>
      </c>
      <c r="G1690" s="225">
        <v>0.79</v>
      </c>
      <c r="H1690" s="225">
        <f t="shared" si="9"/>
        <v>7.9</v>
      </c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5"/>
      <c r="AG1690" s="15"/>
      <c r="AH1690" s="15"/>
      <c r="AI1690" s="15"/>
      <c r="AJ1690" s="15"/>
      <c r="AK1690" s="15"/>
      <c r="AL1690" s="15"/>
      <c r="AM1690" s="15"/>
      <c r="AN1690" s="15"/>
      <c r="AO1690" s="15"/>
      <c r="AP1690" s="15"/>
      <c r="AQ1690" s="15"/>
      <c r="AR1690" s="15"/>
      <c r="AS1690" s="15"/>
      <c r="AT1690" s="15"/>
      <c r="AU1690" s="15"/>
      <c r="AV1690" s="15"/>
      <c r="AW1690" s="15"/>
      <c r="AX1690" s="15"/>
      <c r="AY1690" s="15"/>
      <c r="AZ1690" s="15"/>
      <c r="BA1690" s="15"/>
      <c r="BB1690" s="15"/>
      <c r="BC1690" s="15"/>
      <c r="BD1690" s="15"/>
      <c r="BE1690" s="15"/>
      <c r="BF1690" s="15"/>
      <c r="BG1690" s="15"/>
      <c r="BH1690" s="15"/>
      <c r="BI1690" s="15"/>
      <c r="BJ1690" s="15"/>
      <c r="BK1690" s="15"/>
      <c r="BL1690" s="15"/>
      <c r="BM1690" s="15"/>
      <c r="BN1690" s="15"/>
      <c r="BO1690" s="15"/>
      <c r="BP1690" s="15"/>
      <c r="BQ1690" s="15"/>
      <c r="BR1690" s="15"/>
      <c r="BS1690" s="15"/>
      <c r="BT1690" s="15"/>
      <c r="BU1690" s="15"/>
      <c r="BV1690" s="15"/>
      <c r="BW1690" s="15"/>
      <c r="BX1690" s="15"/>
      <c r="BY1690" s="15"/>
      <c r="BZ1690" s="15"/>
      <c r="CA1690" s="15"/>
      <c r="CB1690" s="15"/>
      <c r="CC1690" s="15"/>
      <c r="CD1690" s="15"/>
      <c r="CE1690" s="15"/>
      <c r="CF1690" s="15"/>
      <c r="CG1690" s="15"/>
      <c r="CH1690" s="15"/>
      <c r="CI1690" s="15"/>
      <c r="CJ1690" s="15"/>
      <c r="CK1690" s="15"/>
      <c r="CL1690" s="15"/>
      <c r="CM1690" s="15"/>
      <c r="CN1690" s="15"/>
      <c r="CO1690" s="15"/>
      <c r="CP1690" s="15"/>
      <c r="CQ1690" s="15"/>
      <c r="CR1690" s="15"/>
      <c r="CS1690" s="15"/>
      <c r="CT1690" s="15"/>
      <c r="CU1690" s="15"/>
      <c r="CV1690" s="15"/>
      <c r="CW1690" s="15"/>
      <c r="CX1690" s="15"/>
      <c r="CY1690" s="15"/>
      <c r="CZ1690" s="15"/>
      <c r="DA1690" s="15"/>
      <c r="DB1690" s="15"/>
      <c r="DC1690" s="15"/>
      <c r="DD1690" s="15"/>
      <c r="DE1690" s="15"/>
      <c r="DF1690" s="15"/>
      <c r="DG1690" s="15"/>
      <c r="DH1690" s="15"/>
      <c r="DI1690" s="15"/>
      <c r="DJ1690" s="15"/>
      <c r="DK1690" s="15"/>
      <c r="DL1690" s="15"/>
      <c r="DM1690" s="15"/>
      <c r="DN1690" s="15"/>
      <c r="DO1690" s="15"/>
      <c r="DP1690" s="15"/>
    </row>
    <row r="1691" spans="1:120" s="234" customFormat="1" ht="15" customHeight="1">
      <c r="A1691" s="100" t="s">
        <v>277</v>
      </c>
      <c r="B1691" s="22">
        <v>12</v>
      </c>
      <c r="C1691" s="101">
        <v>10</v>
      </c>
      <c r="D1691" s="27" t="s">
        <v>239</v>
      </c>
      <c r="E1691" s="18" t="s">
        <v>278</v>
      </c>
      <c r="F1691" s="18" t="s">
        <v>279</v>
      </c>
      <c r="G1691" s="225">
        <v>0.88</v>
      </c>
      <c r="H1691" s="225">
        <f t="shared" si="9"/>
        <v>8.8000000000000007</v>
      </c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5"/>
      <c r="AG1691" s="15"/>
      <c r="AH1691" s="15"/>
      <c r="AI1691" s="15"/>
      <c r="AJ1691" s="15"/>
      <c r="AK1691" s="15"/>
      <c r="AL1691" s="15"/>
      <c r="AM1691" s="15"/>
      <c r="AN1691" s="15"/>
      <c r="AO1691" s="15"/>
      <c r="AP1691" s="15"/>
      <c r="AQ1691" s="15"/>
      <c r="AR1691" s="15"/>
      <c r="AS1691" s="15"/>
      <c r="AT1691" s="15"/>
      <c r="AU1691" s="15"/>
      <c r="AV1691" s="15"/>
      <c r="AW1691" s="15"/>
      <c r="AX1691" s="15"/>
      <c r="AY1691" s="15"/>
      <c r="AZ1691" s="15"/>
      <c r="BA1691" s="15"/>
      <c r="BB1691" s="15"/>
      <c r="BC1691" s="15"/>
      <c r="BD1691" s="15"/>
      <c r="BE1691" s="15"/>
      <c r="BF1691" s="15"/>
      <c r="BG1691" s="15"/>
      <c r="BH1691" s="15"/>
      <c r="BI1691" s="15"/>
      <c r="BJ1691" s="15"/>
      <c r="BK1691" s="15"/>
      <c r="BL1691" s="15"/>
      <c r="BM1691" s="15"/>
      <c r="BN1691" s="15"/>
      <c r="BO1691" s="15"/>
      <c r="BP1691" s="15"/>
      <c r="BQ1691" s="15"/>
      <c r="BR1691" s="15"/>
      <c r="BS1691" s="15"/>
      <c r="BT1691" s="15"/>
      <c r="BU1691" s="15"/>
      <c r="BV1691" s="15"/>
      <c r="BW1691" s="15"/>
      <c r="BX1691" s="15"/>
      <c r="BY1691" s="15"/>
      <c r="BZ1691" s="15"/>
      <c r="CA1691" s="15"/>
      <c r="CB1691" s="15"/>
      <c r="CC1691" s="15"/>
      <c r="CD1691" s="15"/>
      <c r="CE1691" s="15"/>
      <c r="CF1691" s="15"/>
      <c r="CG1691" s="15"/>
      <c r="CH1691" s="15"/>
      <c r="CI1691" s="15"/>
      <c r="CJ1691" s="15"/>
      <c r="CK1691" s="15"/>
      <c r="CL1691" s="15"/>
      <c r="CM1691" s="15"/>
      <c r="CN1691" s="15"/>
      <c r="CO1691" s="15"/>
      <c r="CP1691" s="15"/>
      <c r="CQ1691" s="15"/>
      <c r="CR1691" s="15"/>
      <c r="CS1691" s="15"/>
      <c r="CT1691" s="15"/>
      <c r="CU1691" s="15"/>
      <c r="CV1691" s="15"/>
      <c r="CW1691" s="15"/>
      <c r="CX1691" s="15"/>
      <c r="CY1691" s="15"/>
      <c r="CZ1691" s="15"/>
      <c r="DA1691" s="15"/>
      <c r="DB1691" s="15"/>
      <c r="DC1691" s="15"/>
      <c r="DD1691" s="15"/>
      <c r="DE1691" s="15"/>
      <c r="DF1691" s="15"/>
      <c r="DG1691" s="15"/>
      <c r="DH1691" s="15"/>
      <c r="DI1691" s="15"/>
      <c r="DJ1691" s="15"/>
      <c r="DK1691" s="15"/>
      <c r="DL1691" s="15"/>
      <c r="DM1691" s="15"/>
      <c r="DN1691" s="15"/>
      <c r="DO1691" s="15"/>
      <c r="DP1691" s="15"/>
    </row>
    <row r="1692" spans="1:120" s="234" customFormat="1" ht="15" customHeight="1">
      <c r="A1692" s="100" t="s">
        <v>277</v>
      </c>
      <c r="B1692" s="22">
        <v>18</v>
      </c>
      <c r="C1692" s="101">
        <v>10</v>
      </c>
      <c r="D1692" s="27" t="s">
        <v>239</v>
      </c>
      <c r="E1692" s="18" t="s">
        <v>278</v>
      </c>
      <c r="F1692" s="18" t="s">
        <v>279</v>
      </c>
      <c r="G1692" s="225">
        <v>1.1399999999999999</v>
      </c>
      <c r="H1692" s="225">
        <f t="shared" si="9"/>
        <v>11.399999999999999</v>
      </c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5"/>
      <c r="AG1692" s="15"/>
      <c r="AH1692" s="15"/>
      <c r="AI1692" s="15"/>
      <c r="AJ1692" s="15"/>
      <c r="AK1692" s="15"/>
      <c r="AL1692" s="15"/>
      <c r="AM1692" s="15"/>
      <c r="AN1692" s="15"/>
      <c r="AO1692" s="15"/>
      <c r="AP1692" s="15"/>
      <c r="AQ1692" s="15"/>
      <c r="AR1692" s="15"/>
      <c r="AS1692" s="15"/>
      <c r="AT1692" s="15"/>
      <c r="AU1692" s="15"/>
      <c r="AV1692" s="15"/>
      <c r="AW1692" s="15"/>
      <c r="AX1692" s="15"/>
      <c r="AY1692" s="15"/>
      <c r="AZ1692" s="15"/>
      <c r="BA1692" s="15"/>
      <c r="BB1692" s="15"/>
      <c r="BC1692" s="15"/>
      <c r="BD1692" s="15"/>
      <c r="BE1692" s="15"/>
      <c r="BF1692" s="15"/>
      <c r="BG1692" s="15"/>
      <c r="BH1692" s="15"/>
      <c r="BI1692" s="15"/>
      <c r="BJ1692" s="15"/>
      <c r="BK1692" s="15"/>
      <c r="BL1692" s="15"/>
      <c r="BM1692" s="15"/>
      <c r="BN1692" s="15"/>
      <c r="BO1692" s="15"/>
      <c r="BP1692" s="15"/>
      <c r="BQ1692" s="15"/>
      <c r="BR1692" s="15"/>
      <c r="BS1692" s="15"/>
      <c r="BT1692" s="15"/>
      <c r="BU1692" s="15"/>
      <c r="BV1692" s="15"/>
      <c r="BW1692" s="15"/>
      <c r="BX1692" s="15"/>
      <c r="BY1692" s="15"/>
      <c r="BZ1692" s="15"/>
      <c r="CA1692" s="15"/>
      <c r="CB1692" s="15"/>
      <c r="CC1692" s="15"/>
      <c r="CD1692" s="15"/>
      <c r="CE1692" s="15"/>
      <c r="CF1692" s="15"/>
      <c r="CG1692" s="15"/>
      <c r="CH1692" s="15"/>
      <c r="CI1692" s="15"/>
      <c r="CJ1692" s="15"/>
      <c r="CK1692" s="15"/>
      <c r="CL1692" s="15"/>
      <c r="CM1692" s="15"/>
      <c r="CN1692" s="15"/>
      <c r="CO1692" s="15"/>
      <c r="CP1692" s="15"/>
      <c r="CQ1692" s="15"/>
      <c r="CR1692" s="15"/>
      <c r="CS1692" s="15"/>
      <c r="CT1692" s="15"/>
      <c r="CU1692" s="15"/>
      <c r="CV1692" s="15"/>
      <c r="CW1692" s="15"/>
      <c r="CX1692" s="15"/>
      <c r="CY1692" s="15"/>
      <c r="CZ1692" s="15"/>
      <c r="DA1692" s="15"/>
      <c r="DB1692" s="15"/>
      <c r="DC1692" s="15"/>
      <c r="DD1692" s="15"/>
      <c r="DE1692" s="15"/>
      <c r="DF1692" s="15"/>
      <c r="DG1692" s="15"/>
      <c r="DH1692" s="15"/>
      <c r="DI1692" s="15"/>
      <c r="DJ1692" s="15"/>
      <c r="DK1692" s="15"/>
      <c r="DL1692" s="15"/>
      <c r="DM1692" s="15"/>
      <c r="DN1692" s="15"/>
      <c r="DO1692" s="15"/>
      <c r="DP1692" s="15"/>
    </row>
    <row r="1693" spans="1:120" s="234" customFormat="1" ht="15" customHeight="1">
      <c r="A1693" s="100" t="s">
        <v>277</v>
      </c>
      <c r="B1693" s="22">
        <v>24</v>
      </c>
      <c r="C1693" s="101">
        <v>10</v>
      </c>
      <c r="D1693" s="27" t="s">
        <v>239</v>
      </c>
      <c r="E1693" s="18" t="s">
        <v>278</v>
      </c>
      <c r="F1693" s="18" t="s">
        <v>279</v>
      </c>
      <c r="G1693" s="225">
        <v>1.4</v>
      </c>
      <c r="H1693" s="225">
        <f t="shared" si="9"/>
        <v>14</v>
      </c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5"/>
      <c r="AG1693" s="15"/>
      <c r="AH1693" s="15"/>
      <c r="AI1693" s="15"/>
      <c r="AJ1693" s="15"/>
      <c r="AK1693" s="15"/>
      <c r="AL1693" s="15"/>
      <c r="AM1693" s="15"/>
      <c r="AN1693" s="15"/>
      <c r="AO1693" s="15"/>
      <c r="AP1693" s="15"/>
      <c r="AQ1693" s="15"/>
      <c r="AR1693" s="15"/>
      <c r="AS1693" s="15"/>
      <c r="AT1693" s="15"/>
      <c r="AU1693" s="15"/>
      <c r="AV1693" s="15"/>
      <c r="AW1693" s="15"/>
      <c r="AX1693" s="15"/>
      <c r="AY1693" s="15"/>
      <c r="AZ1693" s="15"/>
      <c r="BA1693" s="15"/>
      <c r="BB1693" s="15"/>
      <c r="BC1693" s="15"/>
      <c r="BD1693" s="15"/>
      <c r="BE1693" s="15"/>
      <c r="BF1693" s="15"/>
      <c r="BG1693" s="15"/>
      <c r="BH1693" s="15"/>
      <c r="BI1693" s="15"/>
      <c r="BJ1693" s="15"/>
      <c r="BK1693" s="15"/>
      <c r="BL1693" s="15"/>
      <c r="BM1693" s="15"/>
      <c r="BN1693" s="15"/>
      <c r="BO1693" s="15"/>
      <c r="BP1693" s="15"/>
      <c r="BQ1693" s="15"/>
      <c r="BR1693" s="15"/>
      <c r="BS1693" s="15"/>
      <c r="BT1693" s="15"/>
      <c r="BU1693" s="15"/>
      <c r="BV1693" s="15"/>
      <c r="BW1693" s="15"/>
      <c r="BX1693" s="15"/>
      <c r="BY1693" s="15"/>
      <c r="BZ1693" s="15"/>
      <c r="CA1693" s="15"/>
      <c r="CB1693" s="15"/>
      <c r="CC1693" s="15"/>
      <c r="CD1693" s="15"/>
      <c r="CE1693" s="15"/>
      <c r="CF1693" s="15"/>
      <c r="CG1693" s="15"/>
      <c r="CH1693" s="15"/>
      <c r="CI1693" s="15"/>
      <c r="CJ1693" s="15"/>
      <c r="CK1693" s="15"/>
      <c r="CL1693" s="15"/>
      <c r="CM1693" s="15"/>
      <c r="CN1693" s="15"/>
      <c r="CO1693" s="15"/>
      <c r="CP1693" s="15"/>
      <c r="CQ1693" s="15"/>
      <c r="CR1693" s="15"/>
      <c r="CS1693" s="15"/>
      <c r="CT1693" s="15"/>
      <c r="CU1693" s="15"/>
      <c r="CV1693" s="15"/>
      <c r="CW1693" s="15"/>
      <c r="CX1693" s="15"/>
      <c r="CY1693" s="15"/>
      <c r="CZ1693" s="15"/>
      <c r="DA1693" s="15"/>
      <c r="DB1693" s="15"/>
      <c r="DC1693" s="15"/>
      <c r="DD1693" s="15"/>
      <c r="DE1693" s="15"/>
      <c r="DF1693" s="15"/>
      <c r="DG1693" s="15"/>
      <c r="DH1693" s="15"/>
      <c r="DI1693" s="15"/>
      <c r="DJ1693" s="15"/>
      <c r="DK1693" s="15"/>
      <c r="DL1693" s="15"/>
      <c r="DM1693" s="15"/>
      <c r="DN1693" s="15"/>
      <c r="DO1693" s="15"/>
      <c r="DP1693" s="15"/>
    </row>
    <row r="1694" spans="1:120" s="234" customFormat="1" ht="15" customHeight="1">
      <c r="A1694" s="100" t="s">
        <v>277</v>
      </c>
      <c r="B1694" s="22">
        <v>38</v>
      </c>
      <c r="C1694" s="101">
        <v>10</v>
      </c>
      <c r="D1694" s="27" t="s">
        <v>239</v>
      </c>
      <c r="E1694" s="18" t="s">
        <v>278</v>
      </c>
      <c r="F1694" s="18" t="s">
        <v>279</v>
      </c>
      <c r="G1694" s="225">
        <v>2.4</v>
      </c>
      <c r="H1694" s="225">
        <f t="shared" si="9"/>
        <v>24</v>
      </c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5"/>
      <c r="AG1694" s="15"/>
      <c r="AH1694" s="15"/>
      <c r="AI1694" s="15"/>
      <c r="AJ1694" s="15"/>
      <c r="AK1694" s="15"/>
      <c r="AL1694" s="15"/>
      <c r="AM1694" s="15"/>
      <c r="AN1694" s="15"/>
      <c r="AO1694" s="15"/>
      <c r="AP1694" s="15"/>
      <c r="AQ1694" s="15"/>
      <c r="AR1694" s="15"/>
      <c r="AS1694" s="15"/>
      <c r="AT1694" s="15"/>
      <c r="AU1694" s="15"/>
      <c r="AV1694" s="15"/>
      <c r="AW1694" s="15"/>
      <c r="AX1694" s="15"/>
      <c r="AY1694" s="15"/>
      <c r="AZ1694" s="15"/>
      <c r="BA1694" s="15"/>
      <c r="BB1694" s="15"/>
      <c r="BC1694" s="15"/>
      <c r="BD1694" s="15"/>
      <c r="BE1694" s="15"/>
      <c r="BF1694" s="15"/>
      <c r="BG1694" s="15"/>
      <c r="BH1694" s="15"/>
      <c r="BI1694" s="15"/>
      <c r="BJ1694" s="15"/>
      <c r="BK1694" s="15"/>
      <c r="BL1694" s="15"/>
      <c r="BM1694" s="15"/>
      <c r="BN1694" s="15"/>
      <c r="BO1694" s="15"/>
      <c r="BP1694" s="15"/>
      <c r="BQ1694" s="15"/>
      <c r="BR1694" s="15"/>
      <c r="BS1694" s="15"/>
      <c r="BT1694" s="15"/>
      <c r="BU1694" s="15"/>
      <c r="BV1694" s="15"/>
      <c r="BW1694" s="15"/>
      <c r="BX1694" s="15"/>
      <c r="BY1694" s="15"/>
      <c r="BZ1694" s="15"/>
      <c r="CA1694" s="15"/>
      <c r="CB1694" s="15"/>
      <c r="CC1694" s="15"/>
      <c r="CD1694" s="15"/>
      <c r="CE1694" s="15"/>
      <c r="CF1694" s="15"/>
      <c r="CG1694" s="15"/>
      <c r="CH1694" s="15"/>
      <c r="CI1694" s="15"/>
      <c r="CJ1694" s="15"/>
      <c r="CK1694" s="15"/>
      <c r="CL1694" s="15"/>
      <c r="CM1694" s="15"/>
      <c r="CN1694" s="15"/>
      <c r="CO1694" s="15"/>
      <c r="CP1694" s="15"/>
      <c r="CQ1694" s="15"/>
      <c r="CR1694" s="15"/>
      <c r="CS1694" s="15"/>
      <c r="CT1694" s="15"/>
      <c r="CU1694" s="15"/>
      <c r="CV1694" s="15"/>
      <c r="CW1694" s="15"/>
      <c r="CX1694" s="15"/>
      <c r="CY1694" s="15"/>
      <c r="CZ1694" s="15"/>
      <c r="DA1694" s="15"/>
      <c r="DB1694" s="15"/>
      <c r="DC1694" s="15"/>
      <c r="DD1694" s="15"/>
      <c r="DE1694" s="15"/>
      <c r="DF1694" s="15"/>
      <c r="DG1694" s="15"/>
      <c r="DH1694" s="15"/>
      <c r="DI1694" s="15"/>
      <c r="DJ1694" s="15"/>
      <c r="DK1694" s="15"/>
      <c r="DL1694" s="15"/>
      <c r="DM1694" s="15"/>
      <c r="DN1694" s="15"/>
      <c r="DO1694" s="15"/>
      <c r="DP1694" s="15"/>
    </row>
    <row r="1695" spans="1:120" s="234" customFormat="1" ht="15" customHeight="1">
      <c r="A1695" s="100" t="s">
        <v>277</v>
      </c>
      <c r="B1695" s="22">
        <v>50</v>
      </c>
      <c r="C1695" s="101">
        <v>10</v>
      </c>
      <c r="D1695" s="27" t="s">
        <v>239</v>
      </c>
      <c r="E1695" s="18" t="s">
        <v>278</v>
      </c>
      <c r="F1695" s="18" t="s">
        <v>279</v>
      </c>
      <c r="G1695" s="225">
        <v>3.1599999999999997</v>
      </c>
      <c r="H1695" s="225">
        <f t="shared" si="9"/>
        <v>31.599999999999998</v>
      </c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5"/>
      <c r="AG1695" s="15"/>
      <c r="AH1695" s="15"/>
      <c r="AI1695" s="15"/>
      <c r="AJ1695" s="15"/>
      <c r="AK1695" s="15"/>
      <c r="AL1695" s="15"/>
      <c r="AM1695" s="15"/>
      <c r="AN1695" s="15"/>
      <c r="AO1695" s="15"/>
      <c r="AP1695" s="15"/>
      <c r="AQ1695" s="15"/>
      <c r="AR1695" s="15"/>
      <c r="AS1695" s="15"/>
      <c r="AT1695" s="15"/>
      <c r="AU1695" s="15"/>
      <c r="AV1695" s="15"/>
      <c r="AW1695" s="15"/>
      <c r="AX1695" s="15"/>
      <c r="AY1695" s="15"/>
      <c r="AZ1695" s="15"/>
      <c r="BA1695" s="15"/>
      <c r="BB1695" s="15"/>
      <c r="BC1695" s="15"/>
      <c r="BD1695" s="15"/>
      <c r="BE1695" s="15"/>
      <c r="BF1695" s="15"/>
      <c r="BG1695" s="15"/>
      <c r="BH1695" s="15"/>
      <c r="BI1695" s="15"/>
      <c r="BJ1695" s="15"/>
      <c r="BK1695" s="15"/>
      <c r="BL1695" s="15"/>
      <c r="BM1695" s="15"/>
      <c r="BN1695" s="15"/>
      <c r="BO1695" s="15"/>
      <c r="BP1695" s="15"/>
      <c r="BQ1695" s="15"/>
      <c r="BR1695" s="15"/>
      <c r="BS1695" s="15"/>
      <c r="BT1695" s="15"/>
      <c r="BU1695" s="15"/>
      <c r="BV1695" s="15"/>
      <c r="BW1695" s="15"/>
      <c r="BX1695" s="15"/>
      <c r="BY1695" s="15"/>
      <c r="BZ1695" s="15"/>
      <c r="CA1695" s="15"/>
      <c r="CB1695" s="15"/>
      <c r="CC1695" s="15"/>
      <c r="CD1695" s="15"/>
      <c r="CE1695" s="15"/>
      <c r="CF1695" s="15"/>
      <c r="CG1695" s="15"/>
      <c r="CH1695" s="15"/>
      <c r="CI1695" s="15"/>
      <c r="CJ1695" s="15"/>
      <c r="CK1695" s="15"/>
      <c r="CL1695" s="15"/>
      <c r="CM1695" s="15"/>
      <c r="CN1695" s="15"/>
      <c r="CO1695" s="15"/>
      <c r="CP1695" s="15"/>
      <c r="CQ1695" s="15"/>
      <c r="CR1695" s="15"/>
      <c r="CS1695" s="15"/>
      <c r="CT1695" s="15"/>
      <c r="CU1695" s="15"/>
      <c r="CV1695" s="15"/>
      <c r="CW1695" s="15"/>
      <c r="CX1695" s="15"/>
      <c r="CY1695" s="15"/>
      <c r="CZ1695" s="15"/>
      <c r="DA1695" s="15"/>
      <c r="DB1695" s="15"/>
      <c r="DC1695" s="15"/>
      <c r="DD1695" s="15"/>
      <c r="DE1695" s="15"/>
      <c r="DF1695" s="15"/>
      <c r="DG1695" s="15"/>
      <c r="DH1695" s="15"/>
      <c r="DI1695" s="15"/>
      <c r="DJ1695" s="15"/>
      <c r="DK1695" s="15"/>
      <c r="DL1695" s="15"/>
      <c r="DM1695" s="15"/>
      <c r="DN1695" s="15"/>
      <c r="DO1695" s="15"/>
      <c r="DP1695" s="15"/>
    </row>
    <row r="1698" spans="1:7" ht="15.75">
      <c r="A1698" s="176" t="s">
        <v>78</v>
      </c>
      <c r="B1698" s="176" t="s">
        <v>33</v>
      </c>
      <c r="C1698" s="176" t="s">
        <v>232</v>
      </c>
      <c r="D1698" s="73" t="s">
        <v>211</v>
      </c>
      <c r="E1698" s="73" t="s">
        <v>227</v>
      </c>
      <c r="F1698" s="73" t="s">
        <v>228</v>
      </c>
      <c r="G1698" s="73" t="s">
        <v>2756</v>
      </c>
    </row>
    <row r="1699" spans="1:7" ht="15">
      <c r="A1699" s="78">
        <v>11700</v>
      </c>
      <c r="B1699" s="22">
        <v>24</v>
      </c>
      <c r="C1699" s="20" t="s">
        <v>2013</v>
      </c>
      <c r="D1699" s="103">
        <v>10</v>
      </c>
      <c r="E1699" s="104">
        <v>1</v>
      </c>
      <c r="F1699" s="8">
        <f t="shared" ref="F1699:F1706" si="10">D1699*E1699</f>
        <v>10</v>
      </c>
      <c r="G1699" s="36">
        <v>23.6</v>
      </c>
    </row>
    <row r="1700" spans="1:7" ht="15">
      <c r="A1700" s="78">
        <v>11700</v>
      </c>
      <c r="B1700" s="22">
        <v>36</v>
      </c>
      <c r="C1700" s="20" t="s">
        <v>2013</v>
      </c>
      <c r="D1700" s="103">
        <v>10</v>
      </c>
      <c r="E1700" s="104">
        <v>1</v>
      </c>
      <c r="F1700" s="8">
        <f t="shared" si="10"/>
        <v>10</v>
      </c>
      <c r="G1700" s="36">
        <v>39.200000000000003</v>
      </c>
    </row>
    <row r="1701" spans="1:7" ht="15">
      <c r="A1701" s="78">
        <v>12701</v>
      </c>
      <c r="B1701" s="22">
        <v>9</v>
      </c>
      <c r="C1701" s="20" t="s">
        <v>1885</v>
      </c>
      <c r="D1701" s="103">
        <v>10</v>
      </c>
      <c r="E1701" s="104">
        <v>1</v>
      </c>
      <c r="F1701" s="8">
        <f t="shared" si="10"/>
        <v>10</v>
      </c>
      <c r="G1701" s="36">
        <v>7.9</v>
      </c>
    </row>
    <row r="1702" spans="1:7" ht="15">
      <c r="A1702" s="78">
        <v>12701</v>
      </c>
      <c r="B1702" s="22">
        <v>9</v>
      </c>
      <c r="C1702" s="20" t="s">
        <v>1884</v>
      </c>
      <c r="D1702" s="103">
        <v>10</v>
      </c>
      <c r="E1702" s="104">
        <v>1</v>
      </c>
      <c r="F1702" s="8">
        <f t="shared" si="10"/>
        <v>10</v>
      </c>
      <c r="G1702" s="36">
        <v>7.9</v>
      </c>
    </row>
    <row r="1703" spans="1:7" ht="15">
      <c r="A1703" s="78">
        <v>12701</v>
      </c>
      <c r="B1703" s="22">
        <v>9</v>
      </c>
      <c r="C1703" s="20" t="s">
        <v>88</v>
      </c>
      <c r="D1703" s="103">
        <v>10</v>
      </c>
      <c r="E1703" s="104">
        <v>1</v>
      </c>
      <c r="F1703" s="8">
        <f t="shared" si="10"/>
        <v>10</v>
      </c>
      <c r="G1703" s="36">
        <v>7.9</v>
      </c>
    </row>
    <row r="1704" spans="1:7" ht="15">
      <c r="A1704" s="78">
        <v>12701</v>
      </c>
      <c r="B1704" s="22">
        <v>12</v>
      </c>
      <c r="C1704" s="20" t="s">
        <v>1884</v>
      </c>
      <c r="D1704" s="103">
        <v>10</v>
      </c>
      <c r="E1704" s="104">
        <v>1</v>
      </c>
      <c r="F1704" s="8">
        <f t="shared" si="10"/>
        <v>10</v>
      </c>
      <c r="G1704" s="36">
        <v>8.8000000000000007</v>
      </c>
    </row>
    <row r="1705" spans="1:7" ht="15">
      <c r="A1705" s="78">
        <v>12701</v>
      </c>
      <c r="B1705" s="22">
        <v>18</v>
      </c>
      <c r="C1705" s="20" t="s">
        <v>197</v>
      </c>
      <c r="D1705" s="103">
        <v>10</v>
      </c>
      <c r="E1705" s="104">
        <v>1</v>
      </c>
      <c r="F1705" s="8">
        <f t="shared" si="10"/>
        <v>10</v>
      </c>
      <c r="G1705" s="36">
        <v>11.4</v>
      </c>
    </row>
    <row r="1706" spans="1:7" ht="15">
      <c r="A1706" s="78">
        <v>12701</v>
      </c>
      <c r="B1706" s="22">
        <v>18</v>
      </c>
      <c r="C1706" s="20" t="s">
        <v>164</v>
      </c>
      <c r="D1706" s="103">
        <v>10</v>
      </c>
      <c r="E1706" s="104">
        <v>1</v>
      </c>
      <c r="F1706" s="8">
        <f t="shared" si="10"/>
        <v>10</v>
      </c>
      <c r="G1706" s="36">
        <v>11.4</v>
      </c>
    </row>
    <row r="1707" spans="1:7" ht="15">
      <c r="A1707" s="20"/>
      <c r="B1707" s="97"/>
      <c r="C1707" s="20" t="s">
        <v>266</v>
      </c>
      <c r="D1707" s="8"/>
      <c r="E1707" s="33"/>
      <c r="F1707" s="35">
        <v>1</v>
      </c>
      <c r="G1707" s="36">
        <v>12</v>
      </c>
    </row>
    <row r="1710" spans="1:7" ht="15">
      <c r="A1710" s="20" t="s">
        <v>208</v>
      </c>
      <c r="B1710" s="20" t="s">
        <v>1991</v>
      </c>
      <c r="C1710" s="8">
        <v>283</v>
      </c>
      <c r="D1710" s="36">
        <v>6.53</v>
      </c>
      <c r="E1710" s="36">
        <f t="shared" ref="E1710:E1719" si="11">D1710*C1710</f>
        <v>1847.99</v>
      </c>
    </row>
    <row r="1711" spans="1:7" ht="15">
      <c r="A1711" s="20" t="s">
        <v>208</v>
      </c>
      <c r="B1711" s="20" t="s">
        <v>2009</v>
      </c>
      <c r="C1711" s="122">
        <v>2</v>
      </c>
      <c r="D1711" s="36">
        <v>6.53</v>
      </c>
      <c r="E1711" s="36">
        <f t="shared" si="11"/>
        <v>13.06</v>
      </c>
    </row>
    <row r="1712" spans="1:7" ht="15">
      <c r="A1712" s="20"/>
      <c r="B1712" s="20" t="s">
        <v>2001</v>
      </c>
      <c r="C1712" s="35">
        <v>1</v>
      </c>
      <c r="D1712" s="36">
        <v>15</v>
      </c>
      <c r="E1712" s="36">
        <f t="shared" si="11"/>
        <v>15</v>
      </c>
    </row>
    <row r="1713" spans="1:5" ht="15">
      <c r="A1713" s="20"/>
      <c r="B1713" s="20" t="s">
        <v>2002</v>
      </c>
      <c r="C1713" s="35">
        <v>1</v>
      </c>
      <c r="D1713" s="36">
        <v>20</v>
      </c>
      <c r="E1713" s="36">
        <f t="shared" si="11"/>
        <v>20</v>
      </c>
    </row>
    <row r="1714" spans="1:5" ht="15">
      <c r="A1714" s="20"/>
      <c r="B1714" s="20" t="s">
        <v>2010</v>
      </c>
      <c r="C1714" s="35">
        <v>1</v>
      </c>
      <c r="D1714" s="36">
        <v>162.93</v>
      </c>
      <c r="E1714" s="36">
        <f t="shared" si="11"/>
        <v>162.93</v>
      </c>
    </row>
    <row r="1715" spans="1:5" ht="15">
      <c r="A1715" s="20" t="s">
        <v>208</v>
      </c>
      <c r="B1715" s="20" t="s">
        <v>2000</v>
      </c>
      <c r="C1715" s="8">
        <v>1369</v>
      </c>
      <c r="D1715" s="36">
        <v>5.42</v>
      </c>
      <c r="E1715" s="36">
        <f t="shared" si="11"/>
        <v>7419.98</v>
      </c>
    </row>
    <row r="1716" spans="1:5" ht="15">
      <c r="A1716" s="20"/>
      <c r="B1716" s="20" t="s">
        <v>266</v>
      </c>
      <c r="C1716" s="35">
        <v>1</v>
      </c>
      <c r="D1716" s="36">
        <v>20</v>
      </c>
      <c r="E1716" s="36">
        <f t="shared" si="11"/>
        <v>20</v>
      </c>
    </row>
    <row r="1717" spans="1:5" ht="15">
      <c r="A1717" s="114" t="s">
        <v>208</v>
      </c>
      <c r="B1717" s="114" t="s">
        <v>2757</v>
      </c>
      <c r="C1717" s="723">
        <v>0.5</v>
      </c>
      <c r="D1717" s="168">
        <v>5.42</v>
      </c>
      <c r="E1717" s="168">
        <f t="shared" si="11"/>
        <v>2.71</v>
      </c>
    </row>
    <row r="1718" spans="1:5" ht="15">
      <c r="A1718" s="114"/>
      <c r="B1718" s="114" t="s">
        <v>2758</v>
      </c>
      <c r="C1718" s="172">
        <v>1</v>
      </c>
      <c r="D1718" s="168">
        <v>15</v>
      </c>
      <c r="E1718" s="168">
        <f t="shared" si="11"/>
        <v>15</v>
      </c>
    </row>
    <row r="1719" spans="1:5" ht="15">
      <c r="A1719" s="724"/>
      <c r="B1719" s="114" t="s">
        <v>2759</v>
      </c>
      <c r="C1719" s="172">
        <v>1</v>
      </c>
      <c r="D1719" s="168">
        <v>20</v>
      </c>
      <c r="E1719" s="168">
        <f t="shared" si="11"/>
        <v>20</v>
      </c>
    </row>
    <row r="1722" spans="1:5">
      <c r="A1722" s="245" t="s">
        <v>78</v>
      </c>
      <c r="B1722" s="245" t="s">
        <v>232</v>
      </c>
      <c r="C1722" s="245" t="s">
        <v>35</v>
      </c>
      <c r="D1722" s="255" t="s">
        <v>124</v>
      </c>
    </row>
    <row r="1723" spans="1:5">
      <c r="A1723" s="37" t="s">
        <v>2026</v>
      </c>
      <c r="B1723" s="37" t="s">
        <v>56</v>
      </c>
      <c r="C1723" s="246">
        <v>13.7</v>
      </c>
      <c r="D1723" s="256" t="s">
        <v>2760</v>
      </c>
    </row>
    <row r="1726" spans="1:5" s="243" customFormat="1" ht="12.75">
      <c r="A1726" s="245" t="s">
        <v>78</v>
      </c>
      <c r="B1726" s="245" t="s">
        <v>232</v>
      </c>
      <c r="C1726" s="245" t="s">
        <v>35</v>
      </c>
      <c r="D1726" s="255" t="s">
        <v>124</v>
      </c>
    </row>
    <row r="1727" spans="1:5" s="243" customFormat="1" ht="12.75">
      <c r="A1727" s="37" t="s">
        <v>2029</v>
      </c>
      <c r="B1727" s="37" t="s">
        <v>2030</v>
      </c>
      <c r="C1727" s="248">
        <v>25</v>
      </c>
      <c r="D1727" s="250" t="s">
        <v>2761</v>
      </c>
    </row>
    <row r="1728" spans="1:5" s="243" customFormat="1" ht="12.75">
      <c r="A1728" s="37" t="s">
        <v>2029</v>
      </c>
      <c r="B1728" s="37" t="s">
        <v>2031</v>
      </c>
      <c r="C1728" s="248">
        <v>25</v>
      </c>
      <c r="D1728" s="250" t="s">
        <v>2761</v>
      </c>
    </row>
    <row r="1729" spans="1:9" s="243" customFormat="1" ht="12.75">
      <c r="A1729" s="37" t="s">
        <v>2029</v>
      </c>
      <c r="B1729" s="226" t="s">
        <v>2762</v>
      </c>
      <c r="C1729" s="248">
        <v>25</v>
      </c>
      <c r="D1729" s="250" t="s">
        <v>2761</v>
      </c>
    </row>
    <row r="1730" spans="1:9" s="243" customFormat="1" ht="12.75">
      <c r="A1730" s="37"/>
      <c r="B1730" s="37" t="s">
        <v>156</v>
      </c>
      <c r="C1730" s="244"/>
      <c r="D1730" s="250" t="s">
        <v>2763</v>
      </c>
    </row>
    <row r="1733" spans="1:9">
      <c r="A1733" s="236" t="s">
        <v>2764</v>
      </c>
    </row>
    <row r="1734" spans="1:9" s="239" customFormat="1" ht="25.5">
      <c r="A1734" s="242" t="s">
        <v>222</v>
      </c>
      <c r="B1734" s="252" t="s">
        <v>294</v>
      </c>
      <c r="C1734" s="251" t="s">
        <v>210</v>
      </c>
      <c r="D1734" s="725" t="s">
        <v>283</v>
      </c>
      <c r="E1734" s="251" t="s">
        <v>237</v>
      </c>
    </row>
    <row r="1735" spans="1:9" s="266" customFormat="1" ht="12.75">
      <c r="A1735" s="253" t="s">
        <v>287</v>
      </c>
      <c r="B1735" s="253" t="s">
        <v>284</v>
      </c>
      <c r="C1735" s="253" t="s">
        <v>295</v>
      </c>
      <c r="D1735" s="254">
        <f>ROUNDUP(F1735/0.8/120,2)</f>
        <v>47.919999999999995</v>
      </c>
      <c r="E1735" s="261" t="s">
        <v>285</v>
      </c>
      <c r="F1735" s="253">
        <v>4600</v>
      </c>
      <c r="G1735" s="261" t="s">
        <v>285</v>
      </c>
      <c r="H1735" s="261"/>
      <c r="I1735" s="261"/>
    </row>
    <row r="1736" spans="1:9" s="262" customFormat="1" ht="12.75">
      <c r="A1736" s="253" t="s">
        <v>303</v>
      </c>
      <c r="B1736" s="253" t="s">
        <v>284</v>
      </c>
      <c r="C1736" s="253" t="s">
        <v>295</v>
      </c>
      <c r="D1736" s="254">
        <f>ROUNDUP(F1736/0.8/120,2)</f>
        <v>28.130000000000003</v>
      </c>
      <c r="E1736" s="261" t="s">
        <v>285</v>
      </c>
      <c r="F1736" s="253">
        <v>2700</v>
      </c>
      <c r="G1736" s="261" t="s">
        <v>285</v>
      </c>
    </row>
    <row r="1737" spans="1:9" s="239" customFormat="1" ht="14.25">
      <c r="A1737" s="253" t="s">
        <v>301</v>
      </c>
      <c r="B1737" s="253" t="s">
        <v>302</v>
      </c>
      <c r="C1737" s="253" t="s">
        <v>295</v>
      </c>
      <c r="D1737" s="254">
        <f>ROUNDUP(F1737/0.8/120,2)</f>
        <v>37.5</v>
      </c>
      <c r="E1737" s="261" t="s">
        <v>285</v>
      </c>
      <c r="F1737" s="726">
        <v>3600</v>
      </c>
    </row>
    <row r="1742" spans="1:9">
      <c r="A1742" s="255" t="s">
        <v>44</v>
      </c>
      <c r="B1742" s="255" t="s">
        <v>49</v>
      </c>
      <c r="C1742" s="255" t="s">
        <v>49</v>
      </c>
      <c r="D1742" s="255" t="s">
        <v>109</v>
      </c>
      <c r="E1742" s="255" t="s">
        <v>2765</v>
      </c>
      <c r="F1742" s="255" t="s">
        <v>289</v>
      </c>
    </row>
    <row r="1743" spans="1:9">
      <c r="A1743" s="37" t="s">
        <v>2016</v>
      </c>
      <c r="B1743" s="37">
        <v>8400</v>
      </c>
      <c r="C1743" s="727" t="s">
        <v>2033</v>
      </c>
      <c r="D1743" s="246">
        <v>30</v>
      </c>
      <c r="E1743" s="247">
        <v>34</v>
      </c>
      <c r="F1743" s="248">
        <f>D1743*E1743</f>
        <v>1020</v>
      </c>
    </row>
    <row r="1746" spans="1:19" s="243" customFormat="1" ht="12.75">
      <c r="A1746" s="758" t="s">
        <v>2798</v>
      </c>
      <c r="B1746" s="255" t="s">
        <v>44</v>
      </c>
      <c r="C1746" s="255" t="s">
        <v>108</v>
      </c>
      <c r="D1746" s="255" t="s">
        <v>2788</v>
      </c>
      <c r="E1746" s="255" t="s">
        <v>2789</v>
      </c>
      <c r="F1746" s="255" t="s">
        <v>2790</v>
      </c>
      <c r="G1746" s="255" t="s">
        <v>2791</v>
      </c>
      <c r="H1746" s="255" t="s">
        <v>2792</v>
      </c>
      <c r="I1746" s="255" t="s">
        <v>2793</v>
      </c>
      <c r="J1746" s="737"/>
      <c r="K1746" s="31"/>
      <c r="L1746" s="31"/>
      <c r="M1746" s="31"/>
      <c r="N1746" s="738"/>
      <c r="O1746" s="4"/>
      <c r="P1746" s="739"/>
      <c r="Q1746" s="236"/>
      <c r="R1746" s="236"/>
      <c r="S1746" s="236"/>
    </row>
    <row r="1747" spans="1:19">
      <c r="A1747" s="37">
        <v>2723</v>
      </c>
      <c r="B1747" s="37" t="s">
        <v>2027</v>
      </c>
      <c r="C1747" s="135" t="s">
        <v>296</v>
      </c>
      <c r="D1747" s="740" t="s">
        <v>2777</v>
      </c>
      <c r="E1747" s="248">
        <v>50</v>
      </c>
      <c r="F1747" s="736">
        <v>12</v>
      </c>
      <c r="G1747" s="246">
        <f t="shared" ref="G1747:G1754" si="12">E1747*F1747</f>
        <v>600</v>
      </c>
      <c r="H1747" s="257">
        <v>8.8000000000000007</v>
      </c>
      <c r="I1747" s="257">
        <v>5280</v>
      </c>
      <c r="J1747" s="741">
        <v>0.23</v>
      </c>
      <c r="K1747" s="742">
        <f t="shared" ref="K1747:K1752" si="13">J1747*G1747</f>
        <v>138</v>
      </c>
      <c r="L1747" s="263" t="s">
        <v>290</v>
      </c>
      <c r="M1747" s="31"/>
      <c r="N1747" s="738"/>
      <c r="O1747" s="743" t="e">
        <f>ROUNDUP(R1747/U1747/VLOOKUP(#REF!,$C$2:$F$6,3,FALSE),2)</f>
        <v>#DIV/0!</v>
      </c>
      <c r="P1747" s="739">
        <v>0.11</v>
      </c>
      <c r="Q1747" s="739">
        <f t="shared" ref="Q1747:Q1752" si="14">P1747*G1747</f>
        <v>66</v>
      </c>
      <c r="R1747" s="236">
        <v>8.8000000000000007</v>
      </c>
      <c r="S1747" s="236">
        <v>5280</v>
      </c>
    </row>
    <row r="1748" spans="1:19">
      <c r="A1748" s="37">
        <v>2723</v>
      </c>
      <c r="B1748" s="37" t="s">
        <v>2027</v>
      </c>
      <c r="C1748" s="135" t="s">
        <v>296</v>
      </c>
      <c r="D1748" s="740" t="s">
        <v>2778</v>
      </c>
      <c r="E1748" s="248">
        <v>50</v>
      </c>
      <c r="F1748" s="736">
        <v>3</v>
      </c>
      <c r="G1748" s="246">
        <f t="shared" si="12"/>
        <v>150</v>
      </c>
      <c r="H1748" s="257">
        <v>8.8000000000000007</v>
      </c>
      <c r="I1748" s="257">
        <v>1320</v>
      </c>
      <c r="J1748" s="741">
        <v>0.23</v>
      </c>
      <c r="K1748" s="742">
        <f t="shared" si="13"/>
        <v>34.5</v>
      </c>
      <c r="L1748" s="263" t="s">
        <v>290</v>
      </c>
      <c r="M1748" s="31"/>
      <c r="N1748" s="738"/>
      <c r="O1748" s="743" t="e">
        <f>ROUNDUP(R1748/U1748/VLOOKUP(#REF!,$C$2:$F$6,3,FALSE),2)</f>
        <v>#DIV/0!</v>
      </c>
      <c r="P1748" s="739">
        <v>0.11</v>
      </c>
      <c r="Q1748" s="739">
        <f t="shared" si="14"/>
        <v>16.5</v>
      </c>
      <c r="R1748" s="236">
        <v>8.8000000000000007</v>
      </c>
      <c r="S1748" s="236">
        <v>1320</v>
      </c>
    </row>
    <row r="1749" spans="1:19">
      <c r="A1749" s="37">
        <v>2723</v>
      </c>
      <c r="B1749" s="37" t="s">
        <v>2027</v>
      </c>
      <c r="C1749" s="135" t="s">
        <v>296</v>
      </c>
      <c r="D1749" s="740" t="s">
        <v>2779</v>
      </c>
      <c r="E1749" s="248">
        <v>50</v>
      </c>
      <c r="F1749" s="736">
        <v>4</v>
      </c>
      <c r="G1749" s="246">
        <f t="shared" si="12"/>
        <v>200</v>
      </c>
      <c r="H1749" s="257">
        <v>8.8000000000000007</v>
      </c>
      <c r="I1749" s="257">
        <v>1760.0000000000002</v>
      </c>
      <c r="J1749" s="741">
        <v>0.23</v>
      </c>
      <c r="K1749" s="742">
        <f t="shared" si="13"/>
        <v>46</v>
      </c>
      <c r="L1749" s="263" t="s">
        <v>290</v>
      </c>
      <c r="M1749" s="31"/>
      <c r="N1749" s="738"/>
      <c r="O1749" s="743" t="e">
        <f>ROUNDUP(R1749/U1749/VLOOKUP(#REF!,$C$2:$F$6,3,FALSE),2)</f>
        <v>#DIV/0!</v>
      </c>
      <c r="P1749" s="739">
        <v>0.11</v>
      </c>
      <c r="Q1749" s="739">
        <f t="shared" si="14"/>
        <v>22</v>
      </c>
      <c r="R1749" s="236">
        <v>8.8000000000000007</v>
      </c>
      <c r="S1749" s="236">
        <v>1760.0000000000002</v>
      </c>
    </row>
    <row r="1750" spans="1:19">
      <c r="A1750" s="37">
        <v>2723</v>
      </c>
      <c r="B1750" s="37" t="s">
        <v>2027</v>
      </c>
      <c r="C1750" s="135" t="s">
        <v>296</v>
      </c>
      <c r="D1750" s="740" t="s">
        <v>2780</v>
      </c>
      <c r="E1750" s="248">
        <v>50</v>
      </c>
      <c r="F1750" s="736">
        <v>2</v>
      </c>
      <c r="G1750" s="246">
        <f t="shared" si="12"/>
        <v>100</v>
      </c>
      <c r="H1750" s="257">
        <v>11.7</v>
      </c>
      <c r="I1750" s="257">
        <v>1170</v>
      </c>
      <c r="J1750" s="741">
        <v>0.33</v>
      </c>
      <c r="K1750" s="742">
        <f t="shared" si="13"/>
        <v>33</v>
      </c>
      <c r="L1750" s="263" t="s">
        <v>290</v>
      </c>
      <c r="M1750" s="31"/>
      <c r="N1750" s="738"/>
      <c r="O1750" s="743" t="e">
        <f>ROUNDUP(R1750/U1750/VLOOKUP(#REF!,$C$2:$F$6,3,FALSE),2)</f>
        <v>#DIV/0!</v>
      </c>
      <c r="P1750" s="739">
        <v>0.14000000000000001</v>
      </c>
      <c r="Q1750" s="739">
        <f t="shared" si="14"/>
        <v>14.000000000000002</v>
      </c>
      <c r="R1750" s="236">
        <v>11.7</v>
      </c>
      <c r="S1750" s="236">
        <v>1170</v>
      </c>
    </row>
    <row r="1751" spans="1:19">
      <c r="A1751" s="37">
        <v>2723</v>
      </c>
      <c r="B1751" s="37" t="s">
        <v>2027</v>
      </c>
      <c r="C1751" s="135" t="s">
        <v>296</v>
      </c>
      <c r="D1751" s="740" t="s">
        <v>2781</v>
      </c>
      <c r="E1751" s="248">
        <v>50</v>
      </c>
      <c r="F1751" s="736">
        <v>4</v>
      </c>
      <c r="G1751" s="246">
        <f t="shared" si="12"/>
        <v>200</v>
      </c>
      <c r="H1751" s="257">
        <v>11.7</v>
      </c>
      <c r="I1751" s="257">
        <v>2340</v>
      </c>
      <c r="J1751" s="741">
        <v>0.33</v>
      </c>
      <c r="K1751" s="742">
        <f t="shared" si="13"/>
        <v>66</v>
      </c>
      <c r="L1751" s="263" t="s">
        <v>290</v>
      </c>
      <c r="M1751" s="31"/>
      <c r="N1751" s="738"/>
      <c r="O1751" s="743" t="e">
        <f>ROUNDUP(R1751/U1751/VLOOKUP(#REF!,$C$2:$F$6,3,FALSE),2)</f>
        <v>#DIV/0!</v>
      </c>
      <c r="P1751" s="739">
        <v>0.14000000000000001</v>
      </c>
      <c r="Q1751" s="739">
        <f t="shared" si="14"/>
        <v>28.000000000000004</v>
      </c>
      <c r="R1751" s="236">
        <v>11.7</v>
      </c>
      <c r="S1751" s="236">
        <v>2340</v>
      </c>
    </row>
    <row r="1752" spans="1:19">
      <c r="A1752" s="37">
        <v>2723</v>
      </c>
      <c r="B1752" s="37"/>
      <c r="C1752" s="135"/>
      <c r="D1752" s="744" t="s">
        <v>2782</v>
      </c>
      <c r="E1752" s="248"/>
      <c r="F1752" s="736"/>
      <c r="G1752" s="244">
        <v>2</v>
      </c>
      <c r="H1752" s="756" t="s">
        <v>2794</v>
      </c>
      <c r="I1752" s="257">
        <v>22000</v>
      </c>
      <c r="J1752" s="741">
        <v>153</v>
      </c>
      <c r="K1752" s="742">
        <f t="shared" si="13"/>
        <v>306</v>
      </c>
      <c r="L1752" s="263" t="s">
        <v>290</v>
      </c>
      <c r="M1752" s="31"/>
      <c r="N1752" s="738"/>
      <c r="O1752" s="743" t="e">
        <f>ROUNDUP(R1752/U1752/VLOOKUP(#REF!,$C$2:$F$6,3,FALSE),2)</f>
        <v>#DIV/0!</v>
      </c>
      <c r="P1752" s="739">
        <v>104.17</v>
      </c>
      <c r="Q1752" s="739">
        <f t="shared" si="14"/>
        <v>208.34</v>
      </c>
      <c r="R1752" s="236">
        <v>11000</v>
      </c>
      <c r="S1752" s="236">
        <v>22000</v>
      </c>
    </row>
    <row r="1753" spans="1:19">
      <c r="A1753" s="37">
        <v>2723</v>
      </c>
      <c r="B1753" s="735"/>
      <c r="C1753" s="38"/>
      <c r="D1753" s="37"/>
      <c r="E1753" s="248"/>
      <c r="F1753" s="736"/>
      <c r="G1753" s="248"/>
      <c r="H1753" s="257"/>
      <c r="I1753" s="257"/>
      <c r="J1753" s="737"/>
      <c r="K1753" s="31"/>
      <c r="L1753" s="31"/>
      <c r="M1753" s="31"/>
      <c r="N1753" s="738"/>
      <c r="O1753" s="4"/>
      <c r="P1753" s="739"/>
      <c r="Q1753" s="236"/>
      <c r="R1753" s="236"/>
      <c r="S1753" s="236"/>
    </row>
    <row r="1754" spans="1:19">
      <c r="A1754" s="37">
        <v>2723</v>
      </c>
      <c r="B1754" s="37" t="s">
        <v>2783</v>
      </c>
      <c r="C1754" s="135" t="s">
        <v>296</v>
      </c>
      <c r="D1754" s="740" t="s">
        <v>2781</v>
      </c>
      <c r="E1754" s="248">
        <v>50</v>
      </c>
      <c r="F1754" s="736">
        <v>6</v>
      </c>
      <c r="G1754" s="246">
        <f t="shared" si="12"/>
        <v>300</v>
      </c>
      <c r="H1754" s="257">
        <v>20</v>
      </c>
      <c r="I1754" s="257">
        <v>6000</v>
      </c>
      <c r="J1754" s="741"/>
      <c r="K1754" s="742">
        <f>J1754*G1754</f>
        <v>0</v>
      </c>
      <c r="L1754" s="263" t="s">
        <v>290</v>
      </c>
      <c r="M1754" s="31"/>
      <c r="N1754" s="738"/>
      <c r="O1754" s="743" t="e">
        <f>ROUNDUP(R1754/U1754/VLOOKUP(#REF!,$C$2:$F$6,3,FALSE),2)</f>
        <v>#DIV/0!</v>
      </c>
      <c r="P1754" s="739">
        <v>0.24</v>
      </c>
      <c r="Q1754" s="739">
        <f>P1754*G1754</f>
        <v>72</v>
      </c>
      <c r="R1754" s="236">
        <v>20</v>
      </c>
      <c r="S1754" s="236">
        <v>6000</v>
      </c>
    </row>
    <row r="1755" spans="1:19">
      <c r="A1755" s="37">
        <v>2723</v>
      </c>
      <c r="B1755" s="37"/>
      <c r="C1755" s="135"/>
      <c r="D1755" s="744" t="s">
        <v>2784</v>
      </c>
      <c r="E1755" s="248"/>
      <c r="F1755" s="736"/>
      <c r="G1755" s="244">
        <v>1</v>
      </c>
      <c r="H1755" s="756" t="s">
        <v>2795</v>
      </c>
      <c r="I1755" s="257">
        <v>6000</v>
      </c>
      <c r="J1755" s="741"/>
      <c r="K1755" s="742"/>
      <c r="L1755" s="263" t="s">
        <v>290</v>
      </c>
      <c r="M1755" s="31"/>
      <c r="N1755" s="738"/>
      <c r="O1755" s="743" t="e">
        <f>ROUNDUP(R1755/U1755/VLOOKUP(#REF!,$C$2:$F$6,3,FALSE),2)</f>
        <v>#DIV/0!</v>
      </c>
      <c r="P1755" s="739">
        <v>56.82</v>
      </c>
      <c r="Q1755" s="739">
        <f>P1755*G1755</f>
        <v>56.82</v>
      </c>
      <c r="R1755" s="236">
        <v>6000</v>
      </c>
      <c r="S1755" s="236">
        <v>6000</v>
      </c>
    </row>
    <row r="1756" spans="1:19">
      <c r="A1756" s="745"/>
      <c r="B1756" s="745"/>
      <c r="C1756" s="746"/>
      <c r="D1756" s="746"/>
      <c r="E1756" s="747"/>
      <c r="F1756" s="748"/>
      <c r="G1756" s="749"/>
      <c r="H1756" s="755"/>
      <c r="I1756" s="755"/>
      <c r="J1756" s="750"/>
      <c r="K1756" s="157"/>
      <c r="L1756" s="157"/>
      <c r="M1756" s="157"/>
      <c r="N1756" s="751"/>
      <c r="O1756" s="235"/>
      <c r="P1756" s="752"/>
      <c r="Q1756" s="753"/>
      <c r="R1756" s="754"/>
      <c r="S1756" s="754"/>
    </row>
    <row r="1757" spans="1:19" s="243" customFormat="1" ht="12.75">
      <c r="A1757" s="758" t="s">
        <v>2798</v>
      </c>
      <c r="B1757" s="255" t="s">
        <v>44</v>
      </c>
      <c r="C1757" s="255" t="s">
        <v>108</v>
      </c>
      <c r="D1757" s="255" t="s">
        <v>2788</v>
      </c>
      <c r="E1757" s="255" t="s">
        <v>2789</v>
      </c>
      <c r="F1757" s="255" t="s">
        <v>2790</v>
      </c>
      <c r="G1757" s="255" t="s">
        <v>2791</v>
      </c>
      <c r="H1757" s="255" t="s">
        <v>2792</v>
      </c>
      <c r="I1757" s="255" t="s">
        <v>2793</v>
      </c>
      <c r="J1757" s="737"/>
      <c r="K1757" s="31"/>
      <c r="L1757" s="31"/>
      <c r="M1757" s="31"/>
      <c r="N1757" s="738"/>
      <c r="O1757" s="4"/>
      <c r="P1757" s="739"/>
      <c r="Q1757" s="236"/>
      <c r="R1757" s="236"/>
      <c r="S1757" s="236"/>
    </row>
    <row r="1758" spans="1:19">
      <c r="A1758" s="37">
        <v>2725</v>
      </c>
      <c r="B1758" s="37" t="s">
        <v>2783</v>
      </c>
      <c r="C1758" s="135" t="s">
        <v>296</v>
      </c>
      <c r="D1758" s="740" t="s">
        <v>2777</v>
      </c>
      <c r="E1758" s="248">
        <v>50</v>
      </c>
      <c r="F1758" s="736">
        <v>6</v>
      </c>
      <c r="G1758" s="246">
        <f>E1758*F1758</f>
        <v>300</v>
      </c>
      <c r="H1758" s="257">
        <v>15.6</v>
      </c>
      <c r="I1758" s="257">
        <v>4680</v>
      </c>
      <c r="J1758" s="741"/>
      <c r="K1758" s="742">
        <f t="shared" ref="K1758:K1763" si="15">J1758*G1758</f>
        <v>0</v>
      </c>
      <c r="L1758" s="263" t="s">
        <v>290</v>
      </c>
      <c r="M1758" s="31"/>
      <c r="N1758" s="738"/>
      <c r="O1758" s="743" t="e">
        <f>ROUNDUP(R1758/U1758/VLOOKUP(#REF!,$C$2:$F$6,3,FALSE),2)</f>
        <v>#DIV/0!</v>
      </c>
      <c r="P1758" s="739">
        <v>0.19</v>
      </c>
      <c r="Q1758" s="739">
        <f t="shared" ref="Q1758:Q1763" si="16">P1758*G1758</f>
        <v>57</v>
      </c>
      <c r="R1758" s="236">
        <v>15.6</v>
      </c>
      <c r="S1758" s="236">
        <v>4680</v>
      </c>
    </row>
    <row r="1759" spans="1:19">
      <c r="A1759" s="37">
        <v>2725</v>
      </c>
      <c r="B1759" s="37" t="s">
        <v>2783</v>
      </c>
      <c r="C1759" s="135" t="s">
        <v>296</v>
      </c>
      <c r="D1759" s="740" t="s">
        <v>2785</v>
      </c>
      <c r="E1759" s="248">
        <v>50</v>
      </c>
      <c r="F1759" s="736">
        <v>4</v>
      </c>
      <c r="G1759" s="246">
        <f>E1759*F1759</f>
        <v>200</v>
      </c>
      <c r="H1759" s="257">
        <v>20</v>
      </c>
      <c r="I1759" s="257">
        <v>4000</v>
      </c>
      <c r="J1759" s="741"/>
      <c r="K1759" s="742">
        <f t="shared" si="15"/>
        <v>0</v>
      </c>
      <c r="L1759" s="263" t="s">
        <v>290</v>
      </c>
      <c r="M1759" s="31"/>
      <c r="N1759" s="738"/>
      <c r="O1759" s="743" t="e">
        <f>ROUNDUP(R1759/U1759/VLOOKUP(#REF!,$C$2:$F$6,3,FALSE),2)</f>
        <v>#DIV/0!</v>
      </c>
      <c r="P1759" s="739">
        <v>0.24</v>
      </c>
      <c r="Q1759" s="739">
        <f t="shared" si="16"/>
        <v>48</v>
      </c>
      <c r="R1759" s="236">
        <v>20</v>
      </c>
      <c r="S1759" s="236">
        <v>4000</v>
      </c>
    </row>
    <row r="1760" spans="1:19">
      <c r="A1760" s="37">
        <v>2725</v>
      </c>
      <c r="B1760" s="37" t="s">
        <v>2783</v>
      </c>
      <c r="C1760" s="135" t="s">
        <v>296</v>
      </c>
      <c r="D1760" s="740" t="s">
        <v>2781</v>
      </c>
      <c r="E1760" s="248">
        <v>50</v>
      </c>
      <c r="F1760" s="736">
        <v>4</v>
      </c>
      <c r="G1760" s="246">
        <f>E1760*F1760</f>
        <v>200</v>
      </c>
      <c r="H1760" s="257">
        <v>20</v>
      </c>
      <c r="I1760" s="257">
        <v>4000</v>
      </c>
      <c r="J1760" s="741"/>
      <c r="K1760" s="742">
        <f t="shared" si="15"/>
        <v>0</v>
      </c>
      <c r="L1760" s="263" t="s">
        <v>290</v>
      </c>
      <c r="M1760" s="31"/>
      <c r="N1760" s="738"/>
      <c r="O1760" s="743" t="e">
        <f>ROUNDUP(R1760/U1760/VLOOKUP(#REF!,$C$2:$F$6,3,FALSE),2)</f>
        <v>#DIV/0!</v>
      </c>
      <c r="P1760" s="739">
        <v>0.24</v>
      </c>
      <c r="Q1760" s="739">
        <f t="shared" si="16"/>
        <v>48</v>
      </c>
      <c r="R1760" s="236">
        <v>20</v>
      </c>
      <c r="S1760" s="236">
        <v>4000</v>
      </c>
    </row>
    <row r="1761" spans="1:19">
      <c r="A1761" s="37">
        <v>2725</v>
      </c>
      <c r="B1761" s="37" t="s">
        <v>2783</v>
      </c>
      <c r="C1761" s="135" t="s">
        <v>296</v>
      </c>
      <c r="D1761" s="740" t="s">
        <v>2786</v>
      </c>
      <c r="E1761" s="248">
        <v>50</v>
      </c>
      <c r="F1761" s="736">
        <v>4</v>
      </c>
      <c r="G1761" s="246">
        <f>E1761*F1761</f>
        <v>200</v>
      </c>
      <c r="H1761" s="257">
        <v>20</v>
      </c>
      <c r="I1761" s="257">
        <v>4000</v>
      </c>
      <c r="J1761" s="741"/>
      <c r="K1761" s="742">
        <f t="shared" si="15"/>
        <v>0</v>
      </c>
      <c r="L1761" s="263" t="s">
        <v>290</v>
      </c>
      <c r="M1761" s="31"/>
      <c r="N1761" s="738"/>
      <c r="O1761" s="743" t="e">
        <f>ROUNDUP(R1761/U1761/VLOOKUP(#REF!,$C$2:$F$6,3,FALSE),2)</f>
        <v>#DIV/0!</v>
      </c>
      <c r="P1761" s="739">
        <v>0.24</v>
      </c>
      <c r="Q1761" s="739">
        <f t="shared" si="16"/>
        <v>48</v>
      </c>
      <c r="R1761" s="236">
        <v>20</v>
      </c>
      <c r="S1761" s="236">
        <v>4000</v>
      </c>
    </row>
    <row r="1762" spans="1:19">
      <c r="A1762" s="37">
        <v>2725</v>
      </c>
      <c r="B1762" s="37"/>
      <c r="C1762" s="135"/>
      <c r="D1762" s="744" t="s">
        <v>2787</v>
      </c>
      <c r="E1762" s="248"/>
      <c r="F1762" s="736"/>
      <c r="G1762" s="244">
        <v>2</v>
      </c>
      <c r="H1762" s="756" t="s">
        <v>2796</v>
      </c>
      <c r="I1762" s="257">
        <v>28000</v>
      </c>
      <c r="J1762" s="741">
        <v>153</v>
      </c>
      <c r="K1762" s="742">
        <f t="shared" si="15"/>
        <v>306</v>
      </c>
      <c r="L1762" s="263" t="s">
        <v>290</v>
      </c>
      <c r="M1762" s="31"/>
      <c r="N1762" s="738"/>
      <c r="O1762" s="743" t="e">
        <f>ROUNDUP(R1762/U1762/VLOOKUP(#REF!,$C$2:$F$6,3,FALSE),2)</f>
        <v>#DIV/0!</v>
      </c>
      <c r="P1762" s="739">
        <v>132.58000000000001</v>
      </c>
      <c r="Q1762" s="739">
        <f t="shared" si="16"/>
        <v>265.16000000000003</v>
      </c>
      <c r="R1762" s="236">
        <v>14000</v>
      </c>
      <c r="S1762" s="236">
        <v>28000</v>
      </c>
    </row>
    <row r="1763" spans="1:19">
      <c r="A1763" s="37">
        <v>2725</v>
      </c>
      <c r="B1763" s="37"/>
      <c r="C1763" s="135"/>
      <c r="D1763" s="744" t="s">
        <v>2784</v>
      </c>
      <c r="E1763" s="248"/>
      <c r="F1763" s="736"/>
      <c r="G1763" s="244">
        <v>1</v>
      </c>
      <c r="H1763" s="757" t="s">
        <v>2797</v>
      </c>
      <c r="I1763" s="757" t="s">
        <v>2797</v>
      </c>
      <c r="J1763" s="741">
        <v>0</v>
      </c>
      <c r="K1763" s="742">
        <f t="shared" si="15"/>
        <v>0</v>
      </c>
      <c r="L1763" s="263" t="s">
        <v>290</v>
      </c>
      <c r="M1763" s="31"/>
      <c r="N1763" s="738"/>
      <c r="O1763" s="743" t="e">
        <f>ROUNDUP(R1763/U1763/VLOOKUP(#REF!,$C$2:$F$6,3,FALSE),2)</f>
        <v>#DIV/0!</v>
      </c>
      <c r="P1763" s="739">
        <v>0</v>
      </c>
      <c r="Q1763" s="739">
        <f t="shared" si="16"/>
        <v>0</v>
      </c>
      <c r="R1763" s="236">
        <v>0</v>
      </c>
      <c r="S1763" s="236">
        <v>0</v>
      </c>
    </row>
    <row r="1766" spans="1:19">
      <c r="A1766" s="245" t="s">
        <v>78</v>
      </c>
      <c r="B1766" s="245" t="s">
        <v>232</v>
      </c>
      <c r="C1766" s="762" t="s">
        <v>211</v>
      </c>
      <c r="D1766" s="762" t="s">
        <v>227</v>
      </c>
      <c r="E1766" s="762" t="s">
        <v>228</v>
      </c>
      <c r="F1766" s="255" t="s">
        <v>2806</v>
      </c>
      <c r="G1766" s="255" t="s">
        <v>2807</v>
      </c>
    </row>
    <row r="1767" spans="1:19">
      <c r="A1767" s="37" t="s">
        <v>181</v>
      </c>
      <c r="B1767" s="135" t="s">
        <v>56</v>
      </c>
      <c r="C1767" s="246">
        <v>14</v>
      </c>
      <c r="D1767" s="247">
        <v>89</v>
      </c>
      <c r="E1767" s="248">
        <f>C1767*D1767</f>
        <v>1246</v>
      </c>
      <c r="F1767" s="129"/>
      <c r="G1767" s="129"/>
    </row>
    <row r="1768" spans="1:19">
      <c r="A1768" s="37" t="s">
        <v>2045</v>
      </c>
      <c r="B1768" s="135" t="s">
        <v>37</v>
      </c>
      <c r="C1768" s="246">
        <v>14</v>
      </c>
      <c r="D1768" s="247">
        <v>190</v>
      </c>
      <c r="E1768" s="248">
        <f>C1768*D1768</f>
        <v>2660</v>
      </c>
      <c r="F1768" s="129"/>
      <c r="G1768" s="129"/>
    </row>
    <row r="1771" spans="1:19" s="243" customFormat="1" ht="12.75">
      <c r="A1771" s="245" t="s">
        <v>78</v>
      </c>
      <c r="B1771" s="245" t="s">
        <v>232</v>
      </c>
      <c r="C1771" s="762" t="s">
        <v>211</v>
      </c>
      <c r="D1771" s="762" t="s">
        <v>227</v>
      </c>
      <c r="E1771" s="762" t="s">
        <v>228</v>
      </c>
      <c r="F1771" s="255" t="s">
        <v>2806</v>
      </c>
      <c r="G1771" s="255" t="s">
        <v>2807</v>
      </c>
    </row>
    <row r="1772" spans="1:19" s="243" customFormat="1">
      <c r="A1772" s="37" t="s">
        <v>181</v>
      </c>
      <c r="B1772" s="135" t="s">
        <v>56</v>
      </c>
      <c r="C1772" s="246">
        <v>14</v>
      </c>
      <c r="D1772" s="247">
        <v>190</v>
      </c>
      <c r="E1772" s="248">
        <f>C1772*D1772</f>
        <v>2660</v>
      </c>
      <c r="F1772" s="129"/>
      <c r="G1772" s="129"/>
    </row>
    <row r="1773" spans="1:19" s="243" customFormat="1">
      <c r="A1773" s="37" t="s">
        <v>2045</v>
      </c>
      <c r="B1773" s="135" t="s">
        <v>37</v>
      </c>
      <c r="C1773" s="246">
        <v>14</v>
      </c>
      <c r="D1773" s="247">
        <v>89</v>
      </c>
      <c r="E1773" s="248">
        <f>C1773*D1773</f>
        <v>1246</v>
      </c>
      <c r="F1773" s="129"/>
      <c r="G1773" s="129"/>
    </row>
    <row r="1776" spans="1:19">
      <c r="A1776" s="245" t="s">
        <v>2810</v>
      </c>
      <c r="B1776" s="245" t="s">
        <v>2808</v>
      </c>
      <c r="C1776" s="245" t="s">
        <v>2811</v>
      </c>
    </row>
    <row r="1777" spans="1:120">
      <c r="A1777" s="764" t="s">
        <v>2812</v>
      </c>
      <c r="B1777" s="763" t="s">
        <v>2809</v>
      </c>
      <c r="C1777" s="763"/>
    </row>
    <row r="1778" spans="1:120">
      <c r="A1778" s="745" t="s">
        <v>2814</v>
      </c>
      <c r="B1778" s="765"/>
      <c r="C1778" s="765" t="s">
        <v>2813</v>
      </c>
    </row>
    <row r="1779" spans="1:120">
      <c r="A1779" s="764" t="s">
        <v>2816</v>
      </c>
      <c r="B1779" s="763" t="s">
        <v>2815</v>
      </c>
      <c r="C1779" s="763"/>
    </row>
    <row r="1780" spans="1:120">
      <c r="A1780" s="745" t="s">
        <v>2818</v>
      </c>
      <c r="B1780" s="765"/>
      <c r="C1780" s="765" t="s">
        <v>2817</v>
      </c>
    </row>
    <row r="1781" spans="1:120">
      <c r="A1781" s="764" t="s">
        <v>2820</v>
      </c>
      <c r="B1781" s="763" t="s">
        <v>2819</v>
      </c>
      <c r="C1781" s="763"/>
    </row>
    <row r="1784" spans="1:120">
      <c r="A1784" t="s">
        <v>2824</v>
      </c>
      <c r="I1784" s="766" t="s">
        <v>2821</v>
      </c>
      <c r="J1784" s="766" t="s">
        <v>2822</v>
      </c>
    </row>
    <row r="1785" spans="1:120" s="771" customFormat="1" ht="25.5">
      <c r="A1785" s="767" t="s">
        <v>221</v>
      </c>
      <c r="B1785" s="767" t="s">
        <v>33</v>
      </c>
      <c r="C1785" s="767" t="s">
        <v>34</v>
      </c>
      <c r="D1785" s="768" t="s">
        <v>2849</v>
      </c>
      <c r="E1785" s="769" t="s">
        <v>2826</v>
      </c>
      <c r="F1785" s="770" t="s">
        <v>2823</v>
      </c>
      <c r="G1785" s="780" t="s">
        <v>2829</v>
      </c>
      <c r="H1785" s="780" t="s">
        <v>2830</v>
      </c>
    </row>
    <row r="1786" spans="1:120" s="779" customFormat="1" ht="15" customHeight="1">
      <c r="A1786" s="772" t="s">
        <v>2825</v>
      </c>
      <c r="B1786" s="38">
        <v>15</v>
      </c>
      <c r="C1786" s="38" t="s">
        <v>2828</v>
      </c>
      <c r="D1786" s="781">
        <v>30</v>
      </c>
      <c r="E1786" s="774" t="s">
        <v>2850</v>
      </c>
      <c r="F1786" s="775">
        <f>ROUNDUP(H1786/0.6/115,2)</f>
        <v>0.45</v>
      </c>
      <c r="G1786" s="776">
        <v>930</v>
      </c>
      <c r="H1786" s="776">
        <f>G1786/30</f>
        <v>31</v>
      </c>
      <c r="I1786" s="777">
        <f>(((F1786*J1786)-H1786)/(F1786*J1786))</f>
        <v>0.40096618357487923</v>
      </c>
      <c r="J1786" s="778">
        <v>115</v>
      </c>
      <c r="K1786" s="778"/>
      <c r="L1786" s="778"/>
      <c r="M1786" s="778"/>
      <c r="N1786" s="778"/>
      <c r="O1786" s="778"/>
      <c r="P1786" s="778"/>
      <c r="Q1786" s="778"/>
      <c r="R1786" s="778"/>
      <c r="S1786" s="778"/>
      <c r="T1786" s="778"/>
      <c r="U1786" s="778"/>
      <c r="V1786" s="778"/>
      <c r="W1786" s="778"/>
      <c r="X1786" s="778"/>
      <c r="Y1786" s="778"/>
      <c r="Z1786" s="778"/>
      <c r="AA1786" s="778"/>
      <c r="AB1786" s="778"/>
      <c r="AC1786" s="778"/>
      <c r="AD1786" s="778"/>
      <c r="AE1786" s="778"/>
      <c r="AF1786" s="778"/>
      <c r="AG1786" s="778"/>
      <c r="AH1786" s="778"/>
      <c r="AI1786" s="778"/>
      <c r="AJ1786" s="778"/>
      <c r="AK1786" s="778"/>
      <c r="AL1786" s="778"/>
      <c r="AM1786" s="778"/>
      <c r="AN1786" s="778"/>
      <c r="AO1786" s="778"/>
      <c r="AP1786" s="778"/>
      <c r="AQ1786" s="778"/>
      <c r="AR1786" s="778"/>
      <c r="AS1786" s="778"/>
      <c r="AT1786" s="778"/>
      <c r="AU1786" s="778"/>
      <c r="AV1786" s="778"/>
      <c r="AW1786" s="778"/>
      <c r="AX1786" s="778"/>
      <c r="AY1786" s="778"/>
      <c r="AZ1786" s="778"/>
      <c r="BA1786" s="778"/>
      <c r="BB1786" s="778"/>
      <c r="BC1786" s="778"/>
      <c r="BD1786" s="778"/>
      <c r="BE1786" s="778"/>
      <c r="BF1786" s="778"/>
      <c r="BG1786" s="778"/>
      <c r="BH1786" s="778"/>
      <c r="BI1786" s="778"/>
      <c r="BJ1786" s="778"/>
      <c r="BK1786" s="778"/>
      <c r="BL1786" s="778"/>
      <c r="BM1786" s="778"/>
      <c r="BN1786" s="778"/>
      <c r="BO1786" s="778"/>
      <c r="BP1786" s="778"/>
      <c r="BQ1786" s="778"/>
      <c r="BR1786" s="778"/>
      <c r="BS1786" s="778"/>
      <c r="BT1786" s="778"/>
      <c r="BU1786" s="778"/>
      <c r="BV1786" s="778"/>
      <c r="BW1786" s="778"/>
      <c r="BX1786" s="778"/>
      <c r="BY1786" s="778"/>
      <c r="BZ1786" s="778"/>
      <c r="CA1786" s="778"/>
      <c r="CB1786" s="778"/>
      <c r="CC1786" s="778"/>
      <c r="CD1786" s="778"/>
      <c r="CE1786" s="778"/>
      <c r="CF1786" s="778"/>
      <c r="CG1786" s="778"/>
      <c r="CH1786" s="778"/>
      <c r="CI1786" s="778"/>
      <c r="CJ1786" s="778"/>
      <c r="CK1786" s="778"/>
      <c r="CL1786" s="778"/>
      <c r="CM1786" s="778"/>
      <c r="CN1786" s="778"/>
      <c r="CO1786" s="778"/>
      <c r="CP1786" s="778"/>
      <c r="CQ1786" s="778"/>
      <c r="CR1786" s="778"/>
      <c r="CS1786" s="778"/>
      <c r="CT1786" s="778"/>
      <c r="CU1786" s="778"/>
      <c r="CV1786" s="778"/>
      <c r="CW1786" s="778"/>
      <c r="CX1786" s="778"/>
      <c r="CY1786" s="778"/>
      <c r="CZ1786" s="778"/>
      <c r="DA1786" s="778"/>
      <c r="DB1786" s="778"/>
      <c r="DC1786" s="778"/>
      <c r="DD1786" s="778"/>
      <c r="DE1786" s="778"/>
      <c r="DF1786" s="778"/>
      <c r="DG1786" s="778"/>
      <c r="DH1786" s="778"/>
      <c r="DI1786" s="778"/>
      <c r="DJ1786" s="778"/>
      <c r="DK1786" s="778"/>
      <c r="DL1786" s="778"/>
      <c r="DM1786" s="778"/>
      <c r="DN1786" s="778"/>
      <c r="DO1786" s="778"/>
      <c r="DP1786" s="778"/>
    </row>
    <row r="1787" spans="1:120" s="779" customFormat="1" ht="15" customHeight="1">
      <c r="A1787" s="772" t="s">
        <v>2831</v>
      </c>
      <c r="B1787" s="38">
        <v>18</v>
      </c>
      <c r="C1787" s="38" t="s">
        <v>2828</v>
      </c>
      <c r="D1787" s="781">
        <v>30</v>
      </c>
      <c r="E1787" s="774" t="s">
        <v>2850</v>
      </c>
      <c r="F1787" s="775">
        <f>ROUNDUP(H1787/0.6/115,2)</f>
        <v>0.48</v>
      </c>
      <c r="G1787" s="776">
        <v>990</v>
      </c>
      <c r="H1787" s="776">
        <f>G1787/30</f>
        <v>33</v>
      </c>
      <c r="I1787" s="777">
        <f>(((F1787*J1787)-H1787)/(F1787*J1787))</f>
        <v>0.40217391304347822</v>
      </c>
      <c r="J1787" s="778">
        <v>115</v>
      </c>
      <c r="K1787" s="778"/>
      <c r="L1787" s="778"/>
      <c r="M1787" s="778"/>
      <c r="N1787" s="778"/>
      <c r="O1787" s="778"/>
      <c r="P1787" s="778"/>
      <c r="Q1787" s="778"/>
      <c r="R1787" s="778"/>
      <c r="S1787" s="778"/>
      <c r="T1787" s="778"/>
      <c r="U1787" s="778"/>
      <c r="V1787" s="778"/>
      <c r="W1787" s="778"/>
      <c r="X1787" s="778"/>
      <c r="Y1787" s="778"/>
      <c r="Z1787" s="778"/>
      <c r="AA1787" s="778"/>
      <c r="AB1787" s="778"/>
      <c r="AC1787" s="778"/>
      <c r="AD1787" s="778"/>
      <c r="AE1787" s="778"/>
      <c r="AF1787" s="778"/>
      <c r="AG1787" s="778"/>
      <c r="AH1787" s="778"/>
      <c r="AI1787" s="778"/>
      <c r="AJ1787" s="778"/>
      <c r="AK1787" s="778"/>
      <c r="AL1787" s="778"/>
      <c r="AM1787" s="778"/>
      <c r="AN1787" s="778"/>
      <c r="AO1787" s="778"/>
      <c r="AP1787" s="778"/>
      <c r="AQ1787" s="778"/>
      <c r="AR1787" s="778"/>
      <c r="AS1787" s="778"/>
      <c r="AT1787" s="778"/>
      <c r="AU1787" s="778"/>
      <c r="AV1787" s="778"/>
      <c r="AW1787" s="778"/>
      <c r="AX1787" s="778"/>
      <c r="AY1787" s="778"/>
      <c r="AZ1787" s="778"/>
      <c r="BA1787" s="778"/>
      <c r="BB1787" s="778"/>
      <c r="BC1787" s="778"/>
      <c r="BD1787" s="778"/>
      <c r="BE1787" s="778"/>
      <c r="BF1787" s="778"/>
      <c r="BG1787" s="778"/>
      <c r="BH1787" s="778"/>
      <c r="BI1787" s="778"/>
      <c r="BJ1787" s="778"/>
      <c r="BK1787" s="778"/>
      <c r="BL1787" s="778"/>
      <c r="BM1787" s="778"/>
      <c r="BN1787" s="778"/>
      <c r="BO1787" s="778"/>
      <c r="BP1787" s="778"/>
      <c r="BQ1787" s="778"/>
      <c r="BR1787" s="778"/>
      <c r="BS1787" s="778"/>
      <c r="BT1787" s="778"/>
      <c r="BU1787" s="778"/>
      <c r="BV1787" s="778"/>
      <c r="BW1787" s="778"/>
      <c r="BX1787" s="778"/>
      <c r="BY1787" s="778"/>
      <c r="BZ1787" s="778"/>
      <c r="CA1787" s="778"/>
      <c r="CB1787" s="778"/>
      <c r="CC1787" s="778"/>
      <c r="CD1787" s="778"/>
      <c r="CE1787" s="778"/>
      <c r="CF1787" s="778"/>
      <c r="CG1787" s="778"/>
      <c r="CH1787" s="778"/>
      <c r="CI1787" s="778"/>
      <c r="CJ1787" s="778"/>
      <c r="CK1787" s="778"/>
      <c r="CL1787" s="778"/>
      <c r="CM1787" s="778"/>
      <c r="CN1787" s="778"/>
      <c r="CO1787" s="778"/>
      <c r="CP1787" s="778"/>
      <c r="CQ1787" s="778"/>
      <c r="CR1787" s="778"/>
      <c r="CS1787" s="778"/>
      <c r="CT1787" s="778"/>
      <c r="CU1787" s="778"/>
      <c r="CV1787" s="778"/>
      <c r="CW1787" s="778"/>
      <c r="CX1787" s="778"/>
      <c r="CY1787" s="778"/>
      <c r="CZ1787" s="778"/>
      <c r="DA1787" s="778"/>
      <c r="DB1787" s="778"/>
      <c r="DC1787" s="778"/>
      <c r="DD1787" s="778"/>
      <c r="DE1787" s="778"/>
      <c r="DF1787" s="778"/>
      <c r="DG1787" s="778"/>
      <c r="DH1787" s="778"/>
      <c r="DI1787" s="778"/>
      <c r="DJ1787" s="778"/>
      <c r="DK1787" s="778"/>
      <c r="DL1787" s="778"/>
      <c r="DM1787" s="778"/>
      <c r="DN1787" s="778"/>
      <c r="DO1787" s="778"/>
      <c r="DP1787" s="778"/>
    </row>
    <row r="1788" spans="1:120" s="779" customFormat="1" ht="15" customHeight="1">
      <c r="A1788" s="772" t="s">
        <v>2832</v>
      </c>
      <c r="B1788" s="38">
        <v>20</v>
      </c>
      <c r="C1788" s="38" t="s">
        <v>2828</v>
      </c>
      <c r="D1788" s="781">
        <v>30</v>
      </c>
      <c r="E1788" s="774" t="s">
        <v>2850</v>
      </c>
      <c r="F1788" s="775">
        <f>ROUNDUP(H1788/0.6/115,2)</f>
        <v>0.53</v>
      </c>
      <c r="G1788" s="776">
        <v>1080</v>
      </c>
      <c r="H1788" s="776">
        <f>G1788/30</f>
        <v>36</v>
      </c>
      <c r="I1788" s="777">
        <f>(((F1788*J1788)-H1788)/(F1788*J1788))</f>
        <v>0.40935192780968011</v>
      </c>
      <c r="J1788" s="778">
        <v>115</v>
      </c>
      <c r="K1788" s="778"/>
      <c r="L1788" s="778"/>
      <c r="M1788" s="778"/>
      <c r="N1788" s="778"/>
      <c r="O1788" s="778"/>
      <c r="P1788" s="778"/>
      <c r="Q1788" s="778"/>
      <c r="R1788" s="778"/>
      <c r="S1788" s="778"/>
      <c r="T1788" s="778"/>
      <c r="U1788" s="778"/>
      <c r="V1788" s="778"/>
      <c r="W1788" s="778"/>
      <c r="X1788" s="778"/>
      <c r="Y1788" s="778"/>
      <c r="Z1788" s="778"/>
      <c r="AA1788" s="778"/>
      <c r="AB1788" s="778"/>
      <c r="AC1788" s="778"/>
      <c r="AD1788" s="778"/>
      <c r="AE1788" s="778"/>
      <c r="AF1788" s="778"/>
      <c r="AG1788" s="778"/>
      <c r="AH1788" s="778"/>
      <c r="AI1788" s="778"/>
      <c r="AJ1788" s="778"/>
      <c r="AK1788" s="778"/>
      <c r="AL1788" s="778"/>
      <c r="AM1788" s="778"/>
      <c r="AN1788" s="778"/>
      <c r="AO1788" s="778"/>
      <c r="AP1788" s="778"/>
      <c r="AQ1788" s="778"/>
      <c r="AR1788" s="778"/>
      <c r="AS1788" s="778"/>
      <c r="AT1788" s="778"/>
      <c r="AU1788" s="778"/>
      <c r="AV1788" s="778"/>
      <c r="AW1788" s="778"/>
      <c r="AX1788" s="778"/>
      <c r="AY1788" s="778"/>
      <c r="AZ1788" s="778"/>
      <c r="BA1788" s="778"/>
      <c r="BB1788" s="778"/>
      <c r="BC1788" s="778"/>
      <c r="BD1788" s="778"/>
      <c r="BE1788" s="778"/>
      <c r="BF1788" s="778"/>
      <c r="BG1788" s="778"/>
      <c r="BH1788" s="778"/>
      <c r="BI1788" s="778"/>
      <c r="BJ1788" s="778"/>
      <c r="BK1788" s="778"/>
      <c r="BL1788" s="778"/>
      <c r="BM1788" s="778"/>
      <c r="BN1788" s="778"/>
      <c r="BO1788" s="778"/>
      <c r="BP1788" s="778"/>
      <c r="BQ1788" s="778"/>
      <c r="BR1788" s="778"/>
      <c r="BS1788" s="778"/>
      <c r="BT1788" s="778"/>
      <c r="BU1788" s="778"/>
      <c r="BV1788" s="778"/>
      <c r="BW1788" s="778"/>
      <c r="BX1788" s="778"/>
      <c r="BY1788" s="778"/>
      <c r="BZ1788" s="778"/>
      <c r="CA1788" s="778"/>
      <c r="CB1788" s="778"/>
      <c r="CC1788" s="778"/>
      <c r="CD1788" s="778"/>
      <c r="CE1788" s="778"/>
      <c r="CF1788" s="778"/>
      <c r="CG1788" s="778"/>
      <c r="CH1788" s="778"/>
      <c r="CI1788" s="778"/>
      <c r="CJ1788" s="778"/>
      <c r="CK1788" s="778"/>
      <c r="CL1788" s="778"/>
      <c r="CM1788" s="778"/>
      <c r="CN1788" s="778"/>
      <c r="CO1788" s="778"/>
      <c r="CP1788" s="778"/>
      <c r="CQ1788" s="778"/>
      <c r="CR1788" s="778"/>
      <c r="CS1788" s="778"/>
      <c r="CT1788" s="778"/>
      <c r="CU1788" s="778"/>
      <c r="CV1788" s="778"/>
      <c r="CW1788" s="778"/>
      <c r="CX1788" s="778"/>
      <c r="CY1788" s="778"/>
      <c r="CZ1788" s="778"/>
      <c r="DA1788" s="778"/>
      <c r="DB1788" s="778"/>
      <c r="DC1788" s="778"/>
      <c r="DD1788" s="778"/>
      <c r="DE1788" s="778"/>
      <c r="DF1788" s="778"/>
      <c r="DG1788" s="778"/>
      <c r="DH1788" s="778"/>
      <c r="DI1788" s="778"/>
      <c r="DJ1788" s="778"/>
      <c r="DK1788" s="778"/>
      <c r="DL1788" s="778"/>
      <c r="DM1788" s="778"/>
      <c r="DN1788" s="778"/>
      <c r="DO1788" s="778"/>
      <c r="DP1788" s="778"/>
    </row>
    <row r="1789" spans="1:120" s="779" customFormat="1" ht="15" customHeight="1">
      <c r="A1789" s="772" t="s">
        <v>2833</v>
      </c>
      <c r="B1789" s="38">
        <v>25</v>
      </c>
      <c r="C1789" s="38" t="s">
        <v>2828</v>
      </c>
      <c r="D1789" s="781">
        <v>30</v>
      </c>
      <c r="E1789" s="774" t="s">
        <v>2850</v>
      </c>
      <c r="F1789" s="775">
        <f>ROUNDUP(H1789/0.6/115,2)</f>
        <v>0.6</v>
      </c>
      <c r="G1789" s="776">
        <v>1230</v>
      </c>
      <c r="H1789" s="776">
        <f>G1789/30</f>
        <v>41</v>
      </c>
      <c r="I1789" s="777">
        <f>(((F1789*J1789)-H1789)/(F1789*J1789))</f>
        <v>0.40579710144927539</v>
      </c>
      <c r="J1789" s="778">
        <v>115</v>
      </c>
      <c r="K1789" s="778"/>
      <c r="L1789" s="778"/>
      <c r="M1789" s="778"/>
      <c r="N1789" s="778"/>
      <c r="O1789" s="778"/>
      <c r="P1789" s="778"/>
      <c r="Q1789" s="778"/>
      <c r="R1789" s="778"/>
      <c r="S1789" s="778"/>
      <c r="T1789" s="778"/>
      <c r="U1789" s="778"/>
      <c r="V1789" s="778"/>
      <c r="W1789" s="778"/>
      <c r="X1789" s="778"/>
      <c r="Y1789" s="778"/>
      <c r="Z1789" s="778"/>
      <c r="AA1789" s="778"/>
      <c r="AB1789" s="778"/>
      <c r="AC1789" s="778"/>
      <c r="AD1789" s="778"/>
      <c r="AE1789" s="778"/>
      <c r="AF1789" s="778"/>
      <c r="AG1789" s="778"/>
      <c r="AH1789" s="778"/>
      <c r="AI1789" s="778"/>
      <c r="AJ1789" s="778"/>
      <c r="AK1789" s="778"/>
      <c r="AL1789" s="778"/>
      <c r="AM1789" s="778"/>
      <c r="AN1789" s="778"/>
      <c r="AO1789" s="778"/>
      <c r="AP1789" s="778"/>
      <c r="AQ1789" s="778"/>
      <c r="AR1789" s="778"/>
      <c r="AS1789" s="778"/>
      <c r="AT1789" s="778"/>
      <c r="AU1789" s="778"/>
      <c r="AV1789" s="778"/>
      <c r="AW1789" s="778"/>
      <c r="AX1789" s="778"/>
      <c r="AY1789" s="778"/>
      <c r="AZ1789" s="778"/>
      <c r="BA1789" s="778"/>
      <c r="BB1789" s="778"/>
      <c r="BC1789" s="778"/>
      <c r="BD1789" s="778"/>
      <c r="BE1789" s="778"/>
      <c r="BF1789" s="778"/>
      <c r="BG1789" s="778"/>
      <c r="BH1789" s="778"/>
      <c r="BI1789" s="778"/>
      <c r="BJ1789" s="778"/>
      <c r="BK1789" s="778"/>
      <c r="BL1789" s="778"/>
      <c r="BM1789" s="778"/>
      <c r="BN1789" s="778"/>
      <c r="BO1789" s="778"/>
      <c r="BP1789" s="778"/>
      <c r="BQ1789" s="778"/>
      <c r="BR1789" s="778"/>
      <c r="BS1789" s="778"/>
      <c r="BT1789" s="778"/>
      <c r="BU1789" s="778"/>
      <c r="BV1789" s="778"/>
      <c r="BW1789" s="778"/>
      <c r="BX1789" s="778"/>
      <c r="BY1789" s="778"/>
      <c r="BZ1789" s="778"/>
      <c r="CA1789" s="778"/>
      <c r="CB1789" s="778"/>
      <c r="CC1789" s="778"/>
      <c r="CD1789" s="778"/>
      <c r="CE1789" s="778"/>
      <c r="CF1789" s="778"/>
      <c r="CG1789" s="778"/>
      <c r="CH1789" s="778"/>
      <c r="CI1789" s="778"/>
      <c r="CJ1789" s="778"/>
      <c r="CK1789" s="778"/>
      <c r="CL1789" s="778"/>
      <c r="CM1789" s="778"/>
      <c r="CN1789" s="778"/>
      <c r="CO1789" s="778"/>
      <c r="CP1789" s="778"/>
      <c r="CQ1789" s="778"/>
      <c r="CR1789" s="778"/>
      <c r="CS1789" s="778"/>
      <c r="CT1789" s="778"/>
      <c r="CU1789" s="778"/>
      <c r="CV1789" s="778"/>
      <c r="CW1789" s="778"/>
      <c r="CX1789" s="778"/>
      <c r="CY1789" s="778"/>
      <c r="CZ1789" s="778"/>
      <c r="DA1789" s="778"/>
      <c r="DB1789" s="778"/>
      <c r="DC1789" s="778"/>
      <c r="DD1789" s="778"/>
      <c r="DE1789" s="778"/>
      <c r="DF1789" s="778"/>
      <c r="DG1789" s="778"/>
      <c r="DH1789" s="778"/>
      <c r="DI1789" s="778"/>
      <c r="DJ1789" s="778"/>
      <c r="DK1789" s="778"/>
      <c r="DL1789" s="778"/>
      <c r="DM1789" s="778"/>
      <c r="DN1789" s="778"/>
      <c r="DO1789" s="778"/>
      <c r="DP1789" s="778"/>
    </row>
    <row r="1790" spans="1:120" s="779" customFormat="1" ht="15" customHeight="1">
      <c r="A1790" s="772"/>
      <c r="B1790" s="38"/>
      <c r="C1790" s="38"/>
      <c r="D1790" s="773"/>
      <c r="E1790" s="774"/>
      <c r="F1790" s="775"/>
      <c r="G1790" s="776"/>
      <c r="H1790" s="776"/>
      <c r="I1790" s="777"/>
      <c r="J1790" s="778"/>
      <c r="K1790" s="778"/>
      <c r="L1790" s="778"/>
      <c r="M1790" s="778"/>
      <c r="N1790" s="778"/>
      <c r="O1790" s="778"/>
      <c r="P1790" s="778"/>
      <c r="Q1790" s="778"/>
      <c r="R1790" s="778"/>
      <c r="S1790" s="778"/>
      <c r="T1790" s="778"/>
      <c r="U1790" s="778"/>
      <c r="V1790" s="778"/>
      <c r="W1790" s="778"/>
      <c r="X1790" s="778"/>
      <c r="Y1790" s="778"/>
      <c r="Z1790" s="778"/>
      <c r="AA1790" s="778"/>
      <c r="AB1790" s="778"/>
      <c r="AC1790" s="778"/>
      <c r="AD1790" s="778"/>
      <c r="AE1790" s="778"/>
      <c r="AF1790" s="778"/>
      <c r="AG1790" s="778"/>
      <c r="AH1790" s="778"/>
      <c r="AI1790" s="778"/>
      <c r="AJ1790" s="778"/>
      <c r="AK1790" s="778"/>
      <c r="AL1790" s="778"/>
      <c r="AM1790" s="778"/>
      <c r="AN1790" s="778"/>
      <c r="AO1790" s="778"/>
      <c r="AP1790" s="778"/>
      <c r="AQ1790" s="778"/>
      <c r="AR1790" s="778"/>
      <c r="AS1790" s="778"/>
      <c r="AT1790" s="778"/>
      <c r="AU1790" s="778"/>
      <c r="AV1790" s="778"/>
      <c r="AW1790" s="778"/>
      <c r="AX1790" s="778"/>
      <c r="AY1790" s="778"/>
      <c r="AZ1790" s="778"/>
      <c r="BA1790" s="778"/>
      <c r="BB1790" s="778"/>
      <c r="BC1790" s="778"/>
      <c r="BD1790" s="778"/>
      <c r="BE1790" s="778"/>
      <c r="BF1790" s="778"/>
      <c r="BG1790" s="778"/>
      <c r="BH1790" s="778"/>
      <c r="BI1790" s="778"/>
      <c r="BJ1790" s="778"/>
      <c r="BK1790" s="778"/>
      <c r="BL1790" s="778"/>
      <c r="BM1790" s="778"/>
      <c r="BN1790" s="778"/>
      <c r="BO1790" s="778"/>
      <c r="BP1790" s="778"/>
      <c r="BQ1790" s="778"/>
      <c r="BR1790" s="778"/>
      <c r="BS1790" s="778"/>
      <c r="BT1790" s="778"/>
      <c r="BU1790" s="778"/>
      <c r="BV1790" s="778"/>
      <c r="BW1790" s="778"/>
      <c r="BX1790" s="778"/>
      <c r="BY1790" s="778"/>
      <c r="BZ1790" s="778"/>
      <c r="CA1790" s="778"/>
      <c r="CB1790" s="778"/>
      <c r="CC1790" s="778"/>
      <c r="CD1790" s="778"/>
      <c r="CE1790" s="778"/>
      <c r="CF1790" s="778"/>
      <c r="CG1790" s="778"/>
      <c r="CH1790" s="778"/>
      <c r="CI1790" s="778"/>
      <c r="CJ1790" s="778"/>
      <c r="CK1790" s="778"/>
      <c r="CL1790" s="778"/>
      <c r="CM1790" s="778"/>
      <c r="CN1790" s="778"/>
      <c r="CO1790" s="778"/>
      <c r="CP1790" s="778"/>
      <c r="CQ1790" s="778"/>
      <c r="CR1790" s="778"/>
      <c r="CS1790" s="778"/>
      <c r="CT1790" s="778"/>
      <c r="CU1790" s="778"/>
      <c r="CV1790" s="778"/>
      <c r="CW1790" s="778"/>
      <c r="CX1790" s="778"/>
      <c r="CY1790" s="778"/>
      <c r="CZ1790" s="778"/>
      <c r="DA1790" s="778"/>
      <c r="DB1790" s="778"/>
      <c r="DC1790" s="778"/>
      <c r="DD1790" s="778"/>
      <c r="DE1790" s="778"/>
      <c r="DF1790" s="778"/>
      <c r="DG1790" s="778"/>
      <c r="DH1790" s="778"/>
      <c r="DI1790" s="778"/>
      <c r="DJ1790" s="778"/>
      <c r="DK1790" s="778"/>
      <c r="DL1790" s="778"/>
      <c r="DM1790" s="778"/>
      <c r="DN1790" s="778"/>
      <c r="DO1790" s="778"/>
      <c r="DP1790" s="778"/>
    </row>
    <row r="1791" spans="1:120" s="779" customFormat="1" ht="15" customHeight="1">
      <c r="A1791" s="772" t="s">
        <v>2827</v>
      </c>
      <c r="B1791" s="38">
        <v>15</v>
      </c>
      <c r="C1791" s="38" t="s">
        <v>37</v>
      </c>
      <c r="D1791" s="781">
        <v>30</v>
      </c>
      <c r="E1791" s="774" t="s">
        <v>2850</v>
      </c>
      <c r="F1791" s="775">
        <f>ROUNDUP(H1791/0.6/115,2)</f>
        <v>0.5</v>
      </c>
      <c r="G1791" s="776">
        <v>1020</v>
      </c>
      <c r="H1791" s="776">
        <f>G1791/30</f>
        <v>34</v>
      </c>
      <c r="I1791" s="777">
        <f>(((F1791*J1791)-H1791)/(F1791*J1791))</f>
        <v>0.40869565217391307</v>
      </c>
      <c r="J1791" s="778">
        <v>115</v>
      </c>
      <c r="K1791" s="778"/>
      <c r="L1791" s="778"/>
      <c r="M1791" s="778"/>
      <c r="N1791" s="778"/>
      <c r="O1791" s="778"/>
      <c r="P1791" s="778"/>
      <c r="Q1791" s="778"/>
      <c r="R1791" s="778"/>
      <c r="S1791" s="778"/>
      <c r="T1791" s="778"/>
      <c r="U1791" s="778"/>
      <c r="V1791" s="778"/>
      <c r="W1791" s="778"/>
      <c r="X1791" s="778"/>
      <c r="Y1791" s="778"/>
      <c r="Z1791" s="778"/>
      <c r="AA1791" s="778"/>
      <c r="AB1791" s="778"/>
      <c r="AC1791" s="778"/>
      <c r="AD1791" s="778"/>
      <c r="AE1791" s="778"/>
      <c r="AF1791" s="778"/>
      <c r="AG1791" s="778"/>
      <c r="AH1791" s="778"/>
      <c r="AI1791" s="778"/>
      <c r="AJ1791" s="778"/>
      <c r="AK1791" s="778"/>
      <c r="AL1791" s="778"/>
      <c r="AM1791" s="778"/>
      <c r="AN1791" s="778"/>
      <c r="AO1791" s="778"/>
      <c r="AP1791" s="778"/>
      <c r="AQ1791" s="778"/>
      <c r="AR1791" s="778"/>
      <c r="AS1791" s="778"/>
      <c r="AT1791" s="778"/>
      <c r="AU1791" s="778"/>
      <c r="AV1791" s="778"/>
      <c r="AW1791" s="778"/>
      <c r="AX1791" s="778"/>
      <c r="AY1791" s="778"/>
      <c r="AZ1791" s="778"/>
      <c r="BA1791" s="778"/>
      <c r="BB1791" s="778"/>
      <c r="BC1791" s="778"/>
      <c r="BD1791" s="778"/>
      <c r="BE1791" s="778"/>
      <c r="BF1791" s="778"/>
      <c r="BG1791" s="778"/>
      <c r="BH1791" s="778"/>
      <c r="BI1791" s="778"/>
      <c r="BJ1791" s="778"/>
      <c r="BK1791" s="778"/>
      <c r="BL1791" s="778"/>
      <c r="BM1791" s="778"/>
      <c r="BN1791" s="778"/>
      <c r="BO1791" s="778"/>
      <c r="BP1791" s="778"/>
      <c r="BQ1791" s="778"/>
      <c r="BR1791" s="778"/>
      <c r="BS1791" s="778"/>
      <c r="BT1791" s="778"/>
      <c r="BU1791" s="778"/>
      <c r="BV1791" s="778"/>
      <c r="BW1791" s="778"/>
      <c r="BX1791" s="778"/>
      <c r="BY1791" s="778"/>
      <c r="BZ1791" s="778"/>
      <c r="CA1791" s="778"/>
      <c r="CB1791" s="778"/>
      <c r="CC1791" s="778"/>
      <c r="CD1791" s="778"/>
      <c r="CE1791" s="778"/>
      <c r="CF1791" s="778"/>
      <c r="CG1791" s="778"/>
      <c r="CH1791" s="778"/>
      <c r="CI1791" s="778"/>
      <c r="CJ1791" s="778"/>
      <c r="CK1791" s="778"/>
      <c r="CL1791" s="778"/>
      <c r="CM1791" s="778"/>
      <c r="CN1791" s="778"/>
      <c r="CO1791" s="778"/>
      <c r="CP1791" s="778"/>
      <c r="CQ1791" s="778"/>
      <c r="CR1791" s="778"/>
      <c r="CS1791" s="778"/>
      <c r="CT1791" s="778"/>
      <c r="CU1791" s="778"/>
      <c r="CV1791" s="778"/>
      <c r="CW1791" s="778"/>
      <c r="CX1791" s="778"/>
      <c r="CY1791" s="778"/>
      <c r="CZ1791" s="778"/>
      <c r="DA1791" s="778"/>
      <c r="DB1791" s="778"/>
      <c r="DC1791" s="778"/>
      <c r="DD1791" s="778"/>
      <c r="DE1791" s="778"/>
      <c r="DF1791" s="778"/>
      <c r="DG1791" s="778"/>
      <c r="DH1791" s="778"/>
      <c r="DI1791" s="778"/>
      <c r="DJ1791" s="778"/>
      <c r="DK1791" s="778"/>
      <c r="DL1791" s="778"/>
      <c r="DM1791" s="778"/>
      <c r="DN1791" s="778"/>
      <c r="DO1791" s="778"/>
      <c r="DP1791" s="778"/>
    </row>
    <row r="1792" spans="1:120" s="779" customFormat="1" ht="15" customHeight="1">
      <c r="A1792" s="772" t="s">
        <v>2834</v>
      </c>
      <c r="B1792" s="38">
        <v>18</v>
      </c>
      <c r="C1792" s="38" t="s">
        <v>37</v>
      </c>
      <c r="D1792" s="781">
        <v>30</v>
      </c>
      <c r="E1792" s="774" t="s">
        <v>2850</v>
      </c>
      <c r="F1792" s="775">
        <f>ROUNDUP(H1792/0.6/115,2)</f>
        <v>0.53</v>
      </c>
      <c r="G1792" s="776">
        <v>1080</v>
      </c>
      <c r="H1792" s="776">
        <f>G1792/30</f>
        <v>36</v>
      </c>
      <c r="I1792" s="777">
        <f>(((F1792*J1792)-H1792)/(F1792*J1792))</f>
        <v>0.40935192780968011</v>
      </c>
      <c r="J1792" s="778">
        <v>115</v>
      </c>
      <c r="K1792" s="778"/>
      <c r="L1792" s="778"/>
      <c r="M1792" s="778"/>
      <c r="N1792" s="778"/>
      <c r="O1792" s="778"/>
      <c r="P1792" s="778"/>
      <c r="Q1792" s="778"/>
      <c r="R1792" s="778"/>
      <c r="S1792" s="778"/>
      <c r="T1792" s="778"/>
      <c r="U1792" s="778"/>
      <c r="V1792" s="778"/>
      <c r="W1792" s="778"/>
      <c r="X1792" s="778"/>
      <c r="Y1792" s="778"/>
      <c r="Z1792" s="778"/>
      <c r="AA1792" s="778"/>
      <c r="AB1792" s="778"/>
      <c r="AC1792" s="778"/>
      <c r="AD1792" s="778"/>
      <c r="AE1792" s="778"/>
      <c r="AF1792" s="778"/>
      <c r="AG1792" s="778"/>
      <c r="AH1792" s="778"/>
      <c r="AI1792" s="778"/>
      <c r="AJ1792" s="778"/>
      <c r="AK1792" s="778"/>
      <c r="AL1792" s="778"/>
      <c r="AM1792" s="778"/>
      <c r="AN1792" s="778"/>
      <c r="AO1792" s="778"/>
      <c r="AP1792" s="778"/>
      <c r="AQ1792" s="778"/>
      <c r="AR1792" s="778"/>
      <c r="AS1792" s="778"/>
      <c r="AT1792" s="778"/>
      <c r="AU1792" s="778"/>
      <c r="AV1792" s="778"/>
      <c r="AW1792" s="778"/>
      <c r="AX1792" s="778"/>
      <c r="AY1792" s="778"/>
      <c r="AZ1792" s="778"/>
      <c r="BA1792" s="778"/>
      <c r="BB1792" s="778"/>
      <c r="BC1792" s="778"/>
      <c r="BD1792" s="778"/>
      <c r="BE1792" s="778"/>
      <c r="BF1792" s="778"/>
      <c r="BG1792" s="778"/>
      <c r="BH1792" s="778"/>
      <c r="BI1792" s="778"/>
      <c r="BJ1792" s="778"/>
      <c r="BK1792" s="778"/>
      <c r="BL1792" s="778"/>
      <c r="BM1792" s="778"/>
      <c r="BN1792" s="778"/>
      <c r="BO1792" s="778"/>
      <c r="BP1792" s="778"/>
      <c r="BQ1792" s="778"/>
      <c r="BR1792" s="778"/>
      <c r="BS1792" s="778"/>
      <c r="BT1792" s="778"/>
      <c r="BU1792" s="778"/>
      <c r="BV1792" s="778"/>
      <c r="BW1792" s="778"/>
      <c r="BX1792" s="778"/>
      <c r="BY1792" s="778"/>
      <c r="BZ1792" s="778"/>
      <c r="CA1792" s="778"/>
      <c r="CB1792" s="778"/>
      <c r="CC1792" s="778"/>
      <c r="CD1792" s="778"/>
      <c r="CE1792" s="778"/>
      <c r="CF1792" s="778"/>
      <c r="CG1792" s="778"/>
      <c r="CH1792" s="778"/>
      <c r="CI1792" s="778"/>
      <c r="CJ1792" s="778"/>
      <c r="CK1792" s="778"/>
      <c r="CL1792" s="778"/>
      <c r="CM1792" s="778"/>
      <c r="CN1792" s="778"/>
      <c r="CO1792" s="778"/>
      <c r="CP1792" s="778"/>
      <c r="CQ1792" s="778"/>
      <c r="CR1792" s="778"/>
      <c r="CS1792" s="778"/>
      <c r="CT1792" s="778"/>
      <c r="CU1792" s="778"/>
      <c r="CV1792" s="778"/>
      <c r="CW1792" s="778"/>
      <c r="CX1792" s="778"/>
      <c r="CY1792" s="778"/>
      <c r="CZ1792" s="778"/>
      <c r="DA1792" s="778"/>
      <c r="DB1792" s="778"/>
      <c r="DC1792" s="778"/>
      <c r="DD1792" s="778"/>
      <c r="DE1792" s="778"/>
      <c r="DF1792" s="778"/>
      <c r="DG1792" s="778"/>
      <c r="DH1792" s="778"/>
      <c r="DI1792" s="778"/>
      <c r="DJ1792" s="778"/>
      <c r="DK1792" s="778"/>
      <c r="DL1792" s="778"/>
      <c r="DM1792" s="778"/>
      <c r="DN1792" s="778"/>
      <c r="DO1792" s="778"/>
      <c r="DP1792" s="778"/>
    </row>
    <row r="1793" spans="1:120" s="779" customFormat="1" ht="15" customHeight="1">
      <c r="A1793" s="772" t="s">
        <v>2835</v>
      </c>
      <c r="B1793" s="38">
        <v>20</v>
      </c>
      <c r="C1793" s="38" t="s">
        <v>37</v>
      </c>
      <c r="D1793" s="781">
        <v>30</v>
      </c>
      <c r="E1793" s="774" t="s">
        <v>2850</v>
      </c>
      <c r="F1793" s="775">
        <f>ROUNDUP(H1793/0.6/115,2)</f>
        <v>0.57000000000000006</v>
      </c>
      <c r="G1793" s="776">
        <v>1170</v>
      </c>
      <c r="H1793" s="776">
        <f>G1793/30</f>
        <v>39</v>
      </c>
      <c r="I1793" s="777">
        <f>(((F1793*J1793)-H1793)/(F1793*J1793))</f>
        <v>0.40503432494279185</v>
      </c>
      <c r="J1793" s="778">
        <v>115</v>
      </c>
      <c r="K1793" s="778"/>
      <c r="L1793" s="778"/>
      <c r="M1793" s="778"/>
      <c r="N1793" s="778"/>
      <c r="O1793" s="778"/>
      <c r="P1793" s="778"/>
      <c r="Q1793" s="778"/>
      <c r="R1793" s="778"/>
      <c r="S1793" s="778"/>
      <c r="T1793" s="778"/>
      <c r="U1793" s="778"/>
      <c r="V1793" s="778"/>
      <c r="W1793" s="778"/>
      <c r="X1793" s="778"/>
      <c r="Y1793" s="778"/>
      <c r="Z1793" s="778"/>
      <c r="AA1793" s="778"/>
      <c r="AB1793" s="778"/>
      <c r="AC1793" s="778"/>
      <c r="AD1793" s="778"/>
      <c r="AE1793" s="778"/>
      <c r="AF1793" s="778"/>
      <c r="AG1793" s="778"/>
      <c r="AH1793" s="778"/>
      <c r="AI1793" s="778"/>
      <c r="AJ1793" s="778"/>
      <c r="AK1793" s="778"/>
      <c r="AL1793" s="778"/>
      <c r="AM1793" s="778"/>
      <c r="AN1793" s="778"/>
      <c r="AO1793" s="778"/>
      <c r="AP1793" s="778"/>
      <c r="AQ1793" s="778"/>
      <c r="AR1793" s="778"/>
      <c r="AS1793" s="778"/>
      <c r="AT1793" s="778"/>
      <c r="AU1793" s="778"/>
      <c r="AV1793" s="778"/>
      <c r="AW1793" s="778"/>
      <c r="AX1793" s="778"/>
      <c r="AY1793" s="778"/>
      <c r="AZ1793" s="778"/>
      <c r="BA1793" s="778"/>
      <c r="BB1793" s="778"/>
      <c r="BC1793" s="778"/>
      <c r="BD1793" s="778"/>
      <c r="BE1793" s="778"/>
      <c r="BF1793" s="778"/>
      <c r="BG1793" s="778"/>
      <c r="BH1793" s="778"/>
      <c r="BI1793" s="778"/>
      <c r="BJ1793" s="778"/>
      <c r="BK1793" s="778"/>
      <c r="BL1793" s="778"/>
      <c r="BM1793" s="778"/>
      <c r="BN1793" s="778"/>
      <c r="BO1793" s="778"/>
      <c r="BP1793" s="778"/>
      <c r="BQ1793" s="778"/>
      <c r="BR1793" s="778"/>
      <c r="BS1793" s="778"/>
      <c r="BT1793" s="778"/>
      <c r="BU1793" s="778"/>
      <c r="BV1793" s="778"/>
      <c r="BW1793" s="778"/>
      <c r="BX1793" s="778"/>
      <c r="BY1793" s="778"/>
      <c r="BZ1793" s="778"/>
      <c r="CA1793" s="778"/>
      <c r="CB1793" s="778"/>
      <c r="CC1793" s="778"/>
      <c r="CD1793" s="778"/>
      <c r="CE1793" s="778"/>
      <c r="CF1793" s="778"/>
      <c r="CG1793" s="778"/>
      <c r="CH1793" s="778"/>
      <c r="CI1793" s="778"/>
      <c r="CJ1793" s="778"/>
      <c r="CK1793" s="778"/>
      <c r="CL1793" s="778"/>
      <c r="CM1793" s="778"/>
      <c r="CN1793" s="778"/>
      <c r="CO1793" s="778"/>
      <c r="CP1793" s="778"/>
      <c r="CQ1793" s="778"/>
      <c r="CR1793" s="778"/>
      <c r="CS1793" s="778"/>
      <c r="CT1793" s="778"/>
      <c r="CU1793" s="778"/>
      <c r="CV1793" s="778"/>
      <c r="CW1793" s="778"/>
      <c r="CX1793" s="778"/>
      <c r="CY1793" s="778"/>
      <c r="CZ1793" s="778"/>
      <c r="DA1793" s="778"/>
      <c r="DB1793" s="778"/>
      <c r="DC1793" s="778"/>
      <c r="DD1793" s="778"/>
      <c r="DE1793" s="778"/>
      <c r="DF1793" s="778"/>
      <c r="DG1793" s="778"/>
      <c r="DH1793" s="778"/>
      <c r="DI1793" s="778"/>
      <c r="DJ1793" s="778"/>
      <c r="DK1793" s="778"/>
      <c r="DL1793" s="778"/>
      <c r="DM1793" s="778"/>
      <c r="DN1793" s="778"/>
      <c r="DO1793" s="778"/>
      <c r="DP1793" s="778"/>
    </row>
    <row r="1794" spans="1:120" s="779" customFormat="1" ht="15" customHeight="1">
      <c r="A1794" s="772" t="s">
        <v>2836</v>
      </c>
      <c r="B1794" s="38">
        <v>25</v>
      </c>
      <c r="C1794" s="38" t="s">
        <v>37</v>
      </c>
      <c r="D1794" s="781">
        <v>30</v>
      </c>
      <c r="E1794" s="774" t="s">
        <v>2850</v>
      </c>
      <c r="F1794" s="775">
        <f>ROUNDUP(H1794/0.6/115,2)</f>
        <v>0.64</v>
      </c>
      <c r="G1794" s="776">
        <v>1320</v>
      </c>
      <c r="H1794" s="776">
        <f>G1794/30</f>
        <v>44</v>
      </c>
      <c r="I1794" s="777">
        <f>(((F1794*J1794)-H1794)/(F1794*J1794))</f>
        <v>0.40217391304347833</v>
      </c>
      <c r="J1794" s="778">
        <v>115</v>
      </c>
      <c r="K1794" s="778"/>
      <c r="L1794" s="778"/>
      <c r="M1794" s="778"/>
      <c r="N1794" s="778"/>
      <c r="O1794" s="778"/>
      <c r="P1794" s="778"/>
      <c r="Q1794" s="778"/>
      <c r="R1794" s="778"/>
      <c r="S1794" s="778"/>
      <c r="T1794" s="778"/>
      <c r="U1794" s="778"/>
      <c r="V1794" s="778"/>
      <c r="W1794" s="778"/>
      <c r="X1794" s="778"/>
      <c r="Y1794" s="778"/>
      <c r="Z1794" s="778"/>
      <c r="AA1794" s="778"/>
      <c r="AB1794" s="778"/>
      <c r="AC1794" s="778"/>
      <c r="AD1794" s="778"/>
      <c r="AE1794" s="778"/>
      <c r="AF1794" s="778"/>
      <c r="AG1794" s="778"/>
      <c r="AH1794" s="778"/>
      <c r="AI1794" s="778"/>
      <c r="AJ1794" s="778"/>
      <c r="AK1794" s="778"/>
      <c r="AL1794" s="778"/>
      <c r="AM1794" s="778"/>
      <c r="AN1794" s="778"/>
      <c r="AO1794" s="778"/>
      <c r="AP1794" s="778"/>
      <c r="AQ1794" s="778"/>
      <c r="AR1794" s="778"/>
      <c r="AS1794" s="778"/>
      <c r="AT1794" s="778"/>
      <c r="AU1794" s="778"/>
      <c r="AV1794" s="778"/>
      <c r="AW1794" s="778"/>
      <c r="AX1794" s="778"/>
      <c r="AY1794" s="778"/>
      <c r="AZ1794" s="778"/>
      <c r="BA1794" s="778"/>
      <c r="BB1794" s="778"/>
      <c r="BC1794" s="778"/>
      <c r="BD1794" s="778"/>
      <c r="BE1794" s="778"/>
      <c r="BF1794" s="778"/>
      <c r="BG1794" s="778"/>
      <c r="BH1794" s="778"/>
      <c r="BI1794" s="778"/>
      <c r="BJ1794" s="778"/>
      <c r="BK1794" s="778"/>
      <c r="BL1794" s="778"/>
      <c r="BM1794" s="778"/>
      <c r="BN1794" s="778"/>
      <c r="BO1794" s="778"/>
      <c r="BP1794" s="778"/>
      <c r="BQ1794" s="778"/>
      <c r="BR1794" s="778"/>
      <c r="BS1794" s="778"/>
      <c r="BT1794" s="778"/>
      <c r="BU1794" s="778"/>
      <c r="BV1794" s="778"/>
      <c r="BW1794" s="778"/>
      <c r="BX1794" s="778"/>
      <c r="BY1794" s="778"/>
      <c r="BZ1794" s="778"/>
      <c r="CA1794" s="778"/>
      <c r="CB1794" s="778"/>
      <c r="CC1794" s="778"/>
      <c r="CD1794" s="778"/>
      <c r="CE1794" s="778"/>
      <c r="CF1794" s="778"/>
      <c r="CG1794" s="778"/>
      <c r="CH1794" s="778"/>
      <c r="CI1794" s="778"/>
      <c r="CJ1794" s="778"/>
      <c r="CK1794" s="778"/>
      <c r="CL1794" s="778"/>
      <c r="CM1794" s="778"/>
      <c r="CN1794" s="778"/>
      <c r="CO1794" s="778"/>
      <c r="CP1794" s="778"/>
      <c r="CQ1794" s="778"/>
      <c r="CR1794" s="778"/>
      <c r="CS1794" s="778"/>
      <c r="CT1794" s="778"/>
      <c r="CU1794" s="778"/>
      <c r="CV1794" s="778"/>
      <c r="CW1794" s="778"/>
      <c r="CX1794" s="778"/>
      <c r="CY1794" s="778"/>
      <c r="CZ1794" s="778"/>
      <c r="DA1794" s="778"/>
      <c r="DB1794" s="778"/>
      <c r="DC1794" s="778"/>
      <c r="DD1794" s="778"/>
      <c r="DE1794" s="778"/>
      <c r="DF1794" s="778"/>
      <c r="DG1794" s="778"/>
      <c r="DH1794" s="778"/>
      <c r="DI1794" s="778"/>
      <c r="DJ1794" s="778"/>
      <c r="DK1794" s="778"/>
      <c r="DL1794" s="778"/>
      <c r="DM1794" s="778"/>
      <c r="DN1794" s="778"/>
      <c r="DO1794" s="778"/>
      <c r="DP1794" s="778"/>
    </row>
    <row r="1795" spans="1:120" s="779" customFormat="1" ht="15" customHeight="1">
      <c r="A1795" s="772"/>
      <c r="B1795" s="38"/>
      <c r="C1795" s="38"/>
      <c r="D1795" s="773"/>
      <c r="E1795" s="774"/>
      <c r="F1795" s="775"/>
      <c r="G1795" s="776"/>
      <c r="H1795" s="776"/>
      <c r="I1795" s="777"/>
      <c r="J1795" s="778"/>
      <c r="K1795" s="778"/>
      <c r="L1795" s="778"/>
      <c r="M1795" s="778"/>
      <c r="N1795" s="778"/>
      <c r="O1795" s="778"/>
      <c r="P1795" s="778"/>
      <c r="Q1795" s="778"/>
      <c r="R1795" s="778"/>
      <c r="S1795" s="778"/>
      <c r="T1795" s="778"/>
      <c r="U1795" s="778"/>
      <c r="V1795" s="778"/>
      <c r="W1795" s="778"/>
      <c r="X1795" s="778"/>
      <c r="Y1795" s="778"/>
      <c r="Z1795" s="778"/>
      <c r="AA1795" s="778"/>
      <c r="AB1795" s="778"/>
      <c r="AC1795" s="778"/>
      <c r="AD1795" s="778"/>
      <c r="AE1795" s="778"/>
      <c r="AF1795" s="778"/>
      <c r="AG1795" s="778"/>
      <c r="AH1795" s="778"/>
      <c r="AI1795" s="778"/>
      <c r="AJ1795" s="778"/>
      <c r="AK1795" s="778"/>
      <c r="AL1795" s="778"/>
      <c r="AM1795" s="778"/>
      <c r="AN1795" s="778"/>
      <c r="AO1795" s="778"/>
      <c r="AP1795" s="778"/>
      <c r="AQ1795" s="778"/>
      <c r="AR1795" s="778"/>
      <c r="AS1795" s="778"/>
      <c r="AT1795" s="778"/>
      <c r="AU1795" s="778"/>
      <c r="AV1795" s="778"/>
      <c r="AW1795" s="778"/>
      <c r="AX1795" s="778"/>
      <c r="AY1795" s="778"/>
      <c r="AZ1795" s="778"/>
      <c r="BA1795" s="778"/>
      <c r="BB1795" s="778"/>
      <c r="BC1795" s="778"/>
      <c r="BD1795" s="778"/>
      <c r="BE1795" s="778"/>
      <c r="BF1795" s="778"/>
      <c r="BG1795" s="778"/>
      <c r="BH1795" s="778"/>
      <c r="BI1795" s="778"/>
      <c r="BJ1795" s="778"/>
      <c r="BK1795" s="778"/>
      <c r="BL1795" s="778"/>
      <c r="BM1795" s="778"/>
      <c r="BN1795" s="778"/>
      <c r="BO1795" s="778"/>
      <c r="BP1795" s="778"/>
      <c r="BQ1795" s="778"/>
      <c r="BR1795" s="778"/>
      <c r="BS1795" s="778"/>
      <c r="BT1795" s="778"/>
      <c r="BU1795" s="778"/>
      <c r="BV1795" s="778"/>
      <c r="BW1795" s="778"/>
      <c r="BX1795" s="778"/>
      <c r="BY1795" s="778"/>
      <c r="BZ1795" s="778"/>
      <c r="CA1795" s="778"/>
      <c r="CB1795" s="778"/>
      <c r="CC1795" s="778"/>
      <c r="CD1795" s="778"/>
      <c r="CE1795" s="778"/>
      <c r="CF1795" s="778"/>
      <c r="CG1795" s="778"/>
      <c r="CH1795" s="778"/>
      <c r="CI1795" s="778"/>
      <c r="CJ1795" s="778"/>
      <c r="CK1795" s="778"/>
      <c r="CL1795" s="778"/>
      <c r="CM1795" s="778"/>
      <c r="CN1795" s="778"/>
      <c r="CO1795" s="778"/>
      <c r="CP1795" s="778"/>
      <c r="CQ1795" s="778"/>
      <c r="CR1795" s="778"/>
      <c r="CS1795" s="778"/>
      <c r="CT1795" s="778"/>
      <c r="CU1795" s="778"/>
      <c r="CV1795" s="778"/>
      <c r="CW1795" s="778"/>
      <c r="CX1795" s="778"/>
      <c r="CY1795" s="778"/>
      <c r="CZ1795" s="778"/>
      <c r="DA1795" s="778"/>
      <c r="DB1795" s="778"/>
      <c r="DC1795" s="778"/>
      <c r="DD1795" s="778"/>
      <c r="DE1795" s="778"/>
      <c r="DF1795" s="778"/>
      <c r="DG1795" s="778"/>
      <c r="DH1795" s="778"/>
      <c r="DI1795" s="778"/>
      <c r="DJ1795" s="778"/>
      <c r="DK1795" s="778"/>
      <c r="DL1795" s="778"/>
      <c r="DM1795" s="778"/>
      <c r="DN1795" s="778"/>
      <c r="DO1795" s="778"/>
      <c r="DP1795" s="778"/>
    </row>
    <row r="1796" spans="1:120" s="779" customFormat="1" ht="15" customHeight="1">
      <c r="A1796" s="772" t="s">
        <v>2837</v>
      </c>
      <c r="B1796" s="38">
        <v>15</v>
      </c>
      <c r="C1796" s="38" t="s">
        <v>2841</v>
      </c>
      <c r="D1796" s="781">
        <v>30</v>
      </c>
      <c r="E1796" s="774" t="s">
        <v>2842</v>
      </c>
      <c r="F1796" s="775">
        <f>ROUNDUP(H1796/0.6/115,2)</f>
        <v>1.08</v>
      </c>
      <c r="G1796" s="776">
        <v>2220</v>
      </c>
      <c r="H1796" s="776">
        <f>G1796/30</f>
        <v>74</v>
      </c>
      <c r="I1796" s="777">
        <f>(((F1796*J1796)-H1796)/(F1796*J1796))</f>
        <v>0.40418679549114334</v>
      </c>
      <c r="J1796" s="778">
        <v>115</v>
      </c>
      <c r="K1796" s="778"/>
      <c r="L1796" s="778"/>
      <c r="M1796" s="778"/>
      <c r="N1796" s="778"/>
      <c r="O1796" s="778"/>
      <c r="P1796" s="778"/>
      <c r="Q1796" s="778"/>
      <c r="R1796" s="778"/>
      <c r="S1796" s="778"/>
      <c r="T1796" s="778"/>
      <c r="U1796" s="778"/>
      <c r="V1796" s="778"/>
      <c r="W1796" s="778"/>
      <c r="X1796" s="778"/>
      <c r="Y1796" s="778"/>
      <c r="Z1796" s="778"/>
      <c r="AA1796" s="778"/>
      <c r="AB1796" s="778"/>
      <c r="AC1796" s="778"/>
      <c r="AD1796" s="778"/>
      <c r="AE1796" s="778"/>
      <c r="AF1796" s="778"/>
      <c r="AG1796" s="778"/>
      <c r="AH1796" s="778"/>
      <c r="AI1796" s="778"/>
      <c r="AJ1796" s="778"/>
      <c r="AK1796" s="778"/>
      <c r="AL1796" s="778"/>
      <c r="AM1796" s="778"/>
      <c r="AN1796" s="778"/>
      <c r="AO1796" s="778"/>
      <c r="AP1796" s="778"/>
      <c r="AQ1796" s="778"/>
      <c r="AR1796" s="778"/>
      <c r="AS1796" s="778"/>
      <c r="AT1796" s="778"/>
      <c r="AU1796" s="778"/>
      <c r="AV1796" s="778"/>
      <c r="AW1796" s="778"/>
      <c r="AX1796" s="778"/>
      <c r="AY1796" s="778"/>
      <c r="AZ1796" s="778"/>
      <c r="BA1796" s="778"/>
      <c r="BB1796" s="778"/>
      <c r="BC1796" s="778"/>
      <c r="BD1796" s="778"/>
      <c r="BE1796" s="778"/>
      <c r="BF1796" s="778"/>
      <c r="BG1796" s="778"/>
      <c r="BH1796" s="778"/>
      <c r="BI1796" s="778"/>
      <c r="BJ1796" s="778"/>
      <c r="BK1796" s="778"/>
      <c r="BL1796" s="778"/>
      <c r="BM1796" s="778"/>
      <c r="BN1796" s="778"/>
      <c r="BO1796" s="778"/>
      <c r="BP1796" s="778"/>
      <c r="BQ1796" s="778"/>
      <c r="BR1796" s="778"/>
      <c r="BS1796" s="778"/>
      <c r="BT1796" s="778"/>
      <c r="BU1796" s="778"/>
      <c r="BV1796" s="778"/>
      <c r="BW1796" s="778"/>
      <c r="BX1796" s="778"/>
      <c r="BY1796" s="778"/>
      <c r="BZ1796" s="778"/>
      <c r="CA1796" s="778"/>
      <c r="CB1796" s="778"/>
      <c r="CC1796" s="778"/>
      <c r="CD1796" s="778"/>
      <c r="CE1796" s="778"/>
      <c r="CF1796" s="778"/>
      <c r="CG1796" s="778"/>
      <c r="CH1796" s="778"/>
      <c r="CI1796" s="778"/>
      <c r="CJ1796" s="778"/>
      <c r="CK1796" s="778"/>
      <c r="CL1796" s="778"/>
      <c r="CM1796" s="778"/>
      <c r="CN1796" s="778"/>
      <c r="CO1796" s="778"/>
      <c r="CP1796" s="778"/>
      <c r="CQ1796" s="778"/>
      <c r="CR1796" s="778"/>
      <c r="CS1796" s="778"/>
      <c r="CT1796" s="778"/>
      <c r="CU1796" s="778"/>
      <c r="CV1796" s="778"/>
      <c r="CW1796" s="778"/>
      <c r="CX1796" s="778"/>
      <c r="CY1796" s="778"/>
      <c r="CZ1796" s="778"/>
      <c r="DA1796" s="778"/>
      <c r="DB1796" s="778"/>
      <c r="DC1796" s="778"/>
      <c r="DD1796" s="778"/>
      <c r="DE1796" s="778"/>
      <c r="DF1796" s="778"/>
      <c r="DG1796" s="778"/>
      <c r="DH1796" s="778"/>
      <c r="DI1796" s="778"/>
      <c r="DJ1796" s="778"/>
      <c r="DK1796" s="778"/>
      <c r="DL1796" s="778"/>
      <c r="DM1796" s="778"/>
      <c r="DN1796" s="778"/>
      <c r="DO1796" s="778"/>
      <c r="DP1796" s="778"/>
    </row>
    <row r="1797" spans="1:120" s="779" customFormat="1" ht="15" customHeight="1">
      <c r="A1797" s="772" t="s">
        <v>2838</v>
      </c>
      <c r="B1797" s="38">
        <v>18</v>
      </c>
      <c r="C1797" s="38" t="s">
        <v>2841</v>
      </c>
      <c r="D1797" s="781">
        <v>30</v>
      </c>
      <c r="E1797" s="774" t="s">
        <v>2843</v>
      </c>
      <c r="F1797" s="775">
        <f>ROUNDUP(H1797/0.6/115,2)</f>
        <v>1.44</v>
      </c>
      <c r="G1797" s="776">
        <v>2970</v>
      </c>
      <c r="H1797" s="776">
        <f>G1797/30</f>
        <v>99</v>
      </c>
      <c r="I1797" s="777">
        <f>(((F1797*J1797)-H1797)/(F1797*J1797))</f>
        <v>0.40217391304347822</v>
      </c>
      <c r="J1797" s="778">
        <v>115</v>
      </c>
      <c r="K1797" s="778"/>
      <c r="L1797" s="778"/>
      <c r="M1797" s="778"/>
      <c r="N1797" s="778"/>
      <c r="O1797" s="778"/>
      <c r="P1797" s="778"/>
      <c r="Q1797" s="778"/>
      <c r="R1797" s="778"/>
      <c r="S1797" s="778"/>
      <c r="T1797" s="778"/>
      <c r="U1797" s="778"/>
      <c r="V1797" s="778"/>
      <c r="W1797" s="778"/>
      <c r="X1797" s="778"/>
      <c r="Y1797" s="778"/>
      <c r="Z1797" s="778"/>
      <c r="AA1797" s="778"/>
      <c r="AB1797" s="778"/>
      <c r="AC1797" s="778"/>
      <c r="AD1797" s="778"/>
      <c r="AE1797" s="778"/>
      <c r="AF1797" s="778"/>
      <c r="AG1797" s="778"/>
      <c r="AH1797" s="778"/>
      <c r="AI1797" s="778"/>
      <c r="AJ1797" s="778"/>
      <c r="AK1797" s="778"/>
      <c r="AL1797" s="778"/>
      <c r="AM1797" s="778"/>
      <c r="AN1797" s="778"/>
      <c r="AO1797" s="778"/>
      <c r="AP1797" s="778"/>
      <c r="AQ1797" s="778"/>
      <c r="AR1797" s="778"/>
      <c r="AS1797" s="778"/>
      <c r="AT1797" s="778"/>
      <c r="AU1797" s="778"/>
      <c r="AV1797" s="778"/>
      <c r="AW1797" s="778"/>
      <c r="AX1797" s="778"/>
      <c r="AY1797" s="778"/>
      <c r="AZ1797" s="778"/>
      <c r="BA1797" s="778"/>
      <c r="BB1797" s="778"/>
      <c r="BC1797" s="778"/>
      <c r="BD1797" s="778"/>
      <c r="BE1797" s="778"/>
      <c r="BF1797" s="778"/>
      <c r="BG1797" s="778"/>
      <c r="BH1797" s="778"/>
      <c r="BI1797" s="778"/>
      <c r="BJ1797" s="778"/>
      <c r="BK1797" s="778"/>
      <c r="BL1797" s="778"/>
      <c r="BM1797" s="778"/>
      <c r="BN1797" s="778"/>
      <c r="BO1797" s="778"/>
      <c r="BP1797" s="778"/>
      <c r="BQ1797" s="778"/>
      <c r="BR1797" s="778"/>
      <c r="BS1797" s="778"/>
      <c r="BT1797" s="778"/>
      <c r="BU1797" s="778"/>
      <c r="BV1797" s="778"/>
      <c r="BW1797" s="778"/>
      <c r="BX1797" s="778"/>
      <c r="BY1797" s="778"/>
      <c r="BZ1797" s="778"/>
      <c r="CA1797" s="778"/>
      <c r="CB1797" s="778"/>
      <c r="CC1797" s="778"/>
      <c r="CD1797" s="778"/>
      <c r="CE1797" s="778"/>
      <c r="CF1797" s="778"/>
      <c r="CG1797" s="778"/>
      <c r="CH1797" s="778"/>
      <c r="CI1797" s="778"/>
      <c r="CJ1797" s="778"/>
      <c r="CK1797" s="778"/>
      <c r="CL1797" s="778"/>
      <c r="CM1797" s="778"/>
      <c r="CN1797" s="778"/>
      <c r="CO1797" s="778"/>
      <c r="CP1797" s="778"/>
      <c r="CQ1797" s="778"/>
      <c r="CR1797" s="778"/>
      <c r="CS1797" s="778"/>
      <c r="CT1797" s="778"/>
      <c r="CU1797" s="778"/>
      <c r="CV1797" s="778"/>
      <c r="CW1797" s="778"/>
      <c r="CX1797" s="778"/>
      <c r="CY1797" s="778"/>
      <c r="CZ1797" s="778"/>
      <c r="DA1797" s="778"/>
      <c r="DB1797" s="778"/>
      <c r="DC1797" s="778"/>
      <c r="DD1797" s="778"/>
      <c r="DE1797" s="778"/>
      <c r="DF1797" s="778"/>
      <c r="DG1797" s="778"/>
      <c r="DH1797" s="778"/>
      <c r="DI1797" s="778"/>
      <c r="DJ1797" s="778"/>
      <c r="DK1797" s="778"/>
      <c r="DL1797" s="778"/>
      <c r="DM1797" s="778"/>
      <c r="DN1797" s="778"/>
      <c r="DO1797" s="778"/>
      <c r="DP1797" s="778"/>
    </row>
    <row r="1798" spans="1:120" s="779" customFormat="1" ht="15" customHeight="1">
      <c r="A1798" s="772" t="s">
        <v>2839</v>
      </c>
      <c r="B1798" s="38">
        <v>20</v>
      </c>
      <c r="C1798" s="38" t="s">
        <v>2841</v>
      </c>
      <c r="D1798" s="781">
        <v>30</v>
      </c>
      <c r="E1798" s="774" t="s">
        <v>2843</v>
      </c>
      <c r="F1798" s="775">
        <f>ROUNDUP(H1798/0.6/115,2)</f>
        <v>1.56</v>
      </c>
      <c r="G1798" s="776">
        <v>3210</v>
      </c>
      <c r="H1798" s="776">
        <f>G1798/30</f>
        <v>107</v>
      </c>
      <c r="I1798" s="777">
        <f>(((F1798*J1798)-H1798)/(F1798*J1798))</f>
        <v>0.40356744704570796</v>
      </c>
      <c r="J1798" s="778">
        <v>115</v>
      </c>
      <c r="K1798" s="778"/>
      <c r="L1798" s="778"/>
      <c r="M1798" s="778"/>
      <c r="N1798" s="778"/>
      <c r="O1798" s="778"/>
      <c r="P1798" s="778"/>
      <c r="Q1798" s="778"/>
      <c r="R1798" s="778"/>
      <c r="S1798" s="778"/>
      <c r="T1798" s="778"/>
      <c r="U1798" s="778"/>
      <c r="V1798" s="778"/>
      <c r="W1798" s="778"/>
      <c r="X1798" s="778"/>
      <c r="Y1798" s="778"/>
      <c r="Z1798" s="778"/>
      <c r="AA1798" s="778"/>
      <c r="AB1798" s="778"/>
      <c r="AC1798" s="778"/>
      <c r="AD1798" s="778"/>
      <c r="AE1798" s="778"/>
      <c r="AF1798" s="778"/>
      <c r="AG1798" s="778"/>
      <c r="AH1798" s="778"/>
      <c r="AI1798" s="778"/>
      <c r="AJ1798" s="778"/>
      <c r="AK1798" s="778"/>
      <c r="AL1798" s="778"/>
      <c r="AM1798" s="778"/>
      <c r="AN1798" s="778"/>
      <c r="AO1798" s="778"/>
      <c r="AP1798" s="778"/>
      <c r="AQ1798" s="778"/>
      <c r="AR1798" s="778"/>
      <c r="AS1798" s="778"/>
      <c r="AT1798" s="778"/>
      <c r="AU1798" s="778"/>
      <c r="AV1798" s="778"/>
      <c r="AW1798" s="778"/>
      <c r="AX1798" s="778"/>
      <c r="AY1798" s="778"/>
      <c r="AZ1798" s="778"/>
      <c r="BA1798" s="778"/>
      <c r="BB1798" s="778"/>
      <c r="BC1798" s="778"/>
      <c r="BD1798" s="778"/>
      <c r="BE1798" s="778"/>
      <c r="BF1798" s="778"/>
      <c r="BG1798" s="778"/>
      <c r="BH1798" s="778"/>
      <c r="BI1798" s="778"/>
      <c r="BJ1798" s="778"/>
      <c r="BK1798" s="778"/>
      <c r="BL1798" s="778"/>
      <c r="BM1798" s="778"/>
      <c r="BN1798" s="778"/>
      <c r="BO1798" s="778"/>
      <c r="BP1798" s="778"/>
      <c r="BQ1798" s="778"/>
      <c r="BR1798" s="778"/>
      <c r="BS1798" s="778"/>
      <c r="BT1798" s="778"/>
      <c r="BU1798" s="778"/>
      <c r="BV1798" s="778"/>
      <c r="BW1798" s="778"/>
      <c r="BX1798" s="778"/>
      <c r="BY1798" s="778"/>
      <c r="BZ1798" s="778"/>
      <c r="CA1798" s="778"/>
      <c r="CB1798" s="778"/>
      <c r="CC1798" s="778"/>
      <c r="CD1798" s="778"/>
      <c r="CE1798" s="778"/>
      <c r="CF1798" s="778"/>
      <c r="CG1798" s="778"/>
      <c r="CH1798" s="778"/>
      <c r="CI1798" s="778"/>
      <c r="CJ1798" s="778"/>
      <c r="CK1798" s="778"/>
      <c r="CL1798" s="778"/>
      <c r="CM1798" s="778"/>
      <c r="CN1798" s="778"/>
      <c r="CO1798" s="778"/>
      <c r="CP1798" s="778"/>
      <c r="CQ1798" s="778"/>
      <c r="CR1798" s="778"/>
      <c r="CS1798" s="778"/>
      <c r="CT1798" s="778"/>
      <c r="CU1798" s="778"/>
      <c r="CV1798" s="778"/>
      <c r="CW1798" s="778"/>
      <c r="CX1798" s="778"/>
      <c r="CY1798" s="778"/>
      <c r="CZ1798" s="778"/>
      <c r="DA1798" s="778"/>
      <c r="DB1798" s="778"/>
      <c r="DC1798" s="778"/>
      <c r="DD1798" s="778"/>
      <c r="DE1798" s="778"/>
      <c r="DF1798" s="778"/>
      <c r="DG1798" s="778"/>
      <c r="DH1798" s="778"/>
      <c r="DI1798" s="778"/>
      <c r="DJ1798" s="778"/>
      <c r="DK1798" s="778"/>
      <c r="DL1798" s="778"/>
      <c r="DM1798" s="778"/>
      <c r="DN1798" s="778"/>
      <c r="DO1798" s="778"/>
      <c r="DP1798" s="778"/>
    </row>
    <row r="1799" spans="1:120" s="779" customFormat="1" ht="15" customHeight="1">
      <c r="A1799" s="772" t="s">
        <v>2840</v>
      </c>
      <c r="B1799" s="38">
        <v>25</v>
      </c>
      <c r="C1799" s="38" t="s">
        <v>2841</v>
      </c>
      <c r="D1799" s="781">
        <v>30</v>
      </c>
      <c r="E1799" s="774" t="s">
        <v>2843</v>
      </c>
      <c r="F1799" s="775">
        <f>ROUNDUP(H1799/0.6/115,2)</f>
        <v>1.76</v>
      </c>
      <c r="G1799" s="776">
        <v>3630</v>
      </c>
      <c r="H1799" s="776">
        <f>G1799/30</f>
        <v>121</v>
      </c>
      <c r="I1799" s="777">
        <f>(((F1799*J1799)-H1799)/(F1799*J1799))</f>
        <v>0.40217391304347827</v>
      </c>
      <c r="J1799" s="778">
        <v>115</v>
      </c>
      <c r="K1799" s="778"/>
      <c r="L1799" s="778"/>
      <c r="M1799" s="778"/>
      <c r="N1799" s="778"/>
      <c r="O1799" s="778"/>
      <c r="P1799" s="778"/>
      <c r="Q1799" s="778"/>
      <c r="R1799" s="778"/>
      <c r="S1799" s="778"/>
      <c r="T1799" s="778"/>
      <c r="U1799" s="778"/>
      <c r="V1799" s="778"/>
      <c r="W1799" s="778"/>
      <c r="X1799" s="778"/>
      <c r="Y1799" s="778"/>
      <c r="Z1799" s="778"/>
      <c r="AA1799" s="778"/>
      <c r="AB1799" s="778"/>
      <c r="AC1799" s="778"/>
      <c r="AD1799" s="778"/>
      <c r="AE1799" s="778"/>
      <c r="AF1799" s="778"/>
      <c r="AG1799" s="778"/>
      <c r="AH1799" s="778"/>
      <c r="AI1799" s="778"/>
      <c r="AJ1799" s="778"/>
      <c r="AK1799" s="778"/>
      <c r="AL1799" s="778"/>
      <c r="AM1799" s="778"/>
      <c r="AN1799" s="778"/>
      <c r="AO1799" s="778"/>
      <c r="AP1799" s="778"/>
      <c r="AQ1799" s="778"/>
      <c r="AR1799" s="778"/>
      <c r="AS1799" s="778"/>
      <c r="AT1799" s="778"/>
      <c r="AU1799" s="778"/>
      <c r="AV1799" s="778"/>
      <c r="AW1799" s="778"/>
      <c r="AX1799" s="778"/>
      <c r="AY1799" s="778"/>
      <c r="AZ1799" s="778"/>
      <c r="BA1799" s="778"/>
      <c r="BB1799" s="778"/>
      <c r="BC1799" s="778"/>
      <c r="BD1799" s="778"/>
      <c r="BE1799" s="778"/>
      <c r="BF1799" s="778"/>
      <c r="BG1799" s="778"/>
      <c r="BH1799" s="778"/>
      <c r="BI1799" s="778"/>
      <c r="BJ1799" s="778"/>
      <c r="BK1799" s="778"/>
      <c r="BL1799" s="778"/>
      <c r="BM1799" s="778"/>
      <c r="BN1799" s="778"/>
      <c r="BO1799" s="778"/>
      <c r="BP1799" s="778"/>
      <c r="BQ1799" s="778"/>
      <c r="BR1799" s="778"/>
      <c r="BS1799" s="778"/>
      <c r="BT1799" s="778"/>
      <c r="BU1799" s="778"/>
      <c r="BV1799" s="778"/>
      <c r="BW1799" s="778"/>
      <c r="BX1799" s="778"/>
      <c r="BY1799" s="778"/>
      <c r="BZ1799" s="778"/>
      <c r="CA1799" s="778"/>
      <c r="CB1799" s="778"/>
      <c r="CC1799" s="778"/>
      <c r="CD1799" s="778"/>
      <c r="CE1799" s="778"/>
      <c r="CF1799" s="778"/>
      <c r="CG1799" s="778"/>
      <c r="CH1799" s="778"/>
      <c r="CI1799" s="778"/>
      <c r="CJ1799" s="778"/>
      <c r="CK1799" s="778"/>
      <c r="CL1799" s="778"/>
      <c r="CM1799" s="778"/>
      <c r="CN1799" s="778"/>
      <c r="CO1799" s="778"/>
      <c r="CP1799" s="778"/>
      <c r="CQ1799" s="778"/>
      <c r="CR1799" s="778"/>
      <c r="CS1799" s="778"/>
      <c r="CT1799" s="778"/>
      <c r="CU1799" s="778"/>
      <c r="CV1799" s="778"/>
      <c r="CW1799" s="778"/>
      <c r="CX1799" s="778"/>
      <c r="CY1799" s="778"/>
      <c r="CZ1799" s="778"/>
      <c r="DA1799" s="778"/>
      <c r="DB1799" s="778"/>
      <c r="DC1799" s="778"/>
      <c r="DD1799" s="778"/>
      <c r="DE1799" s="778"/>
      <c r="DF1799" s="778"/>
      <c r="DG1799" s="778"/>
      <c r="DH1799" s="778"/>
      <c r="DI1799" s="778"/>
      <c r="DJ1799" s="778"/>
      <c r="DK1799" s="778"/>
      <c r="DL1799" s="778"/>
      <c r="DM1799" s="778"/>
      <c r="DN1799" s="778"/>
      <c r="DO1799" s="778"/>
      <c r="DP1799" s="778"/>
    </row>
    <row r="1800" spans="1:120" s="779" customFormat="1" ht="15" customHeight="1">
      <c r="A1800" s="772"/>
      <c r="B1800" s="38"/>
      <c r="C1800" s="38"/>
      <c r="D1800" s="773"/>
      <c r="E1800" s="774"/>
      <c r="F1800" s="775"/>
      <c r="G1800" s="776"/>
      <c r="H1800" s="776"/>
      <c r="I1800" s="777"/>
      <c r="J1800" s="778"/>
      <c r="K1800" s="778"/>
      <c r="L1800" s="778"/>
      <c r="M1800" s="778"/>
      <c r="N1800" s="778"/>
      <c r="O1800" s="778"/>
      <c r="P1800" s="778"/>
      <c r="Q1800" s="778"/>
      <c r="R1800" s="778"/>
      <c r="S1800" s="778"/>
      <c r="T1800" s="778"/>
      <c r="U1800" s="778"/>
      <c r="V1800" s="778"/>
      <c r="W1800" s="778"/>
      <c r="X1800" s="778"/>
      <c r="Y1800" s="778"/>
      <c r="Z1800" s="778"/>
      <c r="AA1800" s="778"/>
      <c r="AB1800" s="778"/>
      <c r="AC1800" s="778"/>
      <c r="AD1800" s="778"/>
      <c r="AE1800" s="778"/>
      <c r="AF1800" s="778"/>
      <c r="AG1800" s="778"/>
      <c r="AH1800" s="778"/>
      <c r="AI1800" s="778"/>
      <c r="AJ1800" s="778"/>
      <c r="AK1800" s="778"/>
      <c r="AL1800" s="778"/>
      <c r="AM1800" s="778"/>
      <c r="AN1800" s="778"/>
      <c r="AO1800" s="778"/>
      <c r="AP1800" s="778"/>
      <c r="AQ1800" s="778"/>
      <c r="AR1800" s="778"/>
      <c r="AS1800" s="778"/>
      <c r="AT1800" s="778"/>
      <c r="AU1800" s="778"/>
      <c r="AV1800" s="778"/>
      <c r="AW1800" s="778"/>
      <c r="AX1800" s="778"/>
      <c r="AY1800" s="778"/>
      <c r="AZ1800" s="778"/>
      <c r="BA1800" s="778"/>
      <c r="BB1800" s="778"/>
      <c r="BC1800" s="778"/>
      <c r="BD1800" s="778"/>
      <c r="BE1800" s="778"/>
      <c r="BF1800" s="778"/>
      <c r="BG1800" s="778"/>
      <c r="BH1800" s="778"/>
      <c r="BI1800" s="778"/>
      <c r="BJ1800" s="778"/>
      <c r="BK1800" s="778"/>
      <c r="BL1800" s="778"/>
      <c r="BM1800" s="778"/>
      <c r="BN1800" s="778"/>
      <c r="BO1800" s="778"/>
      <c r="BP1800" s="778"/>
      <c r="BQ1800" s="778"/>
      <c r="BR1800" s="778"/>
      <c r="BS1800" s="778"/>
      <c r="BT1800" s="778"/>
      <c r="BU1800" s="778"/>
      <c r="BV1800" s="778"/>
      <c r="BW1800" s="778"/>
      <c r="BX1800" s="778"/>
      <c r="BY1800" s="778"/>
      <c r="BZ1800" s="778"/>
      <c r="CA1800" s="778"/>
      <c r="CB1800" s="778"/>
      <c r="CC1800" s="778"/>
      <c r="CD1800" s="778"/>
      <c r="CE1800" s="778"/>
      <c r="CF1800" s="778"/>
      <c r="CG1800" s="778"/>
      <c r="CH1800" s="778"/>
      <c r="CI1800" s="778"/>
      <c r="CJ1800" s="778"/>
      <c r="CK1800" s="778"/>
      <c r="CL1800" s="778"/>
      <c r="CM1800" s="778"/>
      <c r="CN1800" s="778"/>
      <c r="CO1800" s="778"/>
      <c r="CP1800" s="778"/>
      <c r="CQ1800" s="778"/>
      <c r="CR1800" s="778"/>
      <c r="CS1800" s="778"/>
      <c r="CT1800" s="778"/>
      <c r="CU1800" s="778"/>
      <c r="CV1800" s="778"/>
      <c r="CW1800" s="778"/>
      <c r="CX1800" s="778"/>
      <c r="CY1800" s="778"/>
      <c r="CZ1800" s="778"/>
      <c r="DA1800" s="778"/>
      <c r="DB1800" s="778"/>
      <c r="DC1800" s="778"/>
      <c r="DD1800" s="778"/>
      <c r="DE1800" s="778"/>
      <c r="DF1800" s="778"/>
      <c r="DG1800" s="778"/>
      <c r="DH1800" s="778"/>
      <c r="DI1800" s="778"/>
      <c r="DJ1800" s="778"/>
      <c r="DK1800" s="778"/>
      <c r="DL1800" s="778"/>
      <c r="DM1800" s="778"/>
      <c r="DN1800" s="778"/>
      <c r="DO1800" s="778"/>
      <c r="DP1800" s="778"/>
    </row>
    <row r="1801" spans="1:120" s="779" customFormat="1" ht="15" customHeight="1">
      <c r="A1801" s="772" t="s">
        <v>2844</v>
      </c>
      <c r="B1801" s="38">
        <v>15</v>
      </c>
      <c r="C1801" s="38" t="s">
        <v>2848</v>
      </c>
      <c r="D1801" s="781">
        <v>30</v>
      </c>
      <c r="E1801" s="774" t="s">
        <v>2842</v>
      </c>
      <c r="F1801" s="775" t="s">
        <v>2851</v>
      </c>
      <c r="G1801" s="775" t="s">
        <v>2851</v>
      </c>
      <c r="H1801" s="776" t="e">
        <f>G1801/30</f>
        <v>#VALUE!</v>
      </c>
      <c r="I1801" s="777" t="e">
        <f>(((F1801*J1801)-H1801)/(F1801*J1801))</f>
        <v>#VALUE!</v>
      </c>
      <c r="J1801" s="778">
        <v>115</v>
      </c>
      <c r="K1801" s="778"/>
      <c r="L1801" s="778"/>
      <c r="M1801" s="778"/>
      <c r="N1801" s="778"/>
      <c r="O1801" s="778"/>
      <c r="P1801" s="778"/>
      <c r="Q1801" s="778"/>
      <c r="R1801" s="778"/>
      <c r="S1801" s="778"/>
      <c r="T1801" s="778"/>
      <c r="U1801" s="778"/>
      <c r="V1801" s="778"/>
      <c r="W1801" s="778"/>
      <c r="X1801" s="778"/>
      <c r="Y1801" s="778"/>
      <c r="Z1801" s="778"/>
      <c r="AA1801" s="778"/>
      <c r="AB1801" s="778"/>
      <c r="AC1801" s="778"/>
      <c r="AD1801" s="778"/>
      <c r="AE1801" s="778"/>
      <c r="AF1801" s="778"/>
      <c r="AG1801" s="778"/>
      <c r="AH1801" s="778"/>
      <c r="AI1801" s="778"/>
      <c r="AJ1801" s="778"/>
      <c r="AK1801" s="778"/>
      <c r="AL1801" s="778"/>
      <c r="AM1801" s="778"/>
      <c r="AN1801" s="778"/>
      <c r="AO1801" s="778"/>
      <c r="AP1801" s="778"/>
      <c r="AQ1801" s="778"/>
      <c r="AR1801" s="778"/>
      <c r="AS1801" s="778"/>
      <c r="AT1801" s="778"/>
      <c r="AU1801" s="778"/>
      <c r="AV1801" s="778"/>
      <c r="AW1801" s="778"/>
      <c r="AX1801" s="778"/>
      <c r="AY1801" s="778"/>
      <c r="AZ1801" s="778"/>
      <c r="BA1801" s="778"/>
      <c r="BB1801" s="778"/>
      <c r="BC1801" s="778"/>
      <c r="BD1801" s="778"/>
      <c r="BE1801" s="778"/>
      <c r="BF1801" s="778"/>
      <c r="BG1801" s="778"/>
      <c r="BH1801" s="778"/>
      <c r="BI1801" s="778"/>
      <c r="BJ1801" s="778"/>
      <c r="BK1801" s="778"/>
      <c r="BL1801" s="778"/>
      <c r="BM1801" s="778"/>
      <c r="BN1801" s="778"/>
      <c r="BO1801" s="778"/>
      <c r="BP1801" s="778"/>
      <c r="BQ1801" s="778"/>
      <c r="BR1801" s="778"/>
      <c r="BS1801" s="778"/>
      <c r="BT1801" s="778"/>
      <c r="BU1801" s="778"/>
      <c r="BV1801" s="778"/>
      <c r="BW1801" s="778"/>
      <c r="BX1801" s="778"/>
      <c r="BY1801" s="778"/>
      <c r="BZ1801" s="778"/>
      <c r="CA1801" s="778"/>
      <c r="CB1801" s="778"/>
      <c r="CC1801" s="778"/>
      <c r="CD1801" s="778"/>
      <c r="CE1801" s="778"/>
      <c r="CF1801" s="778"/>
      <c r="CG1801" s="778"/>
      <c r="CH1801" s="778"/>
      <c r="CI1801" s="778"/>
      <c r="CJ1801" s="778"/>
      <c r="CK1801" s="778"/>
      <c r="CL1801" s="778"/>
      <c r="CM1801" s="778"/>
      <c r="CN1801" s="778"/>
      <c r="CO1801" s="778"/>
      <c r="CP1801" s="778"/>
      <c r="CQ1801" s="778"/>
      <c r="CR1801" s="778"/>
      <c r="CS1801" s="778"/>
      <c r="CT1801" s="778"/>
      <c r="CU1801" s="778"/>
      <c r="CV1801" s="778"/>
      <c r="CW1801" s="778"/>
      <c r="CX1801" s="778"/>
      <c r="CY1801" s="778"/>
      <c r="CZ1801" s="778"/>
      <c r="DA1801" s="778"/>
      <c r="DB1801" s="778"/>
      <c r="DC1801" s="778"/>
      <c r="DD1801" s="778"/>
      <c r="DE1801" s="778"/>
      <c r="DF1801" s="778"/>
      <c r="DG1801" s="778"/>
      <c r="DH1801" s="778"/>
      <c r="DI1801" s="778"/>
      <c r="DJ1801" s="778"/>
      <c r="DK1801" s="778"/>
      <c r="DL1801" s="778"/>
      <c r="DM1801" s="778"/>
      <c r="DN1801" s="778"/>
      <c r="DO1801" s="778"/>
      <c r="DP1801" s="778"/>
    </row>
    <row r="1802" spans="1:120" s="779" customFormat="1" ht="15" customHeight="1">
      <c r="A1802" s="772" t="s">
        <v>2845</v>
      </c>
      <c r="B1802" s="38">
        <v>18</v>
      </c>
      <c r="C1802" s="38" t="s">
        <v>2848</v>
      </c>
      <c r="D1802" s="781">
        <v>30</v>
      </c>
      <c r="E1802" s="774" t="s">
        <v>2842</v>
      </c>
      <c r="F1802" s="775" t="s">
        <v>2851</v>
      </c>
      <c r="G1802" s="775" t="s">
        <v>2851</v>
      </c>
      <c r="H1802" s="776" t="e">
        <f>G1802/30</f>
        <v>#VALUE!</v>
      </c>
      <c r="I1802" s="777" t="e">
        <f>(((F1802*J1802)-H1802)/(F1802*J1802))</f>
        <v>#VALUE!</v>
      </c>
      <c r="J1802" s="778">
        <v>115</v>
      </c>
      <c r="K1802" s="778"/>
      <c r="L1802" s="778"/>
      <c r="M1802" s="778"/>
      <c r="N1802" s="778"/>
      <c r="O1802" s="778"/>
      <c r="P1802" s="778"/>
      <c r="Q1802" s="778"/>
      <c r="R1802" s="778"/>
      <c r="S1802" s="778"/>
      <c r="T1802" s="778"/>
      <c r="U1802" s="778"/>
      <c r="V1802" s="778"/>
      <c r="W1802" s="778"/>
      <c r="X1802" s="778"/>
      <c r="Y1802" s="778"/>
      <c r="Z1802" s="778"/>
      <c r="AA1802" s="778"/>
      <c r="AB1802" s="778"/>
      <c r="AC1802" s="778"/>
      <c r="AD1802" s="778"/>
      <c r="AE1802" s="778"/>
      <c r="AF1802" s="778"/>
      <c r="AG1802" s="778"/>
      <c r="AH1802" s="778"/>
      <c r="AI1802" s="778"/>
      <c r="AJ1802" s="778"/>
      <c r="AK1802" s="778"/>
      <c r="AL1802" s="778"/>
      <c r="AM1802" s="778"/>
      <c r="AN1802" s="778"/>
      <c r="AO1802" s="778"/>
      <c r="AP1802" s="778"/>
      <c r="AQ1802" s="778"/>
      <c r="AR1802" s="778"/>
      <c r="AS1802" s="778"/>
      <c r="AT1802" s="778"/>
      <c r="AU1802" s="778"/>
      <c r="AV1802" s="778"/>
      <c r="AW1802" s="778"/>
      <c r="AX1802" s="778"/>
      <c r="AY1802" s="778"/>
      <c r="AZ1802" s="778"/>
      <c r="BA1802" s="778"/>
      <c r="BB1802" s="778"/>
      <c r="BC1802" s="778"/>
      <c r="BD1802" s="778"/>
      <c r="BE1802" s="778"/>
      <c r="BF1802" s="778"/>
      <c r="BG1802" s="778"/>
      <c r="BH1802" s="778"/>
      <c r="BI1802" s="778"/>
      <c r="BJ1802" s="778"/>
      <c r="BK1802" s="778"/>
      <c r="BL1802" s="778"/>
      <c r="BM1802" s="778"/>
      <c r="BN1802" s="778"/>
      <c r="BO1802" s="778"/>
      <c r="BP1802" s="778"/>
      <c r="BQ1802" s="778"/>
      <c r="BR1802" s="778"/>
      <c r="BS1802" s="778"/>
      <c r="BT1802" s="778"/>
      <c r="BU1802" s="778"/>
      <c r="BV1802" s="778"/>
      <c r="BW1802" s="778"/>
      <c r="BX1802" s="778"/>
      <c r="BY1802" s="778"/>
      <c r="BZ1802" s="778"/>
      <c r="CA1802" s="778"/>
      <c r="CB1802" s="778"/>
      <c r="CC1802" s="778"/>
      <c r="CD1802" s="778"/>
      <c r="CE1802" s="778"/>
      <c r="CF1802" s="778"/>
      <c r="CG1802" s="778"/>
      <c r="CH1802" s="778"/>
      <c r="CI1802" s="778"/>
      <c r="CJ1802" s="778"/>
      <c r="CK1802" s="778"/>
      <c r="CL1802" s="778"/>
      <c r="CM1802" s="778"/>
      <c r="CN1802" s="778"/>
      <c r="CO1802" s="778"/>
      <c r="CP1802" s="778"/>
      <c r="CQ1802" s="778"/>
      <c r="CR1802" s="778"/>
      <c r="CS1802" s="778"/>
      <c r="CT1802" s="778"/>
      <c r="CU1802" s="778"/>
      <c r="CV1802" s="778"/>
      <c r="CW1802" s="778"/>
      <c r="CX1802" s="778"/>
      <c r="CY1802" s="778"/>
      <c r="CZ1802" s="778"/>
      <c r="DA1802" s="778"/>
      <c r="DB1802" s="778"/>
      <c r="DC1802" s="778"/>
      <c r="DD1802" s="778"/>
      <c r="DE1802" s="778"/>
      <c r="DF1802" s="778"/>
      <c r="DG1802" s="778"/>
      <c r="DH1802" s="778"/>
      <c r="DI1802" s="778"/>
      <c r="DJ1802" s="778"/>
      <c r="DK1802" s="778"/>
      <c r="DL1802" s="778"/>
      <c r="DM1802" s="778"/>
      <c r="DN1802" s="778"/>
      <c r="DO1802" s="778"/>
      <c r="DP1802" s="778"/>
    </row>
    <row r="1803" spans="1:120" s="779" customFormat="1" ht="15" customHeight="1">
      <c r="A1803" s="772" t="s">
        <v>2846</v>
      </c>
      <c r="B1803" s="38">
        <v>20</v>
      </c>
      <c r="C1803" s="38" t="s">
        <v>2848</v>
      </c>
      <c r="D1803" s="781">
        <v>30</v>
      </c>
      <c r="E1803" s="774" t="s">
        <v>2842</v>
      </c>
      <c r="F1803" s="775" t="s">
        <v>2851</v>
      </c>
      <c r="G1803" s="775" t="s">
        <v>2851</v>
      </c>
      <c r="H1803" s="776" t="e">
        <f>G1803/30</f>
        <v>#VALUE!</v>
      </c>
      <c r="I1803" s="777" t="e">
        <f>(((F1803*J1803)-H1803)/(F1803*J1803))</f>
        <v>#VALUE!</v>
      </c>
      <c r="J1803" s="778">
        <v>115</v>
      </c>
      <c r="K1803" s="778"/>
      <c r="L1803" s="778"/>
      <c r="M1803" s="778"/>
      <c r="N1803" s="778"/>
      <c r="O1803" s="778"/>
      <c r="P1803" s="778"/>
      <c r="Q1803" s="778"/>
      <c r="R1803" s="778"/>
      <c r="S1803" s="778"/>
      <c r="T1803" s="778"/>
      <c r="U1803" s="778"/>
      <c r="V1803" s="778"/>
      <c r="W1803" s="778"/>
      <c r="X1803" s="778"/>
      <c r="Y1803" s="778"/>
      <c r="Z1803" s="778"/>
      <c r="AA1803" s="778"/>
      <c r="AB1803" s="778"/>
      <c r="AC1803" s="778"/>
      <c r="AD1803" s="778"/>
      <c r="AE1803" s="778"/>
      <c r="AF1803" s="778"/>
      <c r="AG1803" s="778"/>
      <c r="AH1803" s="778"/>
      <c r="AI1803" s="778"/>
      <c r="AJ1803" s="778"/>
      <c r="AK1803" s="778"/>
      <c r="AL1803" s="778"/>
      <c r="AM1803" s="778"/>
      <c r="AN1803" s="778"/>
      <c r="AO1803" s="778"/>
      <c r="AP1803" s="778"/>
      <c r="AQ1803" s="778"/>
      <c r="AR1803" s="778"/>
      <c r="AS1803" s="778"/>
      <c r="AT1803" s="778"/>
      <c r="AU1803" s="778"/>
      <c r="AV1803" s="778"/>
      <c r="AW1803" s="778"/>
      <c r="AX1803" s="778"/>
      <c r="AY1803" s="778"/>
      <c r="AZ1803" s="778"/>
      <c r="BA1803" s="778"/>
      <c r="BB1803" s="778"/>
      <c r="BC1803" s="778"/>
      <c r="BD1803" s="778"/>
      <c r="BE1803" s="778"/>
      <c r="BF1803" s="778"/>
      <c r="BG1803" s="778"/>
      <c r="BH1803" s="778"/>
      <c r="BI1803" s="778"/>
      <c r="BJ1803" s="778"/>
      <c r="BK1803" s="778"/>
      <c r="BL1803" s="778"/>
      <c r="BM1803" s="778"/>
      <c r="BN1803" s="778"/>
      <c r="BO1803" s="778"/>
      <c r="BP1803" s="778"/>
      <c r="BQ1803" s="778"/>
      <c r="BR1803" s="778"/>
      <c r="BS1803" s="778"/>
      <c r="BT1803" s="778"/>
      <c r="BU1803" s="778"/>
      <c r="BV1803" s="778"/>
      <c r="BW1803" s="778"/>
      <c r="BX1803" s="778"/>
      <c r="BY1803" s="778"/>
      <c r="BZ1803" s="778"/>
      <c r="CA1803" s="778"/>
      <c r="CB1803" s="778"/>
      <c r="CC1803" s="778"/>
      <c r="CD1803" s="778"/>
      <c r="CE1803" s="778"/>
      <c r="CF1803" s="778"/>
      <c r="CG1803" s="778"/>
      <c r="CH1803" s="778"/>
      <c r="CI1803" s="778"/>
      <c r="CJ1803" s="778"/>
      <c r="CK1803" s="778"/>
      <c r="CL1803" s="778"/>
      <c r="CM1803" s="778"/>
      <c r="CN1803" s="778"/>
      <c r="CO1803" s="778"/>
      <c r="CP1803" s="778"/>
      <c r="CQ1803" s="778"/>
      <c r="CR1803" s="778"/>
      <c r="CS1803" s="778"/>
      <c r="CT1803" s="778"/>
      <c r="CU1803" s="778"/>
      <c r="CV1803" s="778"/>
      <c r="CW1803" s="778"/>
      <c r="CX1803" s="778"/>
      <c r="CY1803" s="778"/>
      <c r="CZ1803" s="778"/>
      <c r="DA1803" s="778"/>
      <c r="DB1803" s="778"/>
      <c r="DC1803" s="778"/>
      <c r="DD1803" s="778"/>
      <c r="DE1803" s="778"/>
      <c r="DF1803" s="778"/>
      <c r="DG1803" s="778"/>
      <c r="DH1803" s="778"/>
      <c r="DI1803" s="778"/>
      <c r="DJ1803" s="778"/>
      <c r="DK1803" s="778"/>
      <c r="DL1803" s="778"/>
      <c r="DM1803" s="778"/>
      <c r="DN1803" s="778"/>
      <c r="DO1803" s="778"/>
      <c r="DP1803" s="778"/>
    </row>
    <row r="1804" spans="1:120" s="779" customFormat="1" ht="15" customHeight="1">
      <c r="A1804" s="772" t="s">
        <v>2847</v>
      </c>
      <c r="B1804" s="38">
        <v>25</v>
      </c>
      <c r="C1804" s="38" t="s">
        <v>2848</v>
      </c>
      <c r="D1804" s="781">
        <v>30</v>
      </c>
      <c r="E1804" s="774" t="s">
        <v>2842</v>
      </c>
      <c r="F1804" s="775" t="s">
        <v>2851</v>
      </c>
      <c r="G1804" s="775" t="s">
        <v>2851</v>
      </c>
      <c r="H1804" s="776" t="e">
        <f>G1804/30</f>
        <v>#VALUE!</v>
      </c>
      <c r="I1804" s="777" t="e">
        <f>(((F1804*J1804)-H1804)/(F1804*J1804))</f>
        <v>#VALUE!</v>
      </c>
      <c r="J1804" s="778">
        <v>115</v>
      </c>
      <c r="K1804" s="778"/>
      <c r="L1804" s="778"/>
      <c r="M1804" s="778"/>
      <c r="N1804" s="778"/>
      <c r="O1804" s="778"/>
      <c r="P1804" s="778"/>
      <c r="Q1804" s="778"/>
      <c r="R1804" s="778"/>
      <c r="S1804" s="778"/>
      <c r="T1804" s="778"/>
      <c r="U1804" s="778"/>
      <c r="V1804" s="778"/>
      <c r="W1804" s="778"/>
      <c r="X1804" s="778"/>
      <c r="Y1804" s="778"/>
      <c r="Z1804" s="778"/>
      <c r="AA1804" s="778"/>
      <c r="AB1804" s="778"/>
      <c r="AC1804" s="778"/>
      <c r="AD1804" s="778"/>
      <c r="AE1804" s="778"/>
      <c r="AF1804" s="778"/>
      <c r="AG1804" s="778"/>
      <c r="AH1804" s="778"/>
      <c r="AI1804" s="778"/>
      <c r="AJ1804" s="778"/>
      <c r="AK1804" s="778"/>
      <c r="AL1804" s="778"/>
      <c r="AM1804" s="778"/>
      <c r="AN1804" s="778"/>
      <c r="AO1804" s="778"/>
      <c r="AP1804" s="778"/>
      <c r="AQ1804" s="778"/>
      <c r="AR1804" s="778"/>
      <c r="AS1804" s="778"/>
      <c r="AT1804" s="778"/>
      <c r="AU1804" s="778"/>
      <c r="AV1804" s="778"/>
      <c r="AW1804" s="778"/>
      <c r="AX1804" s="778"/>
      <c r="AY1804" s="778"/>
      <c r="AZ1804" s="778"/>
      <c r="BA1804" s="778"/>
      <c r="BB1804" s="778"/>
      <c r="BC1804" s="778"/>
      <c r="BD1804" s="778"/>
      <c r="BE1804" s="778"/>
      <c r="BF1804" s="778"/>
      <c r="BG1804" s="778"/>
      <c r="BH1804" s="778"/>
      <c r="BI1804" s="778"/>
      <c r="BJ1804" s="778"/>
      <c r="BK1804" s="778"/>
      <c r="BL1804" s="778"/>
      <c r="BM1804" s="778"/>
      <c r="BN1804" s="778"/>
      <c r="BO1804" s="778"/>
      <c r="BP1804" s="778"/>
      <c r="BQ1804" s="778"/>
      <c r="BR1804" s="778"/>
      <c r="BS1804" s="778"/>
      <c r="BT1804" s="778"/>
      <c r="BU1804" s="778"/>
      <c r="BV1804" s="778"/>
      <c r="BW1804" s="778"/>
      <c r="BX1804" s="778"/>
      <c r="BY1804" s="778"/>
      <c r="BZ1804" s="778"/>
      <c r="CA1804" s="778"/>
      <c r="CB1804" s="778"/>
      <c r="CC1804" s="778"/>
      <c r="CD1804" s="778"/>
      <c r="CE1804" s="778"/>
      <c r="CF1804" s="778"/>
      <c r="CG1804" s="778"/>
      <c r="CH1804" s="778"/>
      <c r="CI1804" s="778"/>
      <c r="CJ1804" s="778"/>
      <c r="CK1804" s="778"/>
      <c r="CL1804" s="778"/>
      <c r="CM1804" s="778"/>
      <c r="CN1804" s="778"/>
      <c r="CO1804" s="778"/>
      <c r="CP1804" s="778"/>
      <c r="CQ1804" s="778"/>
      <c r="CR1804" s="778"/>
      <c r="CS1804" s="778"/>
      <c r="CT1804" s="778"/>
      <c r="CU1804" s="778"/>
      <c r="CV1804" s="778"/>
      <c r="CW1804" s="778"/>
      <c r="CX1804" s="778"/>
      <c r="CY1804" s="778"/>
      <c r="CZ1804" s="778"/>
      <c r="DA1804" s="778"/>
      <c r="DB1804" s="778"/>
      <c r="DC1804" s="778"/>
      <c r="DD1804" s="778"/>
      <c r="DE1804" s="778"/>
      <c r="DF1804" s="778"/>
      <c r="DG1804" s="778"/>
      <c r="DH1804" s="778"/>
      <c r="DI1804" s="778"/>
      <c r="DJ1804" s="778"/>
      <c r="DK1804" s="778"/>
      <c r="DL1804" s="778"/>
      <c r="DM1804" s="778"/>
      <c r="DN1804" s="778"/>
      <c r="DO1804" s="778"/>
      <c r="DP1804" s="778"/>
    </row>
    <row r="1807" spans="1:120">
      <c r="A1807" t="s">
        <v>2854</v>
      </c>
    </row>
    <row r="1808" spans="1:120" s="787" customFormat="1">
      <c r="A1808" s="783" t="s">
        <v>78</v>
      </c>
      <c r="B1808" s="784" t="s">
        <v>33</v>
      </c>
      <c r="C1808" s="784" t="s">
        <v>211</v>
      </c>
      <c r="D1808" s="784" t="s">
        <v>235</v>
      </c>
      <c r="E1808" s="785" t="s">
        <v>2855</v>
      </c>
      <c r="F1808" s="786" t="s">
        <v>2856</v>
      </c>
      <c r="G1808" s="766" t="s">
        <v>2821</v>
      </c>
      <c r="H1808" s="766" t="s">
        <v>2822</v>
      </c>
    </row>
    <row r="1809" spans="1:8" s="243" customFormat="1" ht="12.75">
      <c r="A1809" s="37" t="s">
        <v>2857</v>
      </c>
      <c r="B1809" s="38" t="s">
        <v>2858</v>
      </c>
      <c r="C1809" s="248" t="s">
        <v>2859</v>
      </c>
      <c r="D1809" s="248" t="s">
        <v>2859</v>
      </c>
      <c r="E1809" s="41">
        <f>ROUNDUP(F1809/0.55/115,2)</f>
        <v>1.79</v>
      </c>
      <c r="F1809" s="788">
        <v>113</v>
      </c>
      <c r="G1809" s="789">
        <f>(E1809-(F1809/H1809))/E1809</f>
        <v>0.45105659460772407</v>
      </c>
      <c r="H1809" s="790">
        <v>115</v>
      </c>
    </row>
    <row r="1810" spans="1:8" s="243" customFormat="1" ht="12.75">
      <c r="A1810" s="37" t="s">
        <v>2860</v>
      </c>
      <c r="B1810" s="38" t="s">
        <v>2858</v>
      </c>
      <c r="C1810" s="248" t="s">
        <v>2861</v>
      </c>
      <c r="D1810" s="248" t="s">
        <v>2861</v>
      </c>
      <c r="E1810" s="41">
        <f>ROUNDUP(F1810/0.55/115,2)</f>
        <v>3.3899999999999997</v>
      </c>
      <c r="F1810" s="788">
        <v>214</v>
      </c>
      <c r="G1810" s="789">
        <f>(E1810-(F1810/H1810))/E1810</f>
        <v>0.45107092471463378</v>
      </c>
      <c r="H1810" s="790">
        <v>115</v>
      </c>
    </row>
    <row r="1811" spans="1:8" s="243" customFormat="1" ht="12.75">
      <c r="A1811" s="37" t="s">
        <v>2862</v>
      </c>
      <c r="B1811" s="38" t="s">
        <v>2858</v>
      </c>
      <c r="C1811" s="248" t="s">
        <v>2859</v>
      </c>
      <c r="D1811" s="248" t="s">
        <v>2859</v>
      </c>
      <c r="E1811" s="41">
        <f>ROUNDUP(F1811/0.55/115,2)</f>
        <v>3.1199999999999997</v>
      </c>
      <c r="F1811" s="788">
        <v>197</v>
      </c>
      <c r="G1811" s="789">
        <f>(E1811-(F1811/H1811))/E1811</f>
        <v>0.45094760312151605</v>
      </c>
      <c r="H1811" s="790">
        <v>115</v>
      </c>
    </row>
    <row r="1812" spans="1:8">
      <c r="A1812" s="791" t="s">
        <v>2863</v>
      </c>
    </row>
    <row r="1813" spans="1:8">
      <c r="A1813" s="791"/>
    </row>
    <row r="1814" spans="1:8">
      <c r="A1814" t="s">
        <v>2875</v>
      </c>
    </row>
    <row r="1815" spans="1:8" s="787" customFormat="1">
      <c r="A1815" s="783" t="s">
        <v>78</v>
      </c>
      <c r="B1815" s="784" t="s">
        <v>33</v>
      </c>
      <c r="C1815" s="784" t="s">
        <v>211</v>
      </c>
      <c r="D1815" s="784" t="s">
        <v>235</v>
      </c>
      <c r="E1815" s="785" t="s">
        <v>2876</v>
      </c>
      <c r="F1815" s="786" t="s">
        <v>213</v>
      </c>
      <c r="G1815" s="766" t="s">
        <v>2821</v>
      </c>
      <c r="H1815" s="766" t="s">
        <v>2822</v>
      </c>
    </row>
    <row r="1816" spans="1:8" s="243" customFormat="1" ht="12.75">
      <c r="A1816" s="37" t="s">
        <v>2860</v>
      </c>
      <c r="B1816" s="38" t="s">
        <v>2858</v>
      </c>
      <c r="C1816" s="248" t="s">
        <v>2861</v>
      </c>
      <c r="D1816" s="248" t="s">
        <v>2861</v>
      </c>
      <c r="E1816" s="41">
        <f>ROUNDUP(F1816/0.6/115,2)</f>
        <v>3.11</v>
      </c>
      <c r="F1816" s="788">
        <v>214</v>
      </c>
      <c r="G1816" s="789">
        <f>(E1816-(F1816/H1816))/E1816</f>
        <v>0.40164965748636938</v>
      </c>
      <c r="H1816" s="790">
        <v>115</v>
      </c>
    </row>
    <row r="1817" spans="1:8" s="243" customFormat="1" ht="12.75">
      <c r="A1817" s="37" t="s">
        <v>2862</v>
      </c>
      <c r="B1817" s="38" t="s">
        <v>2858</v>
      </c>
      <c r="C1817" s="248" t="s">
        <v>2859</v>
      </c>
      <c r="D1817" s="248" t="s">
        <v>2859</v>
      </c>
      <c r="E1817" s="41">
        <f>ROUNDUP(F1817/0.6/115,2)</f>
        <v>2.86</v>
      </c>
      <c r="F1817" s="788">
        <v>197</v>
      </c>
      <c r="G1817" s="789">
        <f>(E1817-(F1817/H1817))/E1817</f>
        <v>0.40103374885983578</v>
      </c>
      <c r="H1817" s="790">
        <v>115</v>
      </c>
    </row>
    <row r="1818" spans="1:8">
      <c r="A1818" s="791" t="s">
        <v>2863</v>
      </c>
    </row>
    <row r="1819" spans="1:8">
      <c r="A1819" s="791"/>
    </row>
    <row r="1820" spans="1:8">
      <c r="A1820" s="791"/>
    </row>
    <row r="1821" spans="1:8">
      <c r="A1821" s="791"/>
    </row>
    <row r="1823" spans="1:8">
      <c r="A1823" t="s">
        <v>2864</v>
      </c>
    </row>
    <row r="1824" spans="1:8" s="787" customFormat="1">
      <c r="A1824" s="783" t="s">
        <v>78</v>
      </c>
      <c r="B1824" s="784" t="s">
        <v>95</v>
      </c>
      <c r="C1824" s="784" t="s">
        <v>235</v>
      </c>
      <c r="D1824" s="785" t="s">
        <v>2871</v>
      </c>
      <c r="E1824" s="786" t="s">
        <v>213</v>
      </c>
      <c r="F1824" s="766" t="s">
        <v>2821</v>
      </c>
      <c r="G1824" s="766" t="s">
        <v>2822</v>
      </c>
    </row>
    <row r="1825" spans="1:10" s="243" customFormat="1" ht="12.75">
      <c r="A1825" s="37" t="s">
        <v>2865</v>
      </c>
      <c r="B1825" s="38" t="s">
        <v>2866</v>
      </c>
      <c r="C1825" s="248" t="s">
        <v>2867</v>
      </c>
      <c r="D1825" s="41">
        <v>0.26</v>
      </c>
      <c r="E1825" s="788">
        <v>15</v>
      </c>
      <c r="F1825" s="789">
        <f>(D1825-(E1825/G1825))/D1825</f>
        <v>0.49832775919732447</v>
      </c>
      <c r="G1825" s="790">
        <v>115</v>
      </c>
    </row>
    <row r="1826" spans="1:10" s="243" customFormat="1" ht="12.75">
      <c r="A1826" s="37" t="s">
        <v>2868</v>
      </c>
      <c r="B1826" s="38" t="s">
        <v>2866</v>
      </c>
      <c r="C1826" s="248" t="s">
        <v>2867</v>
      </c>
      <c r="D1826" s="41">
        <v>0.26</v>
      </c>
      <c r="E1826" s="788">
        <v>15</v>
      </c>
      <c r="F1826" s="789">
        <f>(D1826-(E1826/G1826))/D1826</f>
        <v>0.49832775919732447</v>
      </c>
      <c r="G1826" s="790">
        <v>115</v>
      </c>
    </row>
    <row r="1827" spans="1:10" s="243" customFormat="1" ht="12.75">
      <c r="A1827" s="37" t="s">
        <v>2869</v>
      </c>
      <c r="B1827" s="38" t="s">
        <v>2866</v>
      </c>
      <c r="C1827" s="248" t="s">
        <v>2867</v>
      </c>
      <c r="D1827" s="41">
        <v>0.26</v>
      </c>
      <c r="E1827" s="788">
        <v>15</v>
      </c>
      <c r="F1827" s="789">
        <f>(D1827-(E1827/G1827))/D1827</f>
        <v>0.49832775919732447</v>
      </c>
      <c r="G1827" s="790">
        <v>115</v>
      </c>
    </row>
    <row r="1828" spans="1:10" s="243" customFormat="1" ht="12.75">
      <c r="A1828" s="37" t="s">
        <v>2870</v>
      </c>
      <c r="B1828" s="38" t="s">
        <v>2866</v>
      </c>
      <c r="C1828" s="248" t="s">
        <v>2867</v>
      </c>
      <c r="D1828" s="41">
        <v>0.26</v>
      </c>
      <c r="E1828" s="788">
        <v>15</v>
      </c>
      <c r="F1828" s="789">
        <f>(D1828-(E1828/G1828))/D1828</f>
        <v>0.49832775919732447</v>
      </c>
      <c r="G1828" s="790">
        <v>115</v>
      </c>
    </row>
    <row r="1829" spans="1:10">
      <c r="A1829" s="792" t="s">
        <v>2872</v>
      </c>
    </row>
    <row r="1833" spans="1:10">
      <c r="A1833" s="783" t="s">
        <v>78</v>
      </c>
      <c r="B1833" s="784" t="s">
        <v>33</v>
      </c>
      <c r="C1833" s="784" t="s">
        <v>95</v>
      </c>
      <c r="D1833" s="762" t="s">
        <v>211</v>
      </c>
      <c r="E1833" s="762" t="s">
        <v>227</v>
      </c>
      <c r="F1833" s="762" t="s">
        <v>228</v>
      </c>
      <c r="G1833" s="785" t="s">
        <v>2855</v>
      </c>
    </row>
    <row r="1834" spans="1:10" s="243" customFormat="1" ht="12.75">
      <c r="A1834" s="37" t="s">
        <v>2860</v>
      </c>
      <c r="B1834" s="38" t="s">
        <v>2858</v>
      </c>
      <c r="C1834" s="37" t="s">
        <v>2873</v>
      </c>
      <c r="D1834" s="246">
        <v>20</v>
      </c>
      <c r="E1834" s="793">
        <v>1</v>
      </c>
      <c r="F1834" s="248">
        <f>E1834*D1834</f>
        <v>20</v>
      </c>
      <c r="G1834" s="742">
        <v>3.39</v>
      </c>
    </row>
    <row r="1835" spans="1:10" s="243" customFormat="1" ht="12.75">
      <c r="A1835" s="37" t="s">
        <v>2862</v>
      </c>
      <c r="B1835" s="38" t="s">
        <v>2858</v>
      </c>
      <c r="C1835" s="37" t="s">
        <v>2874</v>
      </c>
      <c r="D1835" s="246">
        <v>25</v>
      </c>
      <c r="E1835" s="793">
        <v>1</v>
      </c>
      <c r="F1835" s="248">
        <f>E1835*D1835</f>
        <v>25</v>
      </c>
      <c r="G1835" s="742">
        <v>3.12</v>
      </c>
    </row>
    <row r="1836" spans="1:10" s="243" customFormat="1" ht="12.75">
      <c r="A1836" s="794"/>
      <c r="B1836" s="795"/>
      <c r="C1836" s="37" t="s">
        <v>266</v>
      </c>
      <c r="D1836" s="248"/>
      <c r="E1836" s="736"/>
      <c r="F1836" s="244">
        <v>1</v>
      </c>
      <c r="G1836" s="742">
        <v>12</v>
      </c>
    </row>
    <row r="1838" spans="1:10">
      <c r="A1838" t="s">
        <v>2904</v>
      </c>
    </row>
    <row r="1840" spans="1:10" s="243" customFormat="1" ht="38.25">
      <c r="A1840" s="797" t="s">
        <v>2878</v>
      </c>
      <c r="B1840" s="798" t="s">
        <v>2886</v>
      </c>
      <c r="C1840" s="798" t="s">
        <v>2879</v>
      </c>
      <c r="D1840" s="798" t="s">
        <v>2928</v>
      </c>
      <c r="E1840" s="798" t="s">
        <v>2880</v>
      </c>
      <c r="F1840" s="798" t="s">
        <v>2881</v>
      </c>
      <c r="G1840" s="798" t="s">
        <v>2882</v>
      </c>
      <c r="H1840" s="814" t="s">
        <v>2902</v>
      </c>
      <c r="I1840" s="815" t="s">
        <v>2883</v>
      </c>
      <c r="J1840" s="815" t="s">
        <v>2884</v>
      </c>
    </row>
    <row r="1841" spans="1:10" ht="25.5">
      <c r="A1841" s="799" t="s">
        <v>2885</v>
      </c>
      <c r="B1841" s="800" t="s">
        <v>2905</v>
      </c>
      <c r="C1841" s="804">
        <f>ROUNDUP(H1841/0.8/135,2)</f>
        <v>15.28</v>
      </c>
      <c r="D1841" s="804">
        <f>ROUNDUP((H1841+100)/0.8/135,2)</f>
        <v>16.21</v>
      </c>
      <c r="E1841" s="804">
        <f>C1841*1.5</f>
        <v>22.919999999999998</v>
      </c>
      <c r="F1841" s="804">
        <f>C1841*2</f>
        <v>30.56</v>
      </c>
      <c r="G1841" s="804">
        <f>C1841*2</f>
        <v>30.56</v>
      </c>
      <c r="H1841" s="801">
        <v>1650</v>
      </c>
      <c r="I1841" s="802">
        <f>(((C1841*J1841)-H1841)/(C1841*J1841))</f>
        <v>0.20011634671320525</v>
      </c>
      <c r="J1841" s="803">
        <v>135</v>
      </c>
    </row>
    <row r="1842" spans="1:10" s="243" customFormat="1" ht="25.5">
      <c r="A1842" s="799" t="s">
        <v>2900</v>
      </c>
      <c r="B1842" s="800" t="s">
        <v>2905</v>
      </c>
      <c r="C1842" s="804">
        <f>ROUNDUP(H1842/0.8/135,2)</f>
        <v>20.470000000000002</v>
      </c>
      <c r="D1842" s="804">
        <f>ROUNDUP((H1842+100)/0.8/135,2)</f>
        <v>21.39</v>
      </c>
      <c r="E1842" s="804">
        <f>C1842*1.5</f>
        <v>30.705000000000005</v>
      </c>
      <c r="F1842" s="804">
        <f>C1842*2</f>
        <v>40.940000000000005</v>
      </c>
      <c r="G1842" s="804">
        <f>C1842*2</f>
        <v>40.940000000000005</v>
      </c>
      <c r="H1842" s="816">
        <v>2210</v>
      </c>
      <c r="I1842" s="817">
        <f>(((C1842*J1842)-H1842)/(C1842*J1842))</f>
        <v>0.20027501854565857</v>
      </c>
      <c r="J1842" s="803">
        <v>135</v>
      </c>
    </row>
    <row r="1843" spans="1:10" s="243" customFormat="1" ht="25.5">
      <c r="A1843" s="799" t="s">
        <v>2901</v>
      </c>
      <c r="B1843" s="800" t="s">
        <v>2905</v>
      </c>
      <c r="C1843" s="804">
        <f>ROUNDUP(H1843/0.8/135,2)</f>
        <v>20.470000000000002</v>
      </c>
      <c r="D1843" s="804">
        <f>ROUNDUP((H1843+100)/0.8/135,2)</f>
        <v>21.39</v>
      </c>
      <c r="E1843" s="804">
        <f>C1843*1.5</f>
        <v>30.705000000000005</v>
      </c>
      <c r="F1843" s="804">
        <f>C1843*2</f>
        <v>40.940000000000005</v>
      </c>
      <c r="G1843" s="804">
        <f>C1843*2</f>
        <v>40.940000000000005</v>
      </c>
      <c r="H1843" s="816">
        <v>2210</v>
      </c>
      <c r="I1843" s="817">
        <f>(((C1843*J1843)-H1843)/(C1843*J1843))</f>
        <v>0.20027501854565857</v>
      </c>
      <c r="J1843" s="803">
        <v>135</v>
      </c>
    </row>
    <row r="1844" spans="1:10" ht="38.25">
      <c r="A1844" s="799" t="s">
        <v>2903</v>
      </c>
      <c r="B1844" s="800" t="s">
        <v>2905</v>
      </c>
      <c r="C1844" s="804">
        <f>ROUNDUP(H1844/0.8/135,2)</f>
        <v>33.89</v>
      </c>
      <c r="D1844" s="804">
        <f>ROUNDUP((H1844+100)/0.8/135,2)</f>
        <v>34.82</v>
      </c>
      <c r="E1844" s="804">
        <f>C1844*1.5</f>
        <v>50.835000000000001</v>
      </c>
      <c r="F1844" s="804">
        <f>C1844*2</f>
        <v>67.78</v>
      </c>
      <c r="G1844" s="804">
        <f>C1844*2</f>
        <v>67.78</v>
      </c>
      <c r="H1844" s="816">
        <f>3560+100</f>
        <v>3660</v>
      </c>
      <c r="I1844" s="817">
        <f>(((C1844*J1844)-H1844)/(C1844*J1844))</f>
        <v>0.20002622864824099</v>
      </c>
      <c r="J1844" s="803">
        <v>135</v>
      </c>
    </row>
    <row r="1845" spans="1:10">
      <c r="A1845" s="799"/>
      <c r="B1845" s="800"/>
      <c r="C1845" s="804"/>
      <c r="D1845" s="804"/>
      <c r="E1845" s="804"/>
      <c r="F1845" s="804"/>
      <c r="G1845" s="827"/>
      <c r="H1845" s="828"/>
      <c r="I1845" s="829"/>
    </row>
    <row r="1846" spans="1:10" ht="25.5">
      <c r="A1846" s="799" t="s">
        <v>2916</v>
      </c>
      <c r="B1846" s="800"/>
      <c r="C1846" s="804"/>
      <c r="D1846" s="804"/>
      <c r="E1846" s="804"/>
      <c r="F1846" s="804"/>
      <c r="G1846" s="827"/>
      <c r="H1846" s="828"/>
      <c r="I1846" s="829"/>
    </row>
    <row r="1847" spans="1:10" ht="15">
      <c r="A1847" s="805" t="s">
        <v>2887</v>
      </c>
      <c r="B1847" s="805" t="s">
        <v>2929</v>
      </c>
      <c r="C1847" s="806" t="s">
        <v>2931</v>
      </c>
      <c r="D1847" s="812">
        <v>9.73</v>
      </c>
      <c r="E1847" s="802">
        <f>(((D1847*F1847)-1050)/(D1847*F1847))</f>
        <v>0.20063948840927257</v>
      </c>
      <c r="F1847" s="803">
        <v>135</v>
      </c>
    </row>
    <row r="1848" spans="1:10" ht="15">
      <c r="A1848" s="805" t="s">
        <v>2887</v>
      </c>
      <c r="B1848" s="805" t="s">
        <v>2930</v>
      </c>
      <c r="C1848" s="806" t="s">
        <v>2932</v>
      </c>
      <c r="D1848" s="812">
        <v>6.67</v>
      </c>
      <c r="E1848" s="802">
        <f>(((D1848*F1848)-720)/(D1848*F1848))</f>
        <v>0.20039980009995007</v>
      </c>
      <c r="F1848" s="803">
        <v>135</v>
      </c>
    </row>
    <row r="1849" spans="1:10" ht="15">
      <c r="A1849" s="805" t="s">
        <v>2887</v>
      </c>
      <c r="B1849" s="805" t="s">
        <v>2888</v>
      </c>
      <c r="C1849" s="806" t="s">
        <v>2889</v>
      </c>
      <c r="D1849" s="812">
        <v>5.19</v>
      </c>
      <c r="E1849" s="802">
        <f>(((D1849*F1849)-560)/(D1849*F1849))</f>
        <v>0.20074216798686945</v>
      </c>
      <c r="F1849" s="803">
        <v>135</v>
      </c>
    </row>
    <row r="1850" spans="1:10" ht="15">
      <c r="A1850" s="805"/>
      <c r="B1850" s="805" t="s">
        <v>2890</v>
      </c>
      <c r="C1850" s="806" t="s">
        <v>2891</v>
      </c>
      <c r="D1850" s="812">
        <v>3.43</v>
      </c>
      <c r="E1850" s="802">
        <f>(((D1850*F1850)-370)/(D1850*F1850))</f>
        <v>0.20095022135838464</v>
      </c>
      <c r="F1850" s="803">
        <v>135</v>
      </c>
    </row>
    <row r="1851" spans="1:10" ht="15">
      <c r="A1851" s="805"/>
      <c r="B1851" s="805" t="s">
        <v>2892</v>
      </c>
      <c r="C1851" s="806" t="s">
        <v>2893</v>
      </c>
      <c r="D1851" s="812">
        <v>2.13</v>
      </c>
      <c r="E1851" s="802">
        <f>(((D1851*F1851)-230)/(D1851*F1851))</f>
        <v>0.20013910624239267</v>
      </c>
      <c r="F1851" s="803">
        <v>135</v>
      </c>
    </row>
    <row r="1852" spans="1:10" ht="15">
      <c r="A1852" s="807"/>
      <c r="B1852" s="807"/>
      <c r="C1852" s="808"/>
      <c r="D1852" s="809"/>
      <c r="E1852" s="810"/>
      <c r="F1852" s="811"/>
    </row>
    <row r="1853" spans="1:10" ht="25.5">
      <c r="A1853" s="797" t="s">
        <v>2916</v>
      </c>
      <c r="B1853" s="758" t="s">
        <v>2894</v>
      </c>
      <c r="C1853" s="245" t="s">
        <v>2895</v>
      </c>
    </row>
    <row r="1854" spans="1:10" ht="15">
      <c r="A1854" s="744" t="s">
        <v>2887</v>
      </c>
      <c r="B1854" s="837" t="s">
        <v>2929</v>
      </c>
      <c r="C1854" s="813">
        <v>9.73</v>
      </c>
    </row>
    <row r="1855" spans="1:10" ht="15">
      <c r="A1855" s="744" t="s">
        <v>2897</v>
      </c>
      <c r="B1855" s="837" t="s">
        <v>2930</v>
      </c>
      <c r="C1855" s="813">
        <v>6.67</v>
      </c>
    </row>
    <row r="1856" spans="1:10" ht="15">
      <c r="A1856" s="744"/>
      <c r="B1856" s="744" t="s">
        <v>2896</v>
      </c>
      <c r="C1856" s="813">
        <v>5.19</v>
      </c>
    </row>
    <row r="1857" spans="1:7" ht="15">
      <c r="A1857" s="744"/>
      <c r="B1857" s="744" t="s">
        <v>2898</v>
      </c>
      <c r="C1857" s="813">
        <v>3.43</v>
      </c>
    </row>
    <row r="1858" spans="1:7" ht="15">
      <c r="A1858" s="744"/>
      <c r="B1858" s="744" t="s">
        <v>2899</v>
      </c>
      <c r="C1858" s="813">
        <v>2.13</v>
      </c>
    </row>
    <row r="1859" spans="1:7" ht="15">
      <c r="A1859" s="838"/>
      <c r="B1859" s="838"/>
      <c r="C1859" s="839"/>
    </row>
    <row r="1860" spans="1:7" ht="25.5">
      <c r="A1860" s="797" t="s">
        <v>2933</v>
      </c>
      <c r="B1860" s="758" t="s">
        <v>2934</v>
      </c>
      <c r="C1860" s="255" t="s">
        <v>2937</v>
      </c>
    </row>
    <row r="1861" spans="1:7" ht="15">
      <c r="A1861" s="797"/>
      <c r="B1861" s="813">
        <v>200</v>
      </c>
      <c r="C1861" s="840" t="s">
        <v>2936</v>
      </c>
    </row>
    <row r="1862" spans="1:7" ht="15">
      <c r="A1862" s="797" t="s">
        <v>2935</v>
      </c>
      <c r="B1862" s="813">
        <v>25</v>
      </c>
      <c r="C1862" s="841">
        <v>2400</v>
      </c>
      <c r="D1862" s="802">
        <f>((B1862*E1862)-C1862)/(B1862*E1862)</f>
        <v>0.28888888888888886</v>
      </c>
      <c r="E1862" s="803">
        <v>135</v>
      </c>
    </row>
    <row r="1864" spans="1:7" s="821" customFormat="1">
      <c r="A1864" s="245" t="s">
        <v>78</v>
      </c>
      <c r="B1864" s="818" t="s">
        <v>33</v>
      </c>
      <c r="C1864" s="818" t="s">
        <v>2909</v>
      </c>
      <c r="D1864" s="819" t="s">
        <v>2855</v>
      </c>
      <c r="E1864" s="820" t="s">
        <v>2910</v>
      </c>
      <c r="F1864" s="766" t="s">
        <v>2821</v>
      </c>
      <c r="G1864" s="766" t="s">
        <v>2822</v>
      </c>
    </row>
    <row r="1865" spans="1:7" s="821" customFormat="1">
      <c r="A1865" s="37" t="s">
        <v>2906</v>
      </c>
      <c r="B1865" s="822" t="s">
        <v>2911</v>
      </c>
      <c r="C1865" s="822" t="s">
        <v>2912</v>
      </c>
      <c r="D1865" s="826">
        <f>ROUNDUP(E1865/0.8/135,2)</f>
        <v>15.56</v>
      </c>
      <c r="E1865" s="823">
        <v>1680</v>
      </c>
      <c r="F1865" s="824">
        <f>((D1865*G1865)-E1865)/(D1865*G1865)</f>
        <v>0.20022850614110252</v>
      </c>
      <c r="G1865" s="132">
        <v>135</v>
      </c>
    </row>
    <row r="1866" spans="1:7" s="821" customFormat="1">
      <c r="A1866" s="37" t="s">
        <v>2907</v>
      </c>
      <c r="B1866" s="822" t="s">
        <v>2911</v>
      </c>
      <c r="C1866" s="822" t="s">
        <v>2913</v>
      </c>
      <c r="D1866" s="826">
        <f>ROUNDUP(E1866/0.8/135,2)</f>
        <v>18.34</v>
      </c>
      <c r="E1866" s="823">
        <f>1680+300</f>
        <v>1980</v>
      </c>
      <c r="F1866" s="824">
        <f>((D1866*G1866)-E1866)/(D1866*G1866)</f>
        <v>0.20029080334423849</v>
      </c>
      <c r="G1866" s="132">
        <v>135</v>
      </c>
    </row>
    <row r="1867" spans="1:7" s="821" customFormat="1">
      <c r="A1867" s="37" t="s">
        <v>2908</v>
      </c>
      <c r="B1867" s="822" t="s">
        <v>2911</v>
      </c>
      <c r="C1867" s="825" t="s">
        <v>2914</v>
      </c>
      <c r="D1867" s="826">
        <f>ROUNDUP(E1867/0.8/135,2)</f>
        <v>15.56</v>
      </c>
      <c r="E1867" s="823">
        <v>1680</v>
      </c>
      <c r="F1867" s="824">
        <f>((D1867*G1867)-E1867)/(D1867*G1867)</f>
        <v>0.20022850614110252</v>
      </c>
      <c r="G1867" s="132">
        <v>135</v>
      </c>
    </row>
    <row r="1868" spans="1:7" s="821" customFormat="1">
      <c r="A1868" s="37" t="s">
        <v>2908</v>
      </c>
      <c r="B1868" s="822" t="s">
        <v>2911</v>
      </c>
      <c r="C1868" s="825" t="s">
        <v>2915</v>
      </c>
      <c r="D1868" s="826">
        <f>ROUNDUP(E1868/0.8/135,2)</f>
        <v>18.34</v>
      </c>
      <c r="E1868" s="823">
        <f>1680+300</f>
        <v>1980</v>
      </c>
      <c r="F1868" s="824">
        <f>((D1868*G1868)-E1868)/(D1868*G1868)</f>
        <v>0.20029080334423849</v>
      </c>
      <c r="G1868" s="132">
        <v>135</v>
      </c>
    </row>
    <row r="1872" spans="1:7">
      <c r="A1872" s="831" t="s">
        <v>2924</v>
      </c>
    </row>
    <row r="1873" spans="1:6">
      <c r="A1873" s="758" t="s">
        <v>2917</v>
      </c>
      <c r="B1873" s="245" t="s">
        <v>2918</v>
      </c>
      <c r="C1873" s="245" t="s">
        <v>2919</v>
      </c>
      <c r="D1873" s="832">
        <v>82.2</v>
      </c>
      <c r="E1873" s="832">
        <v>200</v>
      </c>
      <c r="F1873" s="832">
        <v>300</v>
      </c>
    </row>
    <row r="1874" spans="1:6">
      <c r="A1874" s="744" t="s">
        <v>2920</v>
      </c>
      <c r="B1874" s="744" t="s">
        <v>2922</v>
      </c>
      <c r="C1874" s="835">
        <v>15.28</v>
      </c>
      <c r="D1874" s="833">
        <f>C1874*D1873</f>
        <v>1256.0160000000001</v>
      </c>
      <c r="E1874" s="833">
        <f>C1874*E1873</f>
        <v>3056</v>
      </c>
      <c r="F1874" s="833">
        <f>C1874*F1873</f>
        <v>4584</v>
      </c>
    </row>
    <row r="1875" spans="1:6">
      <c r="A1875" s="744" t="s">
        <v>2926</v>
      </c>
      <c r="B1875" s="744" t="s">
        <v>2922</v>
      </c>
      <c r="C1875" s="835">
        <v>15.28</v>
      </c>
      <c r="D1875" s="833">
        <f>(C1875+5.19)*D1873</f>
        <v>1682.634</v>
      </c>
      <c r="E1875" s="833">
        <f>(C1875+3.43)*E1873</f>
        <v>3742</v>
      </c>
      <c r="F1875" s="833">
        <f>(C1875+3.43)*F1873</f>
        <v>5613</v>
      </c>
    </row>
    <row r="1876" spans="1:6">
      <c r="A1876" s="744" t="s">
        <v>2900</v>
      </c>
      <c r="B1876" s="744" t="s">
        <v>2921</v>
      </c>
      <c r="C1876" s="835">
        <v>20.470000000000002</v>
      </c>
      <c r="D1876" s="833">
        <f>C1876*D1873</f>
        <v>1682.6340000000002</v>
      </c>
      <c r="E1876" s="833">
        <f>C1876*E1873</f>
        <v>4094.0000000000005</v>
      </c>
      <c r="F1876" s="833">
        <f>C1876*F1873</f>
        <v>6141.0000000000009</v>
      </c>
    </row>
    <row r="1877" spans="1:6">
      <c r="A1877" s="744" t="s">
        <v>2901</v>
      </c>
      <c r="B1877" s="744" t="s">
        <v>2921</v>
      </c>
      <c r="C1877" s="835">
        <v>20.470000000000002</v>
      </c>
      <c r="D1877" s="833">
        <f>C1877*D1873</f>
        <v>1682.6340000000002</v>
      </c>
      <c r="E1877" s="833">
        <f>C1877*E1873</f>
        <v>4094.0000000000005</v>
      </c>
      <c r="F1877" s="833">
        <f>C1877*F1873</f>
        <v>6141.0000000000009</v>
      </c>
    </row>
    <row r="1878" spans="1:6">
      <c r="A1878" s="744" t="s">
        <v>2925</v>
      </c>
      <c r="B1878" s="744" t="s">
        <v>2921</v>
      </c>
      <c r="C1878" s="835">
        <v>33.89</v>
      </c>
      <c r="D1878" s="833">
        <f>C1878*D1873</f>
        <v>2785.7580000000003</v>
      </c>
      <c r="E1878" s="833">
        <f>C1878*E1873</f>
        <v>6778</v>
      </c>
      <c r="F1878" s="833">
        <f>C1878*F1873</f>
        <v>10167</v>
      </c>
    </row>
    <row r="1879" spans="1:6" s="821" customFormat="1" ht="12.75">
      <c r="A1879" s="744" t="s">
        <v>2906</v>
      </c>
      <c r="B1879" s="822" t="s">
        <v>2912</v>
      </c>
      <c r="C1879" s="826">
        <v>15.56</v>
      </c>
      <c r="D1879" s="834">
        <f>C1879*D1873</f>
        <v>1279.0320000000002</v>
      </c>
      <c r="E1879" s="833">
        <f>C1879*E1873</f>
        <v>3112</v>
      </c>
      <c r="F1879" s="833">
        <f>C1879*F1873</f>
        <v>4668</v>
      </c>
    </row>
    <row r="1880" spans="1:6" s="821" customFormat="1" ht="12.75">
      <c r="A1880" s="744" t="s">
        <v>2908</v>
      </c>
      <c r="B1880" s="825" t="s">
        <v>2914</v>
      </c>
      <c r="C1880" s="826">
        <v>15.56</v>
      </c>
      <c r="D1880" s="830" t="s">
        <v>2923</v>
      </c>
      <c r="E1880" s="830" t="s">
        <v>2923</v>
      </c>
      <c r="F1880" s="833">
        <f>C1880*F1873</f>
        <v>4668</v>
      </c>
    </row>
    <row r="1881" spans="1:6" s="821" customFormat="1" ht="12.75">
      <c r="A1881" s="744" t="s">
        <v>2908</v>
      </c>
      <c r="B1881" s="825" t="s">
        <v>2915</v>
      </c>
      <c r="C1881" s="826">
        <v>18.34</v>
      </c>
      <c r="D1881" s="834">
        <f>C1881*D1873</f>
        <v>1507.548</v>
      </c>
      <c r="E1881" s="833">
        <f>C1881*E1873</f>
        <v>3668</v>
      </c>
      <c r="F1881" s="830" t="s">
        <v>2923</v>
      </c>
    </row>
    <row r="1887" spans="1:6" ht="15">
      <c r="A1887" s="20" t="s">
        <v>2948</v>
      </c>
      <c r="B1887" s="20" t="s">
        <v>73</v>
      </c>
      <c r="C1887" s="103">
        <v>20</v>
      </c>
    </row>
    <row r="1888" spans="1:6" ht="15">
      <c r="A1888" s="20" t="s">
        <v>2948</v>
      </c>
      <c r="B1888" s="20" t="s">
        <v>73</v>
      </c>
      <c r="C1888" s="103">
        <v>15</v>
      </c>
    </row>
    <row r="1889" spans="1:7" ht="15">
      <c r="A1889" s="20" t="s">
        <v>2948</v>
      </c>
      <c r="B1889" s="20" t="s">
        <v>72</v>
      </c>
      <c r="C1889" s="103">
        <v>20</v>
      </c>
    </row>
    <row r="1890" spans="1:7" ht="15">
      <c r="A1890" s="20" t="s">
        <v>2948</v>
      </c>
      <c r="B1890" s="20" t="s">
        <v>72</v>
      </c>
      <c r="C1890" s="103">
        <v>15</v>
      </c>
    </row>
    <row r="1891" spans="1:7" ht="15">
      <c r="A1891" s="17"/>
      <c r="B1891" s="20"/>
      <c r="C1891" s="103"/>
    </row>
    <row r="1892" spans="1:7" ht="15">
      <c r="A1892" s="20" t="s">
        <v>2950</v>
      </c>
      <c r="B1892" s="20" t="s">
        <v>293</v>
      </c>
      <c r="C1892" s="103">
        <v>20</v>
      </c>
    </row>
    <row r="1893" spans="1:7" ht="15">
      <c r="A1893" s="20" t="s">
        <v>2950</v>
      </c>
      <c r="B1893" s="20" t="s">
        <v>293</v>
      </c>
      <c r="C1893" s="103">
        <v>20</v>
      </c>
    </row>
    <row r="1894" spans="1:7" ht="15">
      <c r="A1894" s="20" t="s">
        <v>2950</v>
      </c>
      <c r="B1894" s="20" t="s">
        <v>2951</v>
      </c>
      <c r="C1894" s="103">
        <v>20</v>
      </c>
    </row>
    <row r="1895" spans="1:7" ht="15">
      <c r="A1895" s="20" t="s">
        <v>2950</v>
      </c>
      <c r="B1895" s="20" t="s">
        <v>2951</v>
      </c>
      <c r="C1895" s="103">
        <v>20</v>
      </c>
    </row>
    <row r="1897" spans="1:7">
      <c r="A1897" s="783" t="s">
        <v>78</v>
      </c>
      <c r="B1897" s="784" t="s">
        <v>95</v>
      </c>
      <c r="C1897" s="762" t="s">
        <v>211</v>
      </c>
      <c r="D1897" s="762" t="s">
        <v>227</v>
      </c>
      <c r="E1897" s="762" t="s">
        <v>228</v>
      </c>
      <c r="F1897" s="785" t="s">
        <v>2855</v>
      </c>
      <c r="G1897" s="785" t="s">
        <v>2952</v>
      </c>
    </row>
    <row r="1898" spans="1:7">
      <c r="A1898" s="851" t="s">
        <v>2927</v>
      </c>
      <c r="B1898" s="744"/>
      <c r="C1898" s="852"/>
      <c r="D1898" s="853"/>
      <c r="E1898" s="852"/>
      <c r="F1898" s="854" t="s">
        <v>5</v>
      </c>
      <c r="G1898" s="850"/>
    </row>
    <row r="1899" spans="1:7">
      <c r="A1899" s="744" t="s">
        <v>2948</v>
      </c>
      <c r="B1899" s="744" t="s">
        <v>73</v>
      </c>
      <c r="C1899" s="852">
        <v>20</v>
      </c>
      <c r="D1899" s="853">
        <v>1</v>
      </c>
      <c r="E1899" s="855">
        <f>C1899*D1899</f>
        <v>20</v>
      </c>
      <c r="F1899" s="856">
        <v>51.05</v>
      </c>
      <c r="G1899" s="856">
        <f>F1899*E1899</f>
        <v>1021</v>
      </c>
    </row>
    <row r="1900" spans="1:7">
      <c r="A1900" s="744" t="s">
        <v>2948</v>
      </c>
      <c r="B1900" s="744" t="s">
        <v>73</v>
      </c>
      <c r="C1900" s="852">
        <v>15</v>
      </c>
      <c r="D1900" s="853">
        <v>1</v>
      </c>
      <c r="E1900" s="855">
        <f>C1900*D1900</f>
        <v>15</v>
      </c>
      <c r="F1900" s="856">
        <v>51.05</v>
      </c>
      <c r="G1900" s="856">
        <f>F1900*E1900</f>
        <v>765.75</v>
      </c>
    </row>
    <row r="1901" spans="1:7">
      <c r="A1901" s="744" t="s">
        <v>2948</v>
      </c>
      <c r="B1901" s="744" t="s">
        <v>72</v>
      </c>
      <c r="C1901" s="852">
        <v>20</v>
      </c>
      <c r="D1901" s="853">
        <v>1</v>
      </c>
      <c r="E1901" s="855">
        <f>C1901*D1901</f>
        <v>20</v>
      </c>
      <c r="F1901" s="856">
        <v>51.05</v>
      </c>
      <c r="G1901" s="856">
        <f>F1901*E1901</f>
        <v>1021</v>
      </c>
    </row>
    <row r="1902" spans="1:7">
      <c r="A1902" s="744" t="s">
        <v>2948</v>
      </c>
      <c r="B1902" s="744" t="s">
        <v>72</v>
      </c>
      <c r="C1902" s="852">
        <v>15</v>
      </c>
      <c r="D1902" s="853">
        <v>1</v>
      </c>
      <c r="E1902" s="855">
        <f>C1902*D1902</f>
        <v>15</v>
      </c>
      <c r="F1902" s="856">
        <v>51.05</v>
      </c>
      <c r="G1902" s="856">
        <f>F1902*E1902</f>
        <v>765.75</v>
      </c>
    </row>
    <row r="1903" spans="1:7">
      <c r="A1903" s="744"/>
      <c r="B1903" s="744" t="s">
        <v>2804</v>
      </c>
      <c r="C1903" s="855"/>
      <c r="D1903" s="857"/>
      <c r="E1903" s="858">
        <v>4</v>
      </c>
      <c r="F1903" s="856">
        <v>15</v>
      </c>
      <c r="G1903" s="856">
        <f>F1903*E1903</f>
        <v>60</v>
      </c>
    </row>
    <row r="1904" spans="1:7">
      <c r="A1904" s="851" t="s">
        <v>2949</v>
      </c>
      <c r="B1904" s="744"/>
      <c r="C1904" s="852"/>
      <c r="D1904" s="853"/>
      <c r="E1904" s="852"/>
      <c r="F1904" s="854" t="s">
        <v>5</v>
      </c>
      <c r="G1904" s="850"/>
    </row>
    <row r="1905" spans="1:118">
      <c r="A1905" s="744" t="s">
        <v>2950</v>
      </c>
      <c r="B1905" s="744" t="s">
        <v>293</v>
      </c>
      <c r="C1905" s="852">
        <v>20</v>
      </c>
      <c r="D1905" s="853">
        <v>1</v>
      </c>
      <c r="E1905" s="855">
        <f>C1905*D1905</f>
        <v>20</v>
      </c>
      <c r="F1905" s="856">
        <v>21.88</v>
      </c>
      <c r="G1905" s="856">
        <f t="shared" ref="G1905:G1910" si="17">F1905*E1905</f>
        <v>437.59999999999997</v>
      </c>
    </row>
    <row r="1906" spans="1:118">
      <c r="A1906" s="744" t="s">
        <v>2950</v>
      </c>
      <c r="B1906" s="744" t="s">
        <v>293</v>
      </c>
      <c r="C1906" s="852">
        <v>20</v>
      </c>
      <c r="D1906" s="853">
        <v>1</v>
      </c>
      <c r="E1906" s="855">
        <f>C1906*D1906</f>
        <v>20</v>
      </c>
      <c r="F1906" s="856">
        <v>21.88</v>
      </c>
      <c r="G1906" s="856">
        <f t="shared" si="17"/>
        <v>437.59999999999997</v>
      </c>
    </row>
    <row r="1907" spans="1:118">
      <c r="A1907" s="744" t="s">
        <v>2950</v>
      </c>
      <c r="B1907" s="744" t="s">
        <v>2951</v>
      </c>
      <c r="C1907" s="852">
        <v>20</v>
      </c>
      <c r="D1907" s="853">
        <v>1</v>
      </c>
      <c r="E1907" s="855">
        <f>C1907*D1907</f>
        <v>20</v>
      </c>
      <c r="F1907" s="856">
        <v>21.88</v>
      </c>
      <c r="G1907" s="856">
        <f t="shared" si="17"/>
        <v>437.59999999999997</v>
      </c>
    </row>
    <row r="1908" spans="1:118">
      <c r="A1908" s="744" t="s">
        <v>2950</v>
      </c>
      <c r="B1908" s="744" t="s">
        <v>2951</v>
      </c>
      <c r="C1908" s="852">
        <v>20</v>
      </c>
      <c r="D1908" s="853">
        <v>1</v>
      </c>
      <c r="E1908" s="855">
        <f>C1908*D1908</f>
        <v>20</v>
      </c>
      <c r="F1908" s="856">
        <v>21.88</v>
      </c>
      <c r="G1908" s="856">
        <f t="shared" si="17"/>
        <v>437.59999999999997</v>
      </c>
    </row>
    <row r="1909" spans="1:118">
      <c r="A1909" s="744"/>
      <c r="B1909" s="744" t="s">
        <v>2804</v>
      </c>
      <c r="C1909" s="855"/>
      <c r="D1909" s="857"/>
      <c r="E1909" s="858">
        <v>4</v>
      </c>
      <c r="F1909" s="856">
        <v>15</v>
      </c>
      <c r="G1909" s="856">
        <f t="shared" si="17"/>
        <v>60</v>
      </c>
    </row>
    <row r="1910" spans="1:118">
      <c r="A1910" s="744"/>
      <c r="B1910" s="744" t="s">
        <v>266</v>
      </c>
      <c r="C1910" s="855"/>
      <c r="D1910" s="857"/>
      <c r="E1910" s="858">
        <v>1</v>
      </c>
      <c r="F1910" s="856">
        <v>20</v>
      </c>
      <c r="G1910" s="856">
        <f t="shared" si="17"/>
        <v>20</v>
      </c>
    </row>
    <row r="1911" spans="1:118">
      <c r="A1911" s="744"/>
      <c r="B1911" s="744"/>
      <c r="C1911" s="855"/>
      <c r="D1911" s="857"/>
      <c r="E1911" s="858"/>
      <c r="F1911" s="859" t="s">
        <v>2953</v>
      </c>
      <c r="G1911" s="860">
        <f>SUM(G1899:G1910)</f>
        <v>5463.9000000000005</v>
      </c>
    </row>
    <row r="1913" spans="1:118">
      <c r="A1913" t="s">
        <v>2954</v>
      </c>
    </row>
    <row r="1914" spans="1:118" s="771" customFormat="1" ht="31.5">
      <c r="A1914" s="863" t="s">
        <v>221</v>
      </c>
      <c r="B1914" s="864" t="s">
        <v>158</v>
      </c>
      <c r="C1914" s="865" t="s">
        <v>2040</v>
      </c>
      <c r="D1914" s="866" t="s">
        <v>235</v>
      </c>
      <c r="E1914" s="867" t="s">
        <v>2823</v>
      </c>
      <c r="F1914" s="820" t="s">
        <v>2957</v>
      </c>
      <c r="G1914" s="766" t="s">
        <v>2821</v>
      </c>
      <c r="H1914" s="766" t="s">
        <v>2822</v>
      </c>
    </row>
    <row r="1915" spans="1:118" s="49" customFormat="1" ht="15" customHeight="1">
      <c r="A1915" s="868" t="s">
        <v>2956</v>
      </c>
      <c r="B1915" s="869">
        <v>19</v>
      </c>
      <c r="C1915" s="870">
        <v>30</v>
      </c>
      <c r="D1915" s="600" t="s">
        <v>2959</v>
      </c>
      <c r="E1915" s="871">
        <v>0.7</v>
      </c>
      <c r="F1915" s="862">
        <v>54.4</v>
      </c>
      <c r="G1915" s="824">
        <f t="shared" ref="G1915:G1921" si="18">((E1915*H1915)-F1915)/(E1915*H1915)</f>
        <v>0.40219780219780221</v>
      </c>
      <c r="H1915" s="132">
        <v>130</v>
      </c>
      <c r="I1915" s="861"/>
      <c r="J1915" s="861"/>
      <c r="K1915" s="861"/>
      <c r="L1915" s="861"/>
      <c r="M1915" s="861"/>
      <c r="N1915" s="861"/>
      <c r="O1915" s="861"/>
      <c r="P1915" s="861"/>
      <c r="Q1915" s="861"/>
      <c r="R1915" s="861"/>
      <c r="S1915" s="861"/>
      <c r="T1915" s="861"/>
      <c r="U1915" s="861"/>
      <c r="V1915" s="861"/>
      <c r="W1915" s="861"/>
      <c r="X1915" s="861"/>
      <c r="Y1915" s="861"/>
      <c r="Z1915" s="861"/>
      <c r="AA1915" s="861"/>
      <c r="AB1915" s="861"/>
      <c r="AC1915" s="861"/>
      <c r="AD1915" s="861"/>
      <c r="AE1915" s="861"/>
      <c r="AF1915" s="861"/>
      <c r="AG1915" s="861"/>
      <c r="AH1915" s="861"/>
      <c r="AI1915" s="861"/>
      <c r="AJ1915" s="861"/>
      <c r="AK1915" s="861"/>
      <c r="AL1915" s="861"/>
      <c r="AM1915" s="861"/>
      <c r="AN1915" s="861"/>
      <c r="AO1915" s="861"/>
      <c r="AP1915" s="861"/>
      <c r="AQ1915" s="861"/>
      <c r="AR1915" s="861"/>
      <c r="AS1915" s="861"/>
      <c r="AT1915" s="861"/>
      <c r="AU1915" s="861"/>
      <c r="AV1915" s="861"/>
      <c r="AW1915" s="861"/>
      <c r="AX1915" s="861"/>
      <c r="AY1915" s="861"/>
      <c r="AZ1915" s="861"/>
      <c r="BA1915" s="861"/>
      <c r="BB1915" s="861"/>
      <c r="BC1915" s="861"/>
      <c r="BD1915" s="861"/>
      <c r="BE1915" s="861"/>
      <c r="BF1915" s="861"/>
      <c r="BG1915" s="861"/>
      <c r="BH1915" s="861"/>
      <c r="BI1915" s="861"/>
      <c r="BJ1915" s="861"/>
      <c r="BK1915" s="861"/>
      <c r="BL1915" s="861"/>
      <c r="BM1915" s="861"/>
      <c r="BN1915" s="861"/>
      <c r="BO1915" s="861"/>
      <c r="BP1915" s="861"/>
      <c r="BQ1915" s="861"/>
      <c r="BR1915" s="861"/>
      <c r="BS1915" s="861"/>
      <c r="BT1915" s="861"/>
      <c r="BU1915" s="861"/>
      <c r="BV1915" s="861"/>
      <c r="BW1915" s="861"/>
      <c r="BX1915" s="861"/>
      <c r="BY1915" s="861"/>
      <c r="BZ1915" s="861"/>
      <c r="CA1915" s="861"/>
      <c r="CB1915" s="861"/>
      <c r="CC1915" s="861"/>
      <c r="CD1915" s="861"/>
      <c r="CE1915" s="861"/>
      <c r="CF1915" s="861"/>
      <c r="CG1915" s="861"/>
      <c r="CH1915" s="861"/>
      <c r="CI1915" s="861"/>
      <c r="CJ1915" s="861"/>
      <c r="CK1915" s="861"/>
      <c r="CL1915" s="861"/>
      <c r="CM1915" s="861"/>
      <c r="CN1915" s="861"/>
      <c r="CO1915" s="861"/>
      <c r="CP1915" s="861"/>
      <c r="CQ1915" s="861"/>
      <c r="CR1915" s="861"/>
      <c r="CS1915" s="861"/>
      <c r="CT1915" s="861"/>
      <c r="CU1915" s="861"/>
      <c r="CV1915" s="861"/>
      <c r="CW1915" s="861"/>
      <c r="CX1915" s="861"/>
      <c r="CY1915" s="861"/>
      <c r="CZ1915" s="861"/>
      <c r="DA1915" s="861"/>
      <c r="DB1915" s="861"/>
      <c r="DC1915" s="861"/>
      <c r="DD1915" s="861"/>
      <c r="DE1915" s="861"/>
      <c r="DF1915" s="861"/>
      <c r="DG1915" s="861"/>
      <c r="DH1915" s="861"/>
      <c r="DI1915" s="861"/>
      <c r="DJ1915" s="861"/>
      <c r="DK1915" s="861"/>
      <c r="DL1915" s="861"/>
      <c r="DM1915" s="861"/>
      <c r="DN1915" s="861"/>
    </row>
    <row r="1916" spans="1:118" s="49" customFormat="1" ht="15" customHeight="1">
      <c r="A1916" s="868" t="s">
        <v>2956</v>
      </c>
      <c r="B1916" s="869">
        <v>25</v>
      </c>
      <c r="C1916" s="870">
        <v>30</v>
      </c>
      <c r="D1916" s="600" t="s">
        <v>2959</v>
      </c>
      <c r="E1916" s="871">
        <v>0.91</v>
      </c>
      <c r="F1916" s="862">
        <v>70.739999999999995</v>
      </c>
      <c r="G1916" s="824">
        <f t="shared" si="18"/>
        <v>0.40202874049027898</v>
      </c>
      <c r="H1916" s="132">
        <v>130</v>
      </c>
      <c r="I1916" s="861"/>
      <c r="J1916" s="861"/>
      <c r="K1916" s="861"/>
      <c r="L1916" s="861"/>
      <c r="M1916" s="861"/>
      <c r="N1916" s="861"/>
      <c r="O1916" s="861"/>
      <c r="P1916" s="861"/>
      <c r="Q1916" s="861"/>
      <c r="R1916" s="861"/>
      <c r="S1916" s="861"/>
      <c r="T1916" s="861"/>
      <c r="U1916" s="861"/>
      <c r="V1916" s="861"/>
      <c r="W1916" s="861"/>
      <c r="X1916" s="861"/>
      <c r="Y1916" s="861"/>
      <c r="Z1916" s="861"/>
      <c r="AA1916" s="861"/>
      <c r="AB1916" s="861"/>
      <c r="AC1916" s="861"/>
      <c r="AD1916" s="861"/>
      <c r="AE1916" s="861"/>
      <c r="AF1916" s="861"/>
      <c r="AG1916" s="861"/>
      <c r="AH1916" s="861"/>
      <c r="AI1916" s="861"/>
      <c r="AJ1916" s="861"/>
      <c r="AK1916" s="861"/>
      <c r="AL1916" s="861"/>
      <c r="AM1916" s="861"/>
      <c r="AN1916" s="861"/>
      <c r="AO1916" s="861"/>
      <c r="AP1916" s="861"/>
      <c r="AQ1916" s="861"/>
      <c r="AR1916" s="861"/>
      <c r="AS1916" s="861"/>
      <c r="AT1916" s="861"/>
      <c r="AU1916" s="861"/>
      <c r="AV1916" s="861"/>
      <c r="AW1916" s="861"/>
      <c r="AX1916" s="861"/>
      <c r="AY1916" s="861"/>
      <c r="AZ1916" s="861"/>
      <c r="BA1916" s="861"/>
      <c r="BB1916" s="861"/>
      <c r="BC1916" s="861"/>
      <c r="BD1916" s="861"/>
      <c r="BE1916" s="861"/>
      <c r="BF1916" s="861"/>
      <c r="BG1916" s="861"/>
      <c r="BH1916" s="861"/>
      <c r="BI1916" s="861"/>
      <c r="BJ1916" s="861"/>
      <c r="BK1916" s="861"/>
      <c r="BL1916" s="861"/>
      <c r="BM1916" s="861"/>
      <c r="BN1916" s="861"/>
      <c r="BO1916" s="861"/>
      <c r="BP1916" s="861"/>
      <c r="BQ1916" s="861"/>
      <c r="BR1916" s="861"/>
      <c r="BS1916" s="861"/>
      <c r="BT1916" s="861"/>
      <c r="BU1916" s="861"/>
      <c r="BV1916" s="861"/>
      <c r="BW1916" s="861"/>
      <c r="BX1916" s="861"/>
      <c r="BY1916" s="861"/>
      <c r="BZ1916" s="861"/>
      <c r="CA1916" s="861"/>
      <c r="CB1916" s="861"/>
      <c r="CC1916" s="861"/>
      <c r="CD1916" s="861"/>
      <c r="CE1916" s="861"/>
      <c r="CF1916" s="861"/>
      <c r="CG1916" s="861"/>
      <c r="CH1916" s="861"/>
      <c r="CI1916" s="861"/>
      <c r="CJ1916" s="861"/>
      <c r="CK1916" s="861"/>
      <c r="CL1916" s="861"/>
      <c r="CM1916" s="861"/>
      <c r="CN1916" s="861"/>
      <c r="CO1916" s="861"/>
      <c r="CP1916" s="861"/>
      <c r="CQ1916" s="861"/>
      <c r="CR1916" s="861"/>
      <c r="CS1916" s="861"/>
      <c r="CT1916" s="861"/>
      <c r="CU1916" s="861"/>
      <c r="CV1916" s="861"/>
      <c r="CW1916" s="861"/>
      <c r="CX1916" s="861"/>
      <c r="CY1916" s="861"/>
      <c r="CZ1916" s="861"/>
      <c r="DA1916" s="861"/>
      <c r="DB1916" s="861"/>
      <c r="DC1916" s="861"/>
      <c r="DD1916" s="861"/>
      <c r="DE1916" s="861"/>
      <c r="DF1916" s="861"/>
      <c r="DG1916" s="861"/>
      <c r="DH1916" s="861"/>
      <c r="DI1916" s="861"/>
      <c r="DJ1916" s="861"/>
      <c r="DK1916" s="861"/>
      <c r="DL1916" s="861"/>
      <c r="DM1916" s="861"/>
      <c r="DN1916" s="861"/>
    </row>
    <row r="1917" spans="1:118" s="49" customFormat="1" ht="15" customHeight="1">
      <c r="A1917" s="868" t="s">
        <v>2958</v>
      </c>
      <c r="B1917" s="872">
        <v>20</v>
      </c>
      <c r="C1917" s="870">
        <v>30</v>
      </c>
      <c r="D1917" s="600" t="s">
        <v>2959</v>
      </c>
      <c r="E1917" s="474">
        <v>0.88</v>
      </c>
      <c r="F1917" s="862">
        <v>68</v>
      </c>
      <c r="G1917" s="824">
        <f t="shared" si="18"/>
        <v>0.40559440559440563</v>
      </c>
      <c r="H1917" s="132">
        <v>130</v>
      </c>
      <c r="I1917" s="861"/>
      <c r="J1917" s="861"/>
      <c r="K1917" s="861"/>
      <c r="L1917" s="861"/>
      <c r="M1917" s="861"/>
      <c r="N1917" s="861"/>
      <c r="O1917" s="861"/>
      <c r="P1917" s="861"/>
      <c r="Q1917" s="861"/>
      <c r="R1917" s="861"/>
      <c r="S1917" s="861"/>
      <c r="T1917" s="861"/>
      <c r="U1917" s="861"/>
      <c r="V1917" s="861"/>
      <c r="W1917" s="861"/>
      <c r="X1917" s="861"/>
      <c r="Y1917" s="861"/>
      <c r="Z1917" s="861"/>
      <c r="AA1917" s="861"/>
      <c r="AB1917" s="861"/>
      <c r="AC1917" s="861"/>
      <c r="AD1917" s="861"/>
      <c r="AE1917" s="861"/>
      <c r="AF1917" s="861"/>
      <c r="AG1917" s="861"/>
      <c r="AH1917" s="861"/>
      <c r="AI1917" s="861"/>
      <c r="AJ1917" s="861"/>
      <c r="AK1917" s="861"/>
      <c r="AL1917" s="861"/>
      <c r="AM1917" s="861"/>
      <c r="AN1917" s="861"/>
      <c r="AO1917" s="861"/>
      <c r="AP1917" s="861"/>
      <c r="AQ1917" s="861"/>
      <c r="AR1917" s="861"/>
      <c r="AS1917" s="861"/>
      <c r="AT1917" s="861"/>
      <c r="AU1917" s="861"/>
      <c r="AV1917" s="861"/>
      <c r="AW1917" s="861"/>
      <c r="AX1917" s="861"/>
      <c r="AY1917" s="861"/>
      <c r="AZ1917" s="861"/>
      <c r="BA1917" s="861"/>
      <c r="BB1917" s="861"/>
      <c r="BC1917" s="861"/>
      <c r="BD1917" s="861"/>
      <c r="BE1917" s="861"/>
      <c r="BF1917" s="861"/>
      <c r="BG1917" s="861"/>
      <c r="BH1917" s="861"/>
      <c r="BI1917" s="861"/>
      <c r="BJ1917" s="861"/>
      <c r="BK1917" s="861"/>
      <c r="BL1917" s="861"/>
      <c r="BM1917" s="861"/>
      <c r="BN1917" s="861"/>
      <c r="BO1917" s="861"/>
      <c r="BP1917" s="861"/>
      <c r="BQ1917" s="861"/>
      <c r="BR1917" s="861"/>
      <c r="BS1917" s="861"/>
      <c r="BT1917" s="861"/>
      <c r="BU1917" s="861"/>
      <c r="BV1917" s="861"/>
      <c r="BW1917" s="861"/>
      <c r="BX1917" s="861"/>
      <c r="BY1917" s="861"/>
      <c r="BZ1917" s="861"/>
      <c r="CA1917" s="861"/>
      <c r="CB1917" s="861"/>
      <c r="CC1917" s="861"/>
      <c r="CD1917" s="861"/>
      <c r="CE1917" s="861"/>
      <c r="CF1917" s="861"/>
      <c r="CG1917" s="861"/>
      <c r="CH1917" s="861"/>
      <c r="CI1917" s="861"/>
      <c r="CJ1917" s="861"/>
      <c r="CK1917" s="861"/>
      <c r="CL1917" s="861"/>
      <c r="CM1917" s="861"/>
      <c r="CN1917" s="861"/>
      <c r="CO1917" s="861"/>
      <c r="CP1917" s="861"/>
      <c r="CQ1917" s="861"/>
      <c r="CR1917" s="861"/>
      <c r="CS1917" s="861"/>
      <c r="CT1917" s="861"/>
      <c r="CU1917" s="861"/>
      <c r="CV1917" s="861"/>
      <c r="CW1917" s="861"/>
      <c r="CX1917" s="861"/>
      <c r="CY1917" s="861"/>
      <c r="CZ1917" s="861"/>
      <c r="DA1917" s="861"/>
      <c r="DB1917" s="861"/>
      <c r="DC1917" s="861"/>
      <c r="DD1917" s="861"/>
      <c r="DE1917" s="861"/>
      <c r="DF1917" s="861"/>
      <c r="DG1917" s="861"/>
      <c r="DH1917" s="861"/>
      <c r="DI1917" s="861"/>
      <c r="DJ1917" s="861"/>
      <c r="DK1917" s="861"/>
      <c r="DL1917" s="861"/>
      <c r="DM1917" s="861"/>
      <c r="DN1917" s="861"/>
    </row>
    <row r="1918" spans="1:118" s="49" customFormat="1" ht="15" customHeight="1">
      <c r="A1918" s="868" t="s">
        <v>2958</v>
      </c>
      <c r="B1918" s="872">
        <v>25</v>
      </c>
      <c r="C1918" s="870">
        <v>30</v>
      </c>
      <c r="D1918" s="600" t="s">
        <v>2959</v>
      </c>
      <c r="E1918" s="474">
        <v>1.03</v>
      </c>
      <c r="F1918" s="862">
        <v>80</v>
      </c>
      <c r="G1918" s="824">
        <f t="shared" si="18"/>
        <v>0.40253920836445112</v>
      </c>
      <c r="H1918" s="132">
        <v>130</v>
      </c>
      <c r="I1918" s="861"/>
      <c r="J1918" s="861"/>
      <c r="K1918" s="861"/>
      <c r="L1918" s="861"/>
      <c r="M1918" s="861"/>
      <c r="N1918" s="861"/>
      <c r="O1918" s="861"/>
      <c r="P1918" s="861"/>
      <c r="Q1918" s="861"/>
      <c r="R1918" s="861"/>
      <c r="S1918" s="861"/>
      <c r="T1918" s="861"/>
      <c r="U1918" s="861"/>
      <c r="V1918" s="861"/>
      <c r="W1918" s="861"/>
      <c r="X1918" s="861"/>
      <c r="Y1918" s="861"/>
      <c r="Z1918" s="861"/>
      <c r="AA1918" s="861"/>
      <c r="AB1918" s="861"/>
      <c r="AC1918" s="861"/>
      <c r="AD1918" s="861"/>
      <c r="AE1918" s="861"/>
      <c r="AF1918" s="861"/>
      <c r="AG1918" s="861"/>
      <c r="AH1918" s="861"/>
      <c r="AI1918" s="861"/>
      <c r="AJ1918" s="861"/>
      <c r="AK1918" s="861"/>
      <c r="AL1918" s="861"/>
      <c r="AM1918" s="861"/>
      <c r="AN1918" s="861"/>
      <c r="AO1918" s="861"/>
      <c r="AP1918" s="861"/>
      <c r="AQ1918" s="861"/>
      <c r="AR1918" s="861"/>
      <c r="AS1918" s="861"/>
      <c r="AT1918" s="861"/>
      <c r="AU1918" s="861"/>
      <c r="AV1918" s="861"/>
      <c r="AW1918" s="861"/>
      <c r="AX1918" s="861"/>
      <c r="AY1918" s="861"/>
      <c r="AZ1918" s="861"/>
      <c r="BA1918" s="861"/>
      <c r="BB1918" s="861"/>
      <c r="BC1918" s="861"/>
      <c r="BD1918" s="861"/>
      <c r="BE1918" s="861"/>
      <c r="BF1918" s="861"/>
      <c r="BG1918" s="861"/>
      <c r="BH1918" s="861"/>
      <c r="BI1918" s="861"/>
      <c r="BJ1918" s="861"/>
      <c r="BK1918" s="861"/>
      <c r="BL1918" s="861"/>
      <c r="BM1918" s="861"/>
      <c r="BN1918" s="861"/>
      <c r="BO1918" s="861"/>
      <c r="BP1918" s="861"/>
      <c r="BQ1918" s="861"/>
      <c r="BR1918" s="861"/>
      <c r="BS1918" s="861"/>
      <c r="BT1918" s="861"/>
      <c r="BU1918" s="861"/>
      <c r="BV1918" s="861"/>
      <c r="BW1918" s="861"/>
      <c r="BX1918" s="861"/>
      <c r="BY1918" s="861"/>
      <c r="BZ1918" s="861"/>
      <c r="CA1918" s="861"/>
      <c r="CB1918" s="861"/>
      <c r="CC1918" s="861"/>
      <c r="CD1918" s="861"/>
      <c r="CE1918" s="861"/>
      <c r="CF1918" s="861"/>
      <c r="CG1918" s="861"/>
      <c r="CH1918" s="861"/>
      <c r="CI1918" s="861"/>
      <c r="CJ1918" s="861"/>
      <c r="CK1918" s="861"/>
      <c r="CL1918" s="861"/>
      <c r="CM1918" s="861"/>
      <c r="CN1918" s="861"/>
      <c r="CO1918" s="861"/>
      <c r="CP1918" s="861"/>
      <c r="CQ1918" s="861"/>
      <c r="CR1918" s="861"/>
      <c r="CS1918" s="861"/>
      <c r="CT1918" s="861"/>
      <c r="CU1918" s="861"/>
      <c r="CV1918" s="861"/>
      <c r="CW1918" s="861"/>
      <c r="CX1918" s="861"/>
      <c r="CY1918" s="861"/>
      <c r="CZ1918" s="861"/>
      <c r="DA1918" s="861"/>
      <c r="DB1918" s="861"/>
      <c r="DC1918" s="861"/>
      <c r="DD1918" s="861"/>
      <c r="DE1918" s="861"/>
      <c r="DF1918" s="861"/>
      <c r="DG1918" s="861"/>
      <c r="DH1918" s="861"/>
      <c r="DI1918" s="861"/>
      <c r="DJ1918" s="861"/>
      <c r="DK1918" s="861"/>
      <c r="DL1918" s="861"/>
      <c r="DM1918" s="861"/>
      <c r="DN1918" s="861"/>
    </row>
    <row r="1919" spans="1:118" s="49" customFormat="1" ht="15" customHeight="1">
      <c r="A1919" s="868" t="s">
        <v>2961</v>
      </c>
      <c r="B1919" s="872">
        <v>20</v>
      </c>
      <c r="C1919" s="870">
        <v>30</v>
      </c>
      <c r="D1919" s="600" t="s">
        <v>2959</v>
      </c>
      <c r="E1919" s="474">
        <v>0.86</v>
      </c>
      <c r="F1919" s="862">
        <v>66.5</v>
      </c>
      <c r="G1919" s="824">
        <f t="shared" si="18"/>
        <v>0.40518783542039355</v>
      </c>
      <c r="H1919" s="132">
        <v>130</v>
      </c>
      <c r="I1919" s="861"/>
      <c r="J1919" s="861"/>
      <c r="K1919" s="861"/>
      <c r="L1919" s="861"/>
      <c r="M1919" s="861"/>
      <c r="N1919" s="861"/>
      <c r="O1919" s="861"/>
      <c r="P1919" s="861"/>
      <c r="Q1919" s="861"/>
      <c r="R1919" s="861"/>
      <c r="S1919" s="861"/>
      <c r="T1919" s="861"/>
      <c r="U1919" s="861"/>
      <c r="V1919" s="861"/>
      <c r="W1919" s="861"/>
      <c r="X1919" s="861"/>
      <c r="Y1919" s="861"/>
      <c r="Z1919" s="861"/>
      <c r="AA1919" s="861"/>
      <c r="AB1919" s="861"/>
      <c r="AC1919" s="861"/>
      <c r="AD1919" s="861"/>
      <c r="AE1919" s="861"/>
      <c r="AF1919" s="861"/>
      <c r="AG1919" s="861"/>
      <c r="AH1919" s="861"/>
      <c r="AI1919" s="861"/>
      <c r="AJ1919" s="861"/>
      <c r="AK1919" s="861"/>
      <c r="AL1919" s="861"/>
      <c r="AM1919" s="861"/>
      <c r="AN1919" s="861"/>
      <c r="AO1919" s="861"/>
      <c r="AP1919" s="861"/>
      <c r="AQ1919" s="861"/>
      <c r="AR1919" s="861"/>
      <c r="AS1919" s="861"/>
      <c r="AT1919" s="861"/>
      <c r="AU1919" s="861"/>
      <c r="AV1919" s="861"/>
      <c r="AW1919" s="861"/>
      <c r="AX1919" s="861"/>
      <c r="AY1919" s="861"/>
      <c r="AZ1919" s="861"/>
      <c r="BA1919" s="861"/>
      <c r="BB1919" s="861"/>
      <c r="BC1919" s="861"/>
      <c r="BD1919" s="861"/>
      <c r="BE1919" s="861"/>
      <c r="BF1919" s="861"/>
      <c r="BG1919" s="861"/>
      <c r="BH1919" s="861"/>
      <c r="BI1919" s="861"/>
      <c r="BJ1919" s="861"/>
      <c r="BK1919" s="861"/>
      <c r="BL1919" s="861"/>
      <c r="BM1919" s="861"/>
      <c r="BN1919" s="861"/>
      <c r="BO1919" s="861"/>
      <c r="BP1919" s="861"/>
      <c r="BQ1919" s="861"/>
      <c r="BR1919" s="861"/>
      <c r="BS1919" s="861"/>
      <c r="BT1919" s="861"/>
      <c r="BU1919" s="861"/>
      <c r="BV1919" s="861"/>
      <c r="BW1919" s="861"/>
      <c r="BX1919" s="861"/>
      <c r="BY1919" s="861"/>
      <c r="BZ1919" s="861"/>
      <c r="CA1919" s="861"/>
      <c r="CB1919" s="861"/>
      <c r="CC1919" s="861"/>
      <c r="CD1919" s="861"/>
      <c r="CE1919" s="861"/>
      <c r="CF1919" s="861"/>
      <c r="CG1919" s="861"/>
      <c r="CH1919" s="861"/>
      <c r="CI1919" s="861"/>
      <c r="CJ1919" s="861"/>
      <c r="CK1919" s="861"/>
      <c r="CL1919" s="861"/>
      <c r="CM1919" s="861"/>
      <c r="CN1919" s="861"/>
      <c r="CO1919" s="861"/>
      <c r="CP1919" s="861"/>
      <c r="CQ1919" s="861"/>
      <c r="CR1919" s="861"/>
      <c r="CS1919" s="861"/>
      <c r="CT1919" s="861"/>
      <c r="CU1919" s="861"/>
      <c r="CV1919" s="861"/>
      <c r="CW1919" s="861"/>
      <c r="CX1919" s="861"/>
      <c r="CY1919" s="861"/>
      <c r="CZ1919" s="861"/>
      <c r="DA1919" s="861"/>
      <c r="DB1919" s="861"/>
      <c r="DC1919" s="861"/>
      <c r="DD1919" s="861"/>
      <c r="DE1919" s="861"/>
      <c r="DF1919" s="861"/>
      <c r="DG1919" s="861"/>
      <c r="DH1919" s="861"/>
      <c r="DI1919" s="861"/>
      <c r="DJ1919" s="861"/>
      <c r="DK1919" s="861"/>
      <c r="DL1919" s="861"/>
      <c r="DM1919" s="861"/>
      <c r="DN1919" s="861"/>
    </row>
    <row r="1920" spans="1:118" s="49" customFormat="1" ht="15" customHeight="1">
      <c r="A1920" s="868" t="s">
        <v>2955</v>
      </c>
      <c r="B1920" s="872">
        <v>18</v>
      </c>
      <c r="C1920" s="870">
        <v>20</v>
      </c>
      <c r="D1920" s="600" t="s">
        <v>2960</v>
      </c>
      <c r="E1920" s="474">
        <v>1.62</v>
      </c>
      <c r="F1920" s="823">
        <v>126</v>
      </c>
      <c r="G1920" s="824">
        <f t="shared" si="18"/>
        <v>0.40170940170940178</v>
      </c>
      <c r="H1920" s="132">
        <v>130</v>
      </c>
      <c r="I1920" s="861"/>
      <c r="J1920" s="861"/>
      <c r="K1920" s="861"/>
      <c r="L1920" s="861"/>
      <c r="M1920" s="861"/>
      <c r="N1920" s="861"/>
      <c r="O1920" s="861"/>
      <c r="P1920" s="861"/>
      <c r="Q1920" s="861"/>
      <c r="R1920" s="861"/>
      <c r="S1920" s="861"/>
      <c r="T1920" s="861"/>
      <c r="U1920" s="861"/>
      <c r="V1920" s="861"/>
      <c r="W1920" s="861"/>
      <c r="X1920" s="861"/>
      <c r="Y1920" s="861"/>
      <c r="Z1920" s="861"/>
      <c r="AA1920" s="861"/>
      <c r="AB1920" s="861"/>
      <c r="AC1920" s="861"/>
      <c r="AD1920" s="861"/>
      <c r="AE1920" s="861"/>
      <c r="AF1920" s="861"/>
      <c r="AG1920" s="861"/>
      <c r="AH1920" s="861"/>
      <c r="AI1920" s="861"/>
      <c r="AJ1920" s="861"/>
      <c r="AK1920" s="861"/>
      <c r="AL1920" s="861"/>
      <c r="AM1920" s="861"/>
      <c r="AN1920" s="861"/>
      <c r="AO1920" s="861"/>
      <c r="AP1920" s="861"/>
      <c r="AQ1920" s="861"/>
      <c r="AR1920" s="861"/>
      <c r="AS1920" s="861"/>
      <c r="AT1920" s="861"/>
      <c r="AU1920" s="861"/>
      <c r="AV1920" s="861"/>
      <c r="AW1920" s="861"/>
      <c r="AX1920" s="861"/>
      <c r="AY1920" s="861"/>
      <c r="AZ1920" s="861"/>
      <c r="BA1920" s="861"/>
      <c r="BB1920" s="861"/>
      <c r="BC1920" s="861"/>
      <c r="BD1920" s="861"/>
      <c r="BE1920" s="861"/>
      <c r="BF1920" s="861"/>
      <c r="BG1920" s="861"/>
      <c r="BH1920" s="861"/>
      <c r="BI1920" s="861"/>
      <c r="BJ1920" s="861"/>
      <c r="BK1920" s="861"/>
      <c r="BL1920" s="861"/>
      <c r="BM1920" s="861"/>
      <c r="BN1920" s="861"/>
      <c r="BO1920" s="861"/>
      <c r="BP1920" s="861"/>
      <c r="BQ1920" s="861"/>
      <c r="BR1920" s="861"/>
      <c r="BS1920" s="861"/>
      <c r="BT1920" s="861"/>
      <c r="BU1920" s="861"/>
      <c r="BV1920" s="861"/>
      <c r="BW1920" s="861"/>
      <c r="BX1920" s="861"/>
      <c r="BY1920" s="861"/>
      <c r="BZ1920" s="861"/>
      <c r="CA1920" s="861"/>
      <c r="CB1920" s="861"/>
      <c r="CC1920" s="861"/>
      <c r="CD1920" s="861"/>
      <c r="CE1920" s="861"/>
      <c r="CF1920" s="861"/>
      <c r="CG1920" s="861"/>
      <c r="CH1920" s="861"/>
      <c r="CI1920" s="861"/>
      <c r="CJ1920" s="861"/>
      <c r="CK1920" s="861"/>
      <c r="CL1920" s="861"/>
      <c r="CM1920" s="861"/>
      <c r="CN1920" s="861"/>
      <c r="CO1920" s="861"/>
      <c r="CP1920" s="861"/>
      <c r="CQ1920" s="861"/>
      <c r="CR1920" s="861"/>
      <c r="CS1920" s="861"/>
      <c r="CT1920" s="861"/>
      <c r="CU1920" s="861"/>
      <c r="CV1920" s="861"/>
      <c r="CW1920" s="861"/>
      <c r="CX1920" s="861"/>
      <c r="CY1920" s="861"/>
      <c r="CZ1920" s="861"/>
      <c r="DA1920" s="861"/>
      <c r="DB1920" s="861"/>
      <c r="DC1920" s="861"/>
      <c r="DD1920" s="861"/>
      <c r="DE1920" s="861"/>
      <c r="DF1920" s="861"/>
      <c r="DG1920" s="861"/>
      <c r="DH1920" s="861"/>
      <c r="DI1920" s="861"/>
      <c r="DJ1920" s="861"/>
      <c r="DK1920" s="861"/>
      <c r="DL1920" s="861"/>
      <c r="DM1920" s="861"/>
      <c r="DN1920" s="861"/>
    </row>
    <row r="1921" spans="1:118" s="49" customFormat="1" ht="15" customHeight="1">
      <c r="A1921" s="868" t="s">
        <v>2955</v>
      </c>
      <c r="B1921" s="872">
        <v>24</v>
      </c>
      <c r="C1921" s="870">
        <v>20</v>
      </c>
      <c r="D1921" s="600" t="s">
        <v>2960</v>
      </c>
      <c r="E1921" s="474">
        <v>1.9</v>
      </c>
      <c r="F1921" s="823">
        <v>148</v>
      </c>
      <c r="G1921" s="824">
        <f t="shared" si="18"/>
        <v>0.40080971659919029</v>
      </c>
      <c r="H1921" s="132">
        <v>130</v>
      </c>
      <c r="I1921" s="861"/>
      <c r="J1921" s="861"/>
      <c r="K1921" s="861"/>
      <c r="L1921" s="861"/>
      <c r="M1921" s="861"/>
      <c r="N1921" s="861"/>
      <c r="O1921" s="861"/>
      <c r="P1921" s="861"/>
      <c r="Q1921" s="861"/>
      <c r="R1921" s="861"/>
      <c r="S1921" s="861"/>
      <c r="T1921" s="861"/>
      <c r="U1921" s="861"/>
      <c r="V1921" s="861"/>
      <c r="W1921" s="861"/>
      <c r="X1921" s="861"/>
      <c r="Y1921" s="861"/>
      <c r="Z1921" s="861"/>
      <c r="AA1921" s="861"/>
      <c r="AB1921" s="861"/>
      <c r="AC1921" s="861"/>
      <c r="AD1921" s="861"/>
      <c r="AE1921" s="861"/>
      <c r="AF1921" s="861"/>
      <c r="AG1921" s="861"/>
      <c r="AH1921" s="861"/>
      <c r="AI1921" s="861"/>
      <c r="AJ1921" s="861"/>
      <c r="AK1921" s="861"/>
      <c r="AL1921" s="861"/>
      <c r="AM1921" s="861"/>
      <c r="AN1921" s="861"/>
      <c r="AO1921" s="861"/>
      <c r="AP1921" s="861"/>
      <c r="AQ1921" s="861"/>
      <c r="AR1921" s="861"/>
      <c r="AS1921" s="861"/>
      <c r="AT1921" s="861"/>
      <c r="AU1921" s="861"/>
      <c r="AV1921" s="861"/>
      <c r="AW1921" s="861"/>
      <c r="AX1921" s="861"/>
      <c r="AY1921" s="861"/>
      <c r="AZ1921" s="861"/>
      <c r="BA1921" s="861"/>
      <c r="BB1921" s="861"/>
      <c r="BC1921" s="861"/>
      <c r="BD1921" s="861"/>
      <c r="BE1921" s="861"/>
      <c r="BF1921" s="861"/>
      <c r="BG1921" s="861"/>
      <c r="BH1921" s="861"/>
      <c r="BI1921" s="861"/>
      <c r="BJ1921" s="861"/>
      <c r="BK1921" s="861"/>
      <c r="BL1921" s="861"/>
      <c r="BM1921" s="861"/>
      <c r="BN1921" s="861"/>
      <c r="BO1921" s="861"/>
      <c r="BP1921" s="861"/>
      <c r="BQ1921" s="861"/>
      <c r="BR1921" s="861"/>
      <c r="BS1921" s="861"/>
      <c r="BT1921" s="861"/>
      <c r="BU1921" s="861"/>
      <c r="BV1921" s="861"/>
      <c r="BW1921" s="861"/>
      <c r="BX1921" s="861"/>
      <c r="BY1921" s="861"/>
      <c r="BZ1921" s="861"/>
      <c r="CA1921" s="861"/>
      <c r="CB1921" s="861"/>
      <c r="CC1921" s="861"/>
      <c r="CD1921" s="861"/>
      <c r="CE1921" s="861"/>
      <c r="CF1921" s="861"/>
      <c r="CG1921" s="861"/>
      <c r="CH1921" s="861"/>
      <c r="CI1921" s="861"/>
      <c r="CJ1921" s="861"/>
      <c r="CK1921" s="861"/>
      <c r="CL1921" s="861"/>
      <c r="CM1921" s="861"/>
      <c r="CN1921" s="861"/>
      <c r="CO1921" s="861"/>
      <c r="CP1921" s="861"/>
      <c r="CQ1921" s="861"/>
      <c r="CR1921" s="861"/>
      <c r="CS1921" s="861"/>
      <c r="CT1921" s="861"/>
      <c r="CU1921" s="861"/>
      <c r="CV1921" s="861"/>
      <c r="CW1921" s="861"/>
      <c r="CX1921" s="861"/>
      <c r="CY1921" s="861"/>
      <c r="CZ1921" s="861"/>
      <c r="DA1921" s="861"/>
      <c r="DB1921" s="861"/>
      <c r="DC1921" s="861"/>
      <c r="DD1921" s="861"/>
      <c r="DE1921" s="861"/>
      <c r="DF1921" s="861"/>
      <c r="DG1921" s="861"/>
      <c r="DH1921" s="861"/>
      <c r="DI1921" s="861"/>
      <c r="DJ1921" s="861"/>
      <c r="DK1921" s="861"/>
      <c r="DL1921" s="861"/>
      <c r="DM1921" s="861"/>
      <c r="DN1921" s="861"/>
    </row>
    <row r="1924" spans="1:118">
      <c r="A1924" s="878" t="s">
        <v>2990</v>
      </c>
      <c r="C1924" s="161" t="s">
        <v>2989</v>
      </c>
      <c r="D1924" s="766" t="s">
        <v>2821</v>
      </c>
      <c r="E1924" s="766" t="s">
        <v>2822</v>
      </c>
    </row>
    <row r="1925" spans="1:118" ht="25.5">
      <c r="A1925" s="762" t="s">
        <v>2986</v>
      </c>
      <c r="B1925" s="785" t="s">
        <v>2995</v>
      </c>
      <c r="C1925" s="255" t="s">
        <v>2987</v>
      </c>
      <c r="D1925" s="879"/>
      <c r="E1925" s="879"/>
    </row>
    <row r="1926" spans="1:118" ht="38.25">
      <c r="A1926" s="884" t="s">
        <v>2988</v>
      </c>
      <c r="B1926" s="742">
        <v>17.739999999999998</v>
      </c>
      <c r="C1926" s="129">
        <f>1420+300</f>
        <v>1720</v>
      </c>
      <c r="D1926" s="883">
        <f t="shared" ref="D1926:D1931" si="19">(((B1926*E1926)-C1926)/(B1926*E1926))</f>
        <v>0.19203307027433286</v>
      </c>
      <c r="E1926" s="132">
        <v>120</v>
      </c>
    </row>
    <row r="1927" spans="1:118" ht="25.5">
      <c r="A1927" s="880" t="s">
        <v>2991</v>
      </c>
      <c r="B1927" s="742">
        <f>ROUNDUP(C1927/0.8/120,2)</f>
        <v>15.11</v>
      </c>
      <c r="C1927" s="129">
        <f>1420+30</f>
        <v>1450</v>
      </c>
      <c r="D1927" s="881">
        <f t="shared" si="19"/>
        <v>0.20030884623869394</v>
      </c>
      <c r="E1927" s="882">
        <v>120</v>
      </c>
    </row>
    <row r="1928" spans="1:118" ht="25.5">
      <c r="A1928" s="880" t="s">
        <v>2992</v>
      </c>
      <c r="B1928" s="742">
        <f>ROUNDUP(C1928/0.8/120,2)</f>
        <v>14.28</v>
      </c>
      <c r="C1928" s="129">
        <f>1340+30</f>
        <v>1370</v>
      </c>
      <c r="D1928" s="881">
        <f t="shared" si="19"/>
        <v>0.20051353874883282</v>
      </c>
      <c r="E1928" s="882">
        <v>120</v>
      </c>
    </row>
    <row r="1929" spans="1:118" ht="25.5">
      <c r="A1929" s="880" t="s">
        <v>2993</v>
      </c>
      <c r="B1929" s="742">
        <f>ROUNDUP(C1929/0.8/120,2)</f>
        <v>13.75</v>
      </c>
      <c r="C1929" s="129">
        <f>1290+30</f>
        <v>1320</v>
      </c>
      <c r="D1929" s="881">
        <f t="shared" si="19"/>
        <v>0.2</v>
      </c>
      <c r="E1929" s="882">
        <v>120</v>
      </c>
    </row>
    <row r="1930" spans="1:118" ht="25.5">
      <c r="A1930" s="880" t="s">
        <v>2994</v>
      </c>
      <c r="B1930" s="742">
        <f>ROUNDUP(C1930/0.8/120,2)</f>
        <v>12.92</v>
      </c>
      <c r="C1930" s="129">
        <f>1210+30</f>
        <v>1240</v>
      </c>
      <c r="D1930" s="881">
        <f t="shared" si="19"/>
        <v>0.20020639834881326</v>
      </c>
      <c r="E1930" s="882">
        <v>120</v>
      </c>
    </row>
    <row r="1931" spans="1:118" ht="25.5">
      <c r="A1931" s="880" t="s">
        <v>3159</v>
      </c>
      <c r="B1931" s="742">
        <v>12.12</v>
      </c>
      <c r="C1931" s="129">
        <f>1230+30</f>
        <v>1260</v>
      </c>
      <c r="D1931" s="881">
        <f t="shared" si="19"/>
        <v>0.20030464584920027</v>
      </c>
      <c r="E1931" s="882">
        <v>130</v>
      </c>
      <c r="F1931" t="s">
        <v>3158</v>
      </c>
    </row>
    <row r="1934" spans="1:118">
      <c r="A1934" s="903" t="s">
        <v>3015</v>
      </c>
    </row>
    <row r="1935" spans="1:118" s="899" customFormat="1" ht="25.5">
      <c r="A1935" s="908" t="s">
        <v>221</v>
      </c>
      <c r="B1935" s="895" t="s">
        <v>158</v>
      </c>
      <c r="C1935" s="896" t="s">
        <v>235</v>
      </c>
      <c r="D1935" s="897" t="s">
        <v>273</v>
      </c>
      <c r="E1935" s="897" t="s">
        <v>210</v>
      </c>
      <c r="F1935" s="898" t="s">
        <v>2823</v>
      </c>
      <c r="G1935" s="820" t="s">
        <v>2957</v>
      </c>
      <c r="H1935" s="766" t="s">
        <v>2821</v>
      </c>
      <c r="I1935" s="766" t="s">
        <v>2822</v>
      </c>
    </row>
    <row r="1936" spans="1:118">
      <c r="A1936" s="909" t="s">
        <v>3016</v>
      </c>
      <c r="B1936" s="910">
        <v>4</v>
      </c>
      <c r="C1936" s="774" t="s">
        <v>3018</v>
      </c>
      <c r="D1936" s="774" t="s">
        <v>3019</v>
      </c>
      <c r="E1936" s="774" t="s">
        <v>3020</v>
      </c>
      <c r="F1936" s="911">
        <f t="shared" ref="F1936:F1951" si="20">ROUNDUP(G1936/0.6/120,2)</f>
        <v>1.06</v>
      </c>
      <c r="G1936" s="906">
        <v>76</v>
      </c>
      <c r="H1936" s="824">
        <f t="shared" ref="H1936:H1941" si="21">((F1936*I1936)-G1936)/(F1936*I1936)</f>
        <v>0.40251572327044027</v>
      </c>
      <c r="I1936" s="132">
        <v>120</v>
      </c>
    </row>
    <row r="1937" spans="1:152">
      <c r="A1937" s="909" t="s">
        <v>3016</v>
      </c>
      <c r="B1937" s="910">
        <v>6</v>
      </c>
      <c r="C1937" s="774" t="s">
        <v>3018</v>
      </c>
      <c r="D1937" s="774" t="s">
        <v>3019</v>
      </c>
      <c r="E1937" s="774" t="s">
        <v>3020</v>
      </c>
      <c r="F1937" s="911">
        <f t="shared" si="20"/>
        <v>1.21</v>
      </c>
      <c r="G1937" s="906">
        <v>87</v>
      </c>
      <c r="H1937" s="824">
        <f t="shared" si="21"/>
        <v>0.40082644628099168</v>
      </c>
      <c r="I1937" s="132">
        <v>120</v>
      </c>
    </row>
    <row r="1938" spans="1:152">
      <c r="A1938" s="909" t="s">
        <v>3016</v>
      </c>
      <c r="B1938" s="910">
        <v>9</v>
      </c>
      <c r="C1938" s="774" t="s">
        <v>3018</v>
      </c>
      <c r="D1938" s="774" t="s">
        <v>3019</v>
      </c>
      <c r="E1938" s="774" t="s">
        <v>3020</v>
      </c>
      <c r="F1938" s="911">
        <f t="shared" si="20"/>
        <v>1.45</v>
      </c>
      <c r="G1938" s="906">
        <v>104</v>
      </c>
      <c r="H1938" s="824">
        <f t="shared" si="21"/>
        <v>0.40229885057471265</v>
      </c>
      <c r="I1938" s="132">
        <v>120</v>
      </c>
    </row>
    <row r="1939" spans="1:152">
      <c r="A1939" s="909" t="s">
        <v>3016</v>
      </c>
      <c r="B1939" s="910">
        <v>15</v>
      </c>
      <c r="C1939" s="774" t="s">
        <v>3018</v>
      </c>
      <c r="D1939" s="774" t="s">
        <v>3019</v>
      </c>
      <c r="E1939" s="774" t="s">
        <v>3020</v>
      </c>
      <c r="F1939" s="911">
        <f t="shared" si="20"/>
        <v>1.7</v>
      </c>
      <c r="G1939" s="906">
        <v>122</v>
      </c>
      <c r="H1939" s="824">
        <f t="shared" si="21"/>
        <v>0.40196078431372551</v>
      </c>
      <c r="I1939" s="132">
        <v>120</v>
      </c>
    </row>
    <row r="1940" spans="1:152">
      <c r="A1940" s="909" t="s">
        <v>3016</v>
      </c>
      <c r="B1940" s="910">
        <v>20</v>
      </c>
      <c r="C1940" s="774" t="s">
        <v>3018</v>
      </c>
      <c r="D1940" s="774" t="s">
        <v>3019</v>
      </c>
      <c r="E1940" s="774" t="s">
        <v>3020</v>
      </c>
      <c r="F1940" s="911">
        <f t="shared" si="20"/>
        <v>1.8</v>
      </c>
      <c r="G1940" s="906">
        <v>129</v>
      </c>
      <c r="H1940" s="824">
        <f t="shared" si="21"/>
        <v>0.40277777777777779</v>
      </c>
      <c r="I1940" s="132">
        <v>120</v>
      </c>
    </row>
    <row r="1941" spans="1:152">
      <c r="A1941" s="909" t="s">
        <v>3016</v>
      </c>
      <c r="B1941" s="910">
        <v>30</v>
      </c>
      <c r="C1941" s="774" t="s">
        <v>3018</v>
      </c>
      <c r="D1941" s="774" t="s">
        <v>3019</v>
      </c>
      <c r="E1941" s="774" t="s">
        <v>3020</v>
      </c>
      <c r="F1941" s="911">
        <f t="shared" si="20"/>
        <v>2.5</v>
      </c>
      <c r="G1941" s="906">
        <v>180</v>
      </c>
      <c r="H1941" s="824">
        <f t="shared" si="21"/>
        <v>0.4</v>
      </c>
      <c r="I1941" s="132">
        <v>120</v>
      </c>
    </row>
    <row r="1942" spans="1:152">
      <c r="A1942" s="744">
        <v>4156</v>
      </c>
      <c r="B1942" s="910" t="s">
        <v>3025</v>
      </c>
      <c r="C1942" s="774" t="s">
        <v>3021</v>
      </c>
      <c r="D1942" s="774" t="s">
        <v>3022</v>
      </c>
      <c r="E1942" s="774" t="s">
        <v>3024</v>
      </c>
      <c r="F1942" s="911">
        <f t="shared" si="20"/>
        <v>1.19</v>
      </c>
      <c r="G1942" s="907">
        <v>85</v>
      </c>
      <c r="H1942" s="824">
        <f>((F1942*I1942)-G1942)/(F1942*I1942)</f>
        <v>0.40476190476190471</v>
      </c>
      <c r="I1942" s="132">
        <v>120</v>
      </c>
    </row>
    <row r="1943" spans="1:152">
      <c r="A1943" s="744">
        <v>4156</v>
      </c>
      <c r="B1943" s="910" t="s">
        <v>3026</v>
      </c>
      <c r="C1943" s="774" t="s">
        <v>3021</v>
      </c>
      <c r="D1943" s="774" t="s">
        <v>3022</v>
      </c>
      <c r="E1943" s="774" t="s">
        <v>3024</v>
      </c>
      <c r="F1943" s="911">
        <f t="shared" si="20"/>
        <v>1.35</v>
      </c>
      <c r="G1943" s="907">
        <v>97</v>
      </c>
      <c r="H1943" s="824">
        <f>((F1943*I1943)-G1943)/(F1943*I1943)</f>
        <v>0.40123456790123457</v>
      </c>
      <c r="I1943" s="132">
        <v>120</v>
      </c>
    </row>
    <row r="1944" spans="1:152">
      <c r="A1944" s="744">
        <v>4156</v>
      </c>
      <c r="B1944" s="910" t="s">
        <v>3027</v>
      </c>
      <c r="C1944" s="774" t="s">
        <v>3021</v>
      </c>
      <c r="D1944" s="774" t="s">
        <v>3022</v>
      </c>
      <c r="E1944" s="774" t="s">
        <v>3024</v>
      </c>
      <c r="F1944" s="911">
        <f t="shared" si="20"/>
        <v>1.73</v>
      </c>
      <c r="G1944" s="907">
        <v>124</v>
      </c>
      <c r="H1944" s="824">
        <f>((F1944*I1944)-G1944)/(F1944*I1944)</f>
        <v>0.40269749518304432</v>
      </c>
      <c r="I1944" s="132">
        <v>120</v>
      </c>
    </row>
    <row r="1945" spans="1:152" s="901" customFormat="1" ht="15" customHeight="1">
      <c r="A1945" s="772" t="s">
        <v>3012</v>
      </c>
      <c r="B1945" s="900">
        <v>4</v>
      </c>
      <c r="C1945" s="774" t="s">
        <v>3017</v>
      </c>
      <c r="D1945" s="774" t="s">
        <v>3013</v>
      </c>
      <c r="E1945" s="774" t="s">
        <v>3014</v>
      </c>
      <c r="F1945" s="911">
        <f t="shared" si="20"/>
        <v>0.25</v>
      </c>
      <c r="G1945" s="904">
        <v>18</v>
      </c>
      <c r="H1945" s="824">
        <f>((F1945*I1945)-G1945)/(F1945*I1945)</f>
        <v>0.4</v>
      </c>
      <c r="I1945" s="132">
        <v>120</v>
      </c>
      <c r="J1945" s="778"/>
      <c r="K1945" s="778"/>
      <c r="L1945" s="778"/>
      <c r="M1945" s="778"/>
      <c r="N1945" s="778"/>
      <c r="O1945" s="778"/>
      <c r="P1945" s="778"/>
      <c r="Q1945" s="778"/>
      <c r="R1945" s="778"/>
      <c r="S1945" s="778"/>
      <c r="T1945" s="778"/>
      <c r="U1945" s="778"/>
      <c r="V1945" s="778"/>
      <c r="W1945" s="778"/>
      <c r="X1945" s="778"/>
      <c r="Y1945" s="778"/>
      <c r="Z1945" s="778"/>
      <c r="AA1945" s="778"/>
      <c r="AB1945" s="778"/>
      <c r="AC1945" s="778"/>
      <c r="AD1945" s="778"/>
      <c r="AE1945" s="778"/>
      <c r="AF1945" s="778"/>
      <c r="AG1945" s="778"/>
      <c r="AH1945" s="778"/>
      <c r="AI1945" s="778"/>
      <c r="AJ1945" s="778"/>
      <c r="AK1945" s="778"/>
      <c r="AL1945" s="778"/>
      <c r="AM1945" s="778"/>
      <c r="AN1945" s="778"/>
      <c r="AO1945" s="778"/>
      <c r="AP1945" s="778"/>
      <c r="AQ1945" s="778"/>
      <c r="AR1945" s="778"/>
      <c r="AS1945" s="778"/>
      <c r="AT1945" s="778"/>
      <c r="AU1945" s="778"/>
      <c r="AV1945" s="778"/>
      <c r="AW1945" s="778"/>
      <c r="AX1945" s="778"/>
      <c r="AY1945" s="778"/>
      <c r="AZ1945" s="778"/>
      <c r="BA1945" s="778"/>
      <c r="BB1945" s="778"/>
      <c r="BC1945" s="778"/>
      <c r="BD1945" s="778"/>
      <c r="BE1945" s="778"/>
      <c r="BF1945" s="778"/>
      <c r="BG1945" s="778"/>
      <c r="BH1945" s="778"/>
      <c r="BI1945" s="778"/>
      <c r="BJ1945" s="778"/>
      <c r="BK1945" s="778"/>
      <c r="BL1945" s="778"/>
      <c r="BM1945" s="778"/>
      <c r="BN1945" s="778"/>
      <c r="BO1945" s="778"/>
      <c r="BP1945" s="778"/>
      <c r="BQ1945" s="778"/>
      <c r="BR1945" s="778"/>
      <c r="BS1945" s="778"/>
      <c r="BT1945" s="778"/>
      <c r="BU1945" s="778"/>
      <c r="BV1945" s="778"/>
      <c r="BW1945" s="778"/>
      <c r="BX1945" s="778"/>
      <c r="BY1945" s="778"/>
      <c r="BZ1945" s="778"/>
      <c r="CA1945" s="778"/>
      <c r="CB1945" s="778"/>
      <c r="CC1945" s="778"/>
      <c r="CD1945" s="778"/>
      <c r="CE1945" s="778"/>
      <c r="CF1945" s="778"/>
      <c r="CG1945" s="778"/>
      <c r="CH1945" s="778"/>
      <c r="CI1945" s="778"/>
      <c r="CJ1945" s="778"/>
      <c r="CK1945" s="778"/>
      <c r="CL1945" s="778"/>
      <c r="CM1945" s="778"/>
      <c r="CN1945" s="778"/>
      <c r="CO1945" s="778"/>
      <c r="CP1945" s="778"/>
      <c r="CQ1945" s="778"/>
      <c r="CR1945" s="778"/>
      <c r="CS1945" s="778"/>
      <c r="CT1945" s="778"/>
      <c r="CU1945" s="778"/>
      <c r="CV1945" s="778"/>
      <c r="CW1945" s="778"/>
      <c r="CX1945" s="778"/>
      <c r="CY1945" s="778"/>
      <c r="CZ1945" s="778"/>
      <c r="DA1945" s="778"/>
      <c r="DB1945" s="778"/>
      <c r="DC1945" s="778"/>
      <c r="DD1945" s="778"/>
      <c r="DE1945" s="778"/>
      <c r="DF1945" s="778"/>
      <c r="DG1945" s="778"/>
      <c r="DH1945" s="778"/>
      <c r="DI1945" s="778"/>
      <c r="DJ1945" s="778"/>
      <c r="DK1945" s="778"/>
      <c r="DL1945" s="778"/>
      <c r="DM1945" s="778"/>
      <c r="DN1945" s="778"/>
      <c r="DO1945" s="778"/>
      <c r="DP1945" s="778"/>
      <c r="DQ1945" s="778"/>
      <c r="DR1945" s="778"/>
      <c r="DS1945" s="778"/>
      <c r="DT1945" s="778"/>
      <c r="DU1945" s="778"/>
      <c r="DV1945" s="778"/>
      <c r="DW1945" s="778"/>
      <c r="DX1945" s="778"/>
      <c r="DY1945" s="778"/>
      <c r="DZ1945" s="778"/>
      <c r="EA1945" s="778"/>
      <c r="EB1945" s="778"/>
      <c r="EC1945" s="778"/>
      <c r="ED1945" s="778"/>
      <c r="EE1945" s="778"/>
      <c r="EF1945" s="778"/>
      <c r="EG1945" s="778"/>
      <c r="EH1945" s="778"/>
      <c r="EI1945" s="778"/>
      <c r="EJ1945" s="778"/>
      <c r="EK1945" s="778"/>
      <c r="EL1945" s="778"/>
      <c r="EM1945" s="778"/>
      <c r="EN1945" s="778"/>
      <c r="EO1945" s="778"/>
      <c r="EP1945" s="778"/>
      <c r="EQ1945" s="778"/>
      <c r="ER1945" s="778"/>
      <c r="ES1945" s="778"/>
      <c r="ET1945" s="778"/>
      <c r="EU1945" s="778"/>
      <c r="EV1945" s="778"/>
    </row>
    <row r="1946" spans="1:152" s="901" customFormat="1" ht="15" customHeight="1">
      <c r="A1946" s="772" t="s">
        <v>3012</v>
      </c>
      <c r="B1946" s="900">
        <v>6</v>
      </c>
      <c r="C1946" s="774" t="s">
        <v>3017</v>
      </c>
      <c r="D1946" s="774" t="s">
        <v>3013</v>
      </c>
      <c r="E1946" s="774" t="s">
        <v>3014</v>
      </c>
      <c r="F1946" s="911">
        <f t="shared" si="20"/>
        <v>0.32</v>
      </c>
      <c r="G1946" s="905">
        <v>23</v>
      </c>
      <c r="H1946" s="824">
        <f t="shared" ref="H1946:H1951" si="22">((F1946*I1946)-G1946)/(F1946*I1946)</f>
        <v>0.40104166666666663</v>
      </c>
      <c r="I1946" s="132">
        <v>120</v>
      </c>
      <c r="J1946" s="778"/>
      <c r="K1946" s="778"/>
      <c r="L1946" s="778"/>
      <c r="M1946" s="778"/>
      <c r="N1946" s="778"/>
      <c r="O1946" s="778"/>
      <c r="P1946" s="778"/>
      <c r="Q1946" s="778"/>
      <c r="R1946" s="778"/>
      <c r="S1946" s="778"/>
      <c r="T1946" s="778"/>
      <c r="U1946" s="778"/>
      <c r="V1946" s="778"/>
      <c r="W1946" s="778"/>
      <c r="X1946" s="778"/>
      <c r="Y1946" s="778"/>
      <c r="Z1946" s="778"/>
      <c r="AA1946" s="778"/>
      <c r="AB1946" s="778"/>
      <c r="AC1946" s="778"/>
      <c r="AD1946" s="778"/>
      <c r="AE1946" s="778"/>
      <c r="AF1946" s="778"/>
      <c r="AG1946" s="778"/>
      <c r="AH1946" s="778"/>
      <c r="AI1946" s="778"/>
      <c r="AJ1946" s="778"/>
      <c r="AK1946" s="778"/>
      <c r="AL1946" s="778"/>
      <c r="AM1946" s="778"/>
      <c r="AN1946" s="778"/>
      <c r="AO1946" s="778"/>
      <c r="AP1946" s="778"/>
      <c r="AQ1946" s="778"/>
      <c r="AR1946" s="778"/>
      <c r="AS1946" s="778"/>
      <c r="AT1946" s="778"/>
      <c r="AU1946" s="778"/>
      <c r="AV1946" s="778"/>
      <c r="AW1946" s="778"/>
      <c r="AX1946" s="778"/>
      <c r="AY1946" s="778"/>
      <c r="AZ1946" s="778"/>
      <c r="BA1946" s="778"/>
      <c r="BB1946" s="778"/>
      <c r="BC1946" s="778"/>
      <c r="BD1946" s="778"/>
      <c r="BE1946" s="778"/>
      <c r="BF1946" s="778"/>
      <c r="BG1946" s="778"/>
      <c r="BH1946" s="778"/>
      <c r="BI1946" s="778"/>
      <c r="BJ1946" s="778"/>
      <c r="BK1946" s="778"/>
      <c r="BL1946" s="778"/>
      <c r="BM1946" s="778"/>
      <c r="BN1946" s="778"/>
      <c r="BO1946" s="778"/>
      <c r="BP1946" s="778"/>
      <c r="BQ1946" s="778"/>
      <c r="BR1946" s="778"/>
      <c r="BS1946" s="778"/>
      <c r="BT1946" s="778"/>
      <c r="BU1946" s="778"/>
      <c r="BV1946" s="778"/>
      <c r="BW1946" s="778"/>
      <c r="BX1946" s="778"/>
      <c r="BY1946" s="778"/>
      <c r="BZ1946" s="778"/>
      <c r="CA1946" s="778"/>
      <c r="CB1946" s="778"/>
      <c r="CC1946" s="778"/>
      <c r="CD1946" s="778"/>
      <c r="CE1946" s="778"/>
      <c r="CF1946" s="778"/>
      <c r="CG1946" s="778"/>
      <c r="CH1946" s="778"/>
      <c r="CI1946" s="778"/>
      <c r="CJ1946" s="778"/>
      <c r="CK1946" s="778"/>
      <c r="CL1946" s="778"/>
      <c r="CM1946" s="778"/>
      <c r="CN1946" s="778"/>
      <c r="CO1946" s="778"/>
      <c r="CP1946" s="778"/>
      <c r="CQ1946" s="778"/>
      <c r="CR1946" s="778"/>
      <c r="CS1946" s="778"/>
      <c r="CT1946" s="778"/>
      <c r="CU1946" s="778"/>
      <c r="CV1946" s="778"/>
      <c r="CW1946" s="778"/>
      <c r="CX1946" s="778"/>
      <c r="CY1946" s="778"/>
      <c r="CZ1946" s="778"/>
      <c r="DA1946" s="778"/>
      <c r="DB1946" s="778"/>
      <c r="DC1946" s="778"/>
      <c r="DD1946" s="778"/>
      <c r="DE1946" s="778"/>
      <c r="DF1946" s="778"/>
      <c r="DG1946" s="778"/>
      <c r="DH1946" s="778"/>
      <c r="DI1946" s="778"/>
      <c r="DJ1946" s="778"/>
      <c r="DK1946" s="778"/>
      <c r="DL1946" s="778"/>
      <c r="DM1946" s="778"/>
      <c r="DN1946" s="778"/>
      <c r="DO1946" s="778"/>
      <c r="DP1946" s="778"/>
      <c r="DQ1946" s="778"/>
      <c r="DR1946" s="778"/>
      <c r="DS1946" s="778"/>
      <c r="DT1946" s="778"/>
      <c r="DU1946" s="778"/>
      <c r="DV1946" s="778"/>
      <c r="DW1946" s="778"/>
      <c r="DX1946" s="778"/>
      <c r="DY1946" s="778"/>
      <c r="DZ1946" s="778"/>
      <c r="EA1946" s="778"/>
      <c r="EB1946" s="778"/>
      <c r="EC1946" s="778"/>
      <c r="ED1946" s="778"/>
      <c r="EE1946" s="778"/>
      <c r="EF1946" s="778"/>
      <c r="EG1946" s="778"/>
      <c r="EH1946" s="778"/>
      <c r="EI1946" s="778"/>
      <c r="EJ1946" s="778"/>
      <c r="EK1946" s="778"/>
      <c r="EL1946" s="778"/>
      <c r="EM1946" s="778"/>
      <c r="EN1946" s="778"/>
      <c r="EO1946" s="778"/>
      <c r="EP1946" s="778"/>
      <c r="EQ1946" s="778"/>
      <c r="ER1946" s="778"/>
      <c r="ES1946" s="778"/>
      <c r="ET1946" s="778"/>
      <c r="EU1946" s="778"/>
      <c r="EV1946" s="778"/>
    </row>
    <row r="1947" spans="1:152" s="901" customFormat="1" ht="15" customHeight="1">
      <c r="A1947" s="772" t="s">
        <v>3012</v>
      </c>
      <c r="B1947" s="900">
        <v>9</v>
      </c>
      <c r="C1947" s="774" t="s">
        <v>3017</v>
      </c>
      <c r="D1947" s="774" t="s">
        <v>3013</v>
      </c>
      <c r="E1947" s="774" t="s">
        <v>3014</v>
      </c>
      <c r="F1947" s="911">
        <f t="shared" si="20"/>
        <v>0.42</v>
      </c>
      <c r="G1947" s="905">
        <v>30</v>
      </c>
      <c r="H1947" s="824">
        <f t="shared" si="22"/>
        <v>0.40476190476190477</v>
      </c>
      <c r="I1947" s="132">
        <v>120</v>
      </c>
      <c r="J1947" s="778"/>
      <c r="K1947" s="778"/>
      <c r="L1947" s="778"/>
      <c r="M1947" s="778"/>
      <c r="N1947" s="778"/>
      <c r="O1947" s="778"/>
      <c r="P1947" s="778"/>
      <c r="Q1947" s="778"/>
      <c r="R1947" s="778"/>
      <c r="S1947" s="778"/>
      <c r="T1947" s="778"/>
      <c r="U1947" s="778"/>
      <c r="V1947" s="778"/>
      <c r="W1947" s="778"/>
      <c r="X1947" s="778"/>
      <c r="Y1947" s="778"/>
      <c r="Z1947" s="778"/>
      <c r="AA1947" s="778"/>
      <c r="AB1947" s="778"/>
      <c r="AC1947" s="778"/>
      <c r="AD1947" s="778"/>
      <c r="AE1947" s="778"/>
      <c r="AF1947" s="778"/>
      <c r="AG1947" s="778"/>
      <c r="AH1947" s="778"/>
      <c r="AI1947" s="778"/>
      <c r="AJ1947" s="778"/>
      <c r="AK1947" s="778"/>
      <c r="AL1947" s="778"/>
      <c r="AM1947" s="778"/>
      <c r="AN1947" s="778"/>
      <c r="AO1947" s="778"/>
      <c r="AP1947" s="778"/>
      <c r="AQ1947" s="778"/>
      <c r="AR1947" s="778"/>
      <c r="AS1947" s="778"/>
      <c r="AT1947" s="778"/>
      <c r="AU1947" s="778"/>
      <c r="AV1947" s="778"/>
      <c r="AW1947" s="778"/>
      <c r="AX1947" s="778"/>
      <c r="AY1947" s="778"/>
      <c r="AZ1947" s="778"/>
      <c r="BA1947" s="778"/>
      <c r="BB1947" s="778"/>
      <c r="BC1947" s="778"/>
      <c r="BD1947" s="778"/>
      <c r="BE1947" s="778"/>
      <c r="BF1947" s="778"/>
      <c r="BG1947" s="778"/>
      <c r="BH1947" s="778"/>
      <c r="BI1947" s="778"/>
      <c r="BJ1947" s="778"/>
      <c r="BK1947" s="778"/>
      <c r="BL1947" s="778"/>
      <c r="BM1947" s="778"/>
      <c r="BN1947" s="778"/>
      <c r="BO1947" s="778"/>
      <c r="BP1947" s="778"/>
      <c r="BQ1947" s="778"/>
      <c r="BR1947" s="778"/>
      <c r="BS1947" s="778"/>
      <c r="BT1947" s="778"/>
      <c r="BU1947" s="778"/>
      <c r="BV1947" s="778"/>
      <c r="BW1947" s="778"/>
      <c r="BX1947" s="778"/>
      <c r="BY1947" s="778"/>
      <c r="BZ1947" s="778"/>
      <c r="CA1947" s="778"/>
      <c r="CB1947" s="778"/>
      <c r="CC1947" s="778"/>
      <c r="CD1947" s="778"/>
      <c r="CE1947" s="778"/>
      <c r="CF1947" s="778"/>
      <c r="CG1947" s="778"/>
      <c r="CH1947" s="778"/>
      <c r="CI1947" s="778"/>
      <c r="CJ1947" s="778"/>
      <c r="CK1947" s="778"/>
      <c r="CL1947" s="778"/>
      <c r="CM1947" s="778"/>
      <c r="CN1947" s="778"/>
      <c r="CO1947" s="778"/>
      <c r="CP1947" s="778"/>
      <c r="CQ1947" s="778"/>
      <c r="CR1947" s="778"/>
      <c r="CS1947" s="778"/>
      <c r="CT1947" s="778"/>
      <c r="CU1947" s="778"/>
      <c r="CV1947" s="778"/>
      <c r="CW1947" s="778"/>
      <c r="CX1947" s="778"/>
      <c r="CY1947" s="778"/>
      <c r="CZ1947" s="778"/>
      <c r="DA1947" s="778"/>
      <c r="DB1947" s="778"/>
      <c r="DC1947" s="778"/>
      <c r="DD1947" s="778"/>
      <c r="DE1947" s="778"/>
      <c r="DF1947" s="778"/>
      <c r="DG1947" s="778"/>
      <c r="DH1947" s="778"/>
      <c r="DI1947" s="778"/>
      <c r="DJ1947" s="778"/>
      <c r="DK1947" s="778"/>
      <c r="DL1947" s="778"/>
      <c r="DM1947" s="778"/>
      <c r="DN1947" s="778"/>
      <c r="DO1947" s="778"/>
      <c r="DP1947" s="778"/>
      <c r="DQ1947" s="778"/>
      <c r="DR1947" s="778"/>
      <c r="DS1947" s="778"/>
      <c r="DT1947" s="778"/>
      <c r="DU1947" s="778"/>
      <c r="DV1947" s="778"/>
      <c r="DW1947" s="778"/>
      <c r="DX1947" s="778"/>
      <c r="DY1947" s="778"/>
      <c r="DZ1947" s="778"/>
      <c r="EA1947" s="778"/>
      <c r="EB1947" s="778"/>
      <c r="EC1947" s="778"/>
      <c r="ED1947" s="778"/>
      <c r="EE1947" s="778"/>
      <c r="EF1947" s="778"/>
      <c r="EG1947" s="778"/>
      <c r="EH1947" s="778"/>
      <c r="EI1947" s="778"/>
      <c r="EJ1947" s="778"/>
      <c r="EK1947" s="778"/>
      <c r="EL1947" s="778"/>
      <c r="EM1947" s="778"/>
      <c r="EN1947" s="778"/>
      <c r="EO1947" s="778"/>
      <c r="EP1947" s="778"/>
      <c r="EQ1947" s="778"/>
      <c r="ER1947" s="778"/>
      <c r="ES1947" s="778"/>
      <c r="ET1947" s="778"/>
      <c r="EU1947" s="778"/>
      <c r="EV1947" s="778"/>
    </row>
    <row r="1948" spans="1:152" s="901" customFormat="1" ht="15" customHeight="1">
      <c r="A1948" s="772" t="s">
        <v>3012</v>
      </c>
      <c r="B1948" s="900">
        <v>12</v>
      </c>
      <c r="C1948" s="774" t="s">
        <v>3017</v>
      </c>
      <c r="D1948" s="774" t="s">
        <v>3013</v>
      </c>
      <c r="E1948" s="774" t="s">
        <v>3014</v>
      </c>
      <c r="F1948" s="911">
        <f t="shared" si="20"/>
        <v>0.56000000000000005</v>
      </c>
      <c r="G1948" s="905">
        <v>40</v>
      </c>
      <c r="H1948" s="824">
        <f t="shared" si="22"/>
        <v>0.40476190476190477</v>
      </c>
      <c r="I1948" s="132">
        <v>120</v>
      </c>
      <c r="J1948" s="778"/>
      <c r="K1948" s="778"/>
      <c r="L1948" s="778"/>
      <c r="M1948" s="778"/>
      <c r="N1948" s="778"/>
      <c r="O1948" s="778"/>
      <c r="P1948" s="778"/>
      <c r="Q1948" s="778"/>
      <c r="R1948" s="778"/>
      <c r="S1948" s="778"/>
      <c r="T1948" s="778"/>
      <c r="U1948" s="778"/>
      <c r="V1948" s="778"/>
      <c r="W1948" s="778"/>
      <c r="X1948" s="778"/>
      <c r="Y1948" s="778"/>
      <c r="Z1948" s="778"/>
      <c r="AA1948" s="778"/>
      <c r="AB1948" s="778"/>
      <c r="AC1948" s="778"/>
      <c r="AD1948" s="778"/>
      <c r="AE1948" s="778"/>
      <c r="AF1948" s="778"/>
      <c r="AG1948" s="778"/>
      <c r="AH1948" s="778"/>
      <c r="AI1948" s="778"/>
      <c r="AJ1948" s="778"/>
      <c r="AK1948" s="778"/>
      <c r="AL1948" s="778"/>
      <c r="AM1948" s="778"/>
      <c r="AN1948" s="778"/>
      <c r="AO1948" s="778"/>
      <c r="AP1948" s="778"/>
      <c r="AQ1948" s="778"/>
      <c r="AR1948" s="778"/>
      <c r="AS1948" s="778"/>
      <c r="AT1948" s="778"/>
      <c r="AU1948" s="778"/>
      <c r="AV1948" s="778"/>
      <c r="AW1948" s="778"/>
      <c r="AX1948" s="778"/>
      <c r="AY1948" s="778"/>
      <c r="AZ1948" s="778"/>
      <c r="BA1948" s="778"/>
      <c r="BB1948" s="778"/>
      <c r="BC1948" s="778"/>
      <c r="BD1948" s="778"/>
      <c r="BE1948" s="778"/>
      <c r="BF1948" s="778"/>
      <c r="BG1948" s="778"/>
      <c r="BH1948" s="778"/>
      <c r="BI1948" s="778"/>
      <c r="BJ1948" s="778"/>
      <c r="BK1948" s="778"/>
      <c r="BL1948" s="778"/>
      <c r="BM1948" s="778"/>
      <c r="BN1948" s="778"/>
      <c r="BO1948" s="778"/>
      <c r="BP1948" s="778"/>
      <c r="BQ1948" s="778"/>
      <c r="BR1948" s="778"/>
      <c r="BS1948" s="778"/>
      <c r="BT1948" s="778"/>
      <c r="BU1948" s="778"/>
      <c r="BV1948" s="778"/>
      <c r="BW1948" s="778"/>
      <c r="BX1948" s="778"/>
      <c r="BY1948" s="778"/>
      <c r="BZ1948" s="778"/>
      <c r="CA1948" s="778"/>
      <c r="CB1948" s="778"/>
      <c r="CC1948" s="778"/>
      <c r="CD1948" s="778"/>
      <c r="CE1948" s="778"/>
      <c r="CF1948" s="778"/>
      <c r="CG1948" s="778"/>
      <c r="CH1948" s="778"/>
      <c r="CI1948" s="778"/>
      <c r="CJ1948" s="778"/>
      <c r="CK1948" s="778"/>
      <c r="CL1948" s="778"/>
      <c r="CM1948" s="778"/>
      <c r="CN1948" s="778"/>
      <c r="CO1948" s="778"/>
      <c r="CP1948" s="778"/>
      <c r="CQ1948" s="778"/>
      <c r="CR1948" s="778"/>
      <c r="CS1948" s="778"/>
      <c r="CT1948" s="778"/>
      <c r="CU1948" s="778"/>
      <c r="CV1948" s="778"/>
      <c r="CW1948" s="778"/>
      <c r="CX1948" s="778"/>
      <c r="CY1948" s="778"/>
      <c r="CZ1948" s="778"/>
      <c r="DA1948" s="778"/>
      <c r="DB1948" s="778"/>
      <c r="DC1948" s="778"/>
      <c r="DD1948" s="778"/>
      <c r="DE1948" s="778"/>
      <c r="DF1948" s="778"/>
      <c r="DG1948" s="778"/>
      <c r="DH1948" s="778"/>
      <c r="DI1948" s="778"/>
      <c r="DJ1948" s="778"/>
      <c r="DK1948" s="778"/>
      <c r="DL1948" s="778"/>
      <c r="DM1948" s="778"/>
      <c r="DN1948" s="778"/>
      <c r="DO1948" s="778"/>
      <c r="DP1948" s="778"/>
      <c r="DQ1948" s="778"/>
      <c r="DR1948" s="778"/>
      <c r="DS1948" s="778"/>
      <c r="DT1948" s="778"/>
      <c r="DU1948" s="778"/>
      <c r="DV1948" s="778"/>
      <c r="DW1948" s="778"/>
      <c r="DX1948" s="778"/>
      <c r="DY1948" s="778"/>
      <c r="DZ1948" s="778"/>
      <c r="EA1948" s="778"/>
      <c r="EB1948" s="778"/>
      <c r="EC1948" s="778"/>
      <c r="ED1948" s="778"/>
      <c r="EE1948" s="778"/>
      <c r="EF1948" s="778"/>
      <c r="EG1948" s="778"/>
      <c r="EH1948" s="778"/>
      <c r="EI1948" s="778"/>
      <c r="EJ1948" s="778"/>
      <c r="EK1948" s="778"/>
      <c r="EL1948" s="778"/>
      <c r="EM1948" s="778"/>
      <c r="EN1948" s="778"/>
      <c r="EO1948" s="778"/>
      <c r="EP1948" s="778"/>
      <c r="EQ1948" s="778"/>
      <c r="ER1948" s="778"/>
      <c r="ES1948" s="778"/>
      <c r="ET1948" s="778"/>
      <c r="EU1948" s="778"/>
      <c r="EV1948" s="778"/>
    </row>
    <row r="1949" spans="1:152" s="901" customFormat="1" ht="15" customHeight="1">
      <c r="A1949" s="772" t="s">
        <v>3012</v>
      </c>
      <c r="B1949" s="900">
        <v>15</v>
      </c>
      <c r="C1949" s="774" t="s">
        <v>3017</v>
      </c>
      <c r="D1949" s="774" t="s">
        <v>3013</v>
      </c>
      <c r="E1949" s="774" t="s">
        <v>3014</v>
      </c>
      <c r="F1949" s="911">
        <f t="shared" si="20"/>
        <v>0.69000000000000006</v>
      </c>
      <c r="G1949" s="905">
        <v>49</v>
      </c>
      <c r="H1949" s="824">
        <f t="shared" si="22"/>
        <v>0.40821256038647352</v>
      </c>
      <c r="I1949" s="132">
        <v>120</v>
      </c>
      <c r="J1949" s="778"/>
      <c r="K1949" s="778"/>
      <c r="L1949" s="778"/>
      <c r="M1949" s="778"/>
      <c r="N1949" s="778"/>
      <c r="O1949" s="778"/>
      <c r="P1949" s="778"/>
      <c r="Q1949" s="778"/>
      <c r="R1949" s="778"/>
      <c r="S1949" s="778"/>
      <c r="T1949" s="778"/>
      <c r="U1949" s="778"/>
      <c r="V1949" s="778"/>
      <c r="W1949" s="778"/>
      <c r="X1949" s="778"/>
      <c r="Y1949" s="778"/>
      <c r="Z1949" s="778"/>
      <c r="AA1949" s="778"/>
      <c r="AB1949" s="778"/>
      <c r="AC1949" s="778"/>
      <c r="AD1949" s="778"/>
      <c r="AE1949" s="778"/>
      <c r="AF1949" s="778"/>
      <c r="AG1949" s="778"/>
      <c r="AH1949" s="778"/>
      <c r="AI1949" s="778"/>
      <c r="AJ1949" s="778"/>
      <c r="AK1949" s="778"/>
      <c r="AL1949" s="778"/>
      <c r="AM1949" s="778"/>
      <c r="AN1949" s="778"/>
      <c r="AO1949" s="778"/>
      <c r="AP1949" s="778"/>
      <c r="AQ1949" s="778"/>
      <c r="AR1949" s="778"/>
      <c r="AS1949" s="778"/>
      <c r="AT1949" s="778"/>
      <c r="AU1949" s="778"/>
      <c r="AV1949" s="778"/>
      <c r="AW1949" s="778"/>
      <c r="AX1949" s="778"/>
      <c r="AY1949" s="778"/>
      <c r="AZ1949" s="778"/>
      <c r="BA1949" s="778"/>
      <c r="BB1949" s="778"/>
      <c r="BC1949" s="778"/>
      <c r="BD1949" s="778"/>
      <c r="BE1949" s="778"/>
      <c r="BF1949" s="778"/>
      <c r="BG1949" s="778"/>
      <c r="BH1949" s="778"/>
      <c r="BI1949" s="778"/>
      <c r="BJ1949" s="778"/>
      <c r="BK1949" s="778"/>
      <c r="BL1949" s="778"/>
      <c r="BM1949" s="778"/>
      <c r="BN1949" s="778"/>
      <c r="BO1949" s="778"/>
      <c r="BP1949" s="778"/>
      <c r="BQ1949" s="778"/>
      <c r="BR1949" s="778"/>
      <c r="BS1949" s="778"/>
      <c r="BT1949" s="778"/>
      <c r="BU1949" s="778"/>
      <c r="BV1949" s="778"/>
      <c r="BW1949" s="778"/>
      <c r="BX1949" s="778"/>
      <c r="BY1949" s="778"/>
      <c r="BZ1949" s="778"/>
      <c r="CA1949" s="778"/>
      <c r="CB1949" s="778"/>
      <c r="CC1949" s="778"/>
      <c r="CD1949" s="778"/>
      <c r="CE1949" s="778"/>
      <c r="CF1949" s="778"/>
      <c r="CG1949" s="778"/>
      <c r="CH1949" s="778"/>
      <c r="CI1949" s="778"/>
      <c r="CJ1949" s="778"/>
      <c r="CK1949" s="778"/>
      <c r="CL1949" s="778"/>
      <c r="CM1949" s="778"/>
      <c r="CN1949" s="778"/>
      <c r="CO1949" s="778"/>
      <c r="CP1949" s="778"/>
      <c r="CQ1949" s="778"/>
      <c r="CR1949" s="778"/>
      <c r="CS1949" s="778"/>
      <c r="CT1949" s="778"/>
      <c r="CU1949" s="778"/>
      <c r="CV1949" s="778"/>
      <c r="CW1949" s="778"/>
      <c r="CX1949" s="778"/>
      <c r="CY1949" s="778"/>
      <c r="CZ1949" s="778"/>
      <c r="DA1949" s="778"/>
      <c r="DB1949" s="778"/>
      <c r="DC1949" s="778"/>
      <c r="DD1949" s="778"/>
      <c r="DE1949" s="778"/>
      <c r="DF1949" s="778"/>
      <c r="DG1949" s="778"/>
      <c r="DH1949" s="778"/>
      <c r="DI1949" s="778"/>
      <c r="DJ1949" s="778"/>
      <c r="DK1949" s="778"/>
      <c r="DL1949" s="778"/>
      <c r="DM1949" s="778"/>
      <c r="DN1949" s="778"/>
      <c r="DO1949" s="778"/>
      <c r="DP1949" s="778"/>
      <c r="DQ1949" s="778"/>
      <c r="DR1949" s="778"/>
      <c r="DS1949" s="778"/>
      <c r="DT1949" s="778"/>
      <c r="DU1949" s="778"/>
      <c r="DV1949" s="778"/>
      <c r="DW1949" s="778"/>
      <c r="DX1949" s="778"/>
      <c r="DY1949" s="778"/>
      <c r="DZ1949" s="778"/>
      <c r="EA1949" s="778"/>
      <c r="EB1949" s="778"/>
      <c r="EC1949" s="778"/>
      <c r="ED1949" s="778"/>
      <c r="EE1949" s="778"/>
      <c r="EF1949" s="778"/>
      <c r="EG1949" s="778"/>
      <c r="EH1949" s="778"/>
      <c r="EI1949" s="778"/>
      <c r="EJ1949" s="778"/>
      <c r="EK1949" s="778"/>
      <c r="EL1949" s="778"/>
      <c r="EM1949" s="778"/>
      <c r="EN1949" s="778"/>
      <c r="EO1949" s="778"/>
      <c r="EP1949" s="778"/>
      <c r="EQ1949" s="778"/>
      <c r="ER1949" s="778"/>
      <c r="ES1949" s="778"/>
      <c r="ET1949" s="778"/>
      <c r="EU1949" s="778"/>
      <c r="EV1949" s="778"/>
    </row>
    <row r="1950" spans="1:152" s="901" customFormat="1" ht="15" customHeight="1">
      <c r="A1950" s="772" t="s">
        <v>3012</v>
      </c>
      <c r="B1950" s="900">
        <v>18</v>
      </c>
      <c r="C1950" s="774" t="s">
        <v>3017</v>
      </c>
      <c r="D1950" s="774" t="s">
        <v>3013</v>
      </c>
      <c r="E1950" s="774" t="s">
        <v>3023</v>
      </c>
      <c r="F1950" s="911">
        <f t="shared" si="20"/>
        <v>0.81</v>
      </c>
      <c r="G1950" s="905">
        <v>58</v>
      </c>
      <c r="H1950" s="824">
        <f t="shared" si="22"/>
        <v>0.40329218106995884</v>
      </c>
      <c r="I1950" s="132">
        <v>120</v>
      </c>
      <c r="J1950" s="778"/>
      <c r="K1950" s="778"/>
      <c r="L1950" s="778"/>
      <c r="M1950" s="778"/>
      <c r="N1950" s="778"/>
      <c r="O1950" s="778"/>
      <c r="P1950" s="778"/>
      <c r="Q1950" s="778"/>
      <c r="R1950" s="778"/>
      <c r="S1950" s="778"/>
      <c r="T1950" s="778"/>
      <c r="U1950" s="778"/>
      <c r="V1950" s="778"/>
      <c r="W1950" s="778"/>
      <c r="X1950" s="778"/>
      <c r="Y1950" s="778"/>
      <c r="Z1950" s="778"/>
      <c r="AA1950" s="778"/>
      <c r="AB1950" s="778"/>
      <c r="AC1950" s="778"/>
      <c r="AD1950" s="778"/>
      <c r="AE1950" s="778"/>
      <c r="AF1950" s="778"/>
      <c r="AG1950" s="778"/>
      <c r="AH1950" s="778"/>
      <c r="AI1950" s="778"/>
      <c r="AJ1950" s="778"/>
      <c r="AK1950" s="778"/>
      <c r="AL1950" s="778"/>
      <c r="AM1950" s="778"/>
      <c r="AN1950" s="778"/>
      <c r="AO1950" s="778"/>
      <c r="AP1950" s="778"/>
      <c r="AQ1950" s="778"/>
      <c r="AR1950" s="778"/>
      <c r="AS1950" s="778"/>
      <c r="AT1950" s="778"/>
      <c r="AU1950" s="778"/>
      <c r="AV1950" s="778"/>
      <c r="AW1950" s="778"/>
      <c r="AX1950" s="778"/>
      <c r="AY1950" s="778"/>
      <c r="AZ1950" s="778"/>
      <c r="BA1950" s="778"/>
      <c r="BB1950" s="778"/>
      <c r="BC1950" s="778"/>
      <c r="BD1950" s="778"/>
      <c r="BE1950" s="778"/>
      <c r="BF1950" s="778"/>
      <c r="BG1950" s="778"/>
      <c r="BH1950" s="778"/>
      <c r="BI1950" s="778"/>
      <c r="BJ1950" s="778"/>
      <c r="BK1950" s="778"/>
      <c r="BL1950" s="778"/>
      <c r="BM1950" s="778"/>
      <c r="BN1950" s="778"/>
      <c r="BO1950" s="778"/>
      <c r="BP1950" s="778"/>
      <c r="BQ1950" s="778"/>
      <c r="BR1950" s="778"/>
      <c r="BS1950" s="778"/>
      <c r="BT1950" s="778"/>
      <c r="BU1950" s="778"/>
      <c r="BV1950" s="778"/>
      <c r="BW1950" s="778"/>
      <c r="BX1950" s="778"/>
      <c r="BY1950" s="778"/>
      <c r="BZ1950" s="778"/>
      <c r="CA1950" s="778"/>
      <c r="CB1950" s="778"/>
      <c r="CC1950" s="778"/>
      <c r="CD1950" s="778"/>
      <c r="CE1950" s="778"/>
      <c r="CF1950" s="778"/>
      <c r="CG1950" s="778"/>
      <c r="CH1950" s="778"/>
      <c r="CI1950" s="778"/>
      <c r="CJ1950" s="778"/>
      <c r="CK1950" s="778"/>
      <c r="CL1950" s="778"/>
      <c r="CM1950" s="778"/>
      <c r="CN1950" s="778"/>
      <c r="CO1950" s="778"/>
      <c r="CP1950" s="778"/>
      <c r="CQ1950" s="778"/>
      <c r="CR1950" s="778"/>
      <c r="CS1950" s="778"/>
      <c r="CT1950" s="778"/>
      <c r="CU1950" s="778"/>
      <c r="CV1950" s="778"/>
      <c r="CW1950" s="778"/>
      <c r="CX1950" s="778"/>
      <c r="CY1950" s="778"/>
      <c r="CZ1950" s="778"/>
      <c r="DA1950" s="778"/>
      <c r="DB1950" s="778"/>
      <c r="DC1950" s="778"/>
      <c r="DD1950" s="778"/>
      <c r="DE1950" s="778"/>
      <c r="DF1950" s="778"/>
      <c r="DG1950" s="778"/>
      <c r="DH1950" s="778"/>
      <c r="DI1950" s="778"/>
      <c r="DJ1950" s="778"/>
      <c r="DK1950" s="778"/>
      <c r="DL1950" s="778"/>
      <c r="DM1950" s="778"/>
      <c r="DN1950" s="778"/>
      <c r="DO1950" s="778"/>
      <c r="DP1950" s="778"/>
      <c r="DQ1950" s="778"/>
      <c r="DR1950" s="778"/>
      <c r="DS1950" s="778"/>
      <c r="DT1950" s="778"/>
      <c r="DU1950" s="778"/>
      <c r="DV1950" s="778"/>
      <c r="DW1950" s="778"/>
      <c r="DX1950" s="778"/>
      <c r="DY1950" s="778"/>
      <c r="DZ1950" s="778"/>
      <c r="EA1950" s="778"/>
      <c r="EB1950" s="778"/>
      <c r="EC1950" s="778"/>
      <c r="ED1950" s="778"/>
      <c r="EE1950" s="778"/>
      <c r="EF1950" s="778"/>
      <c r="EG1950" s="778"/>
      <c r="EH1950" s="778"/>
      <c r="EI1950" s="778"/>
      <c r="EJ1950" s="778"/>
      <c r="EK1950" s="778"/>
      <c r="EL1950" s="778"/>
      <c r="EM1950" s="778"/>
      <c r="EN1950" s="778"/>
      <c r="EO1950" s="778"/>
      <c r="EP1950" s="778"/>
      <c r="EQ1950" s="778"/>
      <c r="ER1950" s="778"/>
      <c r="ES1950" s="778"/>
      <c r="ET1950" s="778"/>
      <c r="EU1950" s="778"/>
      <c r="EV1950" s="778"/>
    </row>
    <row r="1951" spans="1:152" s="901" customFormat="1" ht="15" customHeight="1">
      <c r="A1951" s="772" t="s">
        <v>3012</v>
      </c>
      <c r="B1951" s="902">
        <v>9</v>
      </c>
      <c r="C1951" s="774" t="s">
        <v>3017</v>
      </c>
      <c r="D1951" s="774" t="s">
        <v>3013</v>
      </c>
      <c r="E1951" s="774" t="s">
        <v>3014</v>
      </c>
      <c r="F1951" s="911">
        <f t="shared" si="20"/>
        <v>0.81</v>
      </c>
      <c r="G1951" s="905">
        <v>58</v>
      </c>
      <c r="H1951" s="824">
        <f t="shared" si="22"/>
        <v>0.40329218106995884</v>
      </c>
      <c r="I1951" s="132">
        <v>120</v>
      </c>
      <c r="J1951" s="778"/>
      <c r="K1951" s="778"/>
      <c r="L1951" s="778"/>
      <c r="M1951" s="778"/>
      <c r="N1951" s="778"/>
      <c r="O1951" s="778"/>
      <c r="P1951" s="778"/>
      <c r="Q1951" s="778"/>
      <c r="R1951" s="778"/>
      <c r="S1951" s="778"/>
      <c r="T1951" s="778"/>
      <c r="U1951" s="778"/>
      <c r="V1951" s="778"/>
      <c r="W1951" s="778"/>
      <c r="X1951" s="778"/>
      <c r="Y1951" s="778"/>
      <c r="Z1951" s="778"/>
      <c r="AA1951" s="778"/>
      <c r="AB1951" s="778"/>
      <c r="AC1951" s="778"/>
      <c r="AD1951" s="778"/>
      <c r="AE1951" s="778"/>
      <c r="AF1951" s="778"/>
      <c r="AG1951" s="778"/>
      <c r="AH1951" s="778"/>
      <c r="AI1951" s="778"/>
      <c r="AJ1951" s="778"/>
      <c r="AK1951" s="778"/>
      <c r="AL1951" s="778"/>
      <c r="AM1951" s="778"/>
      <c r="AN1951" s="778"/>
      <c r="AO1951" s="778"/>
      <c r="AP1951" s="778"/>
      <c r="AQ1951" s="778"/>
      <c r="AR1951" s="778"/>
      <c r="AS1951" s="778"/>
      <c r="AT1951" s="778"/>
      <c r="AU1951" s="778"/>
      <c r="AV1951" s="778"/>
      <c r="AW1951" s="778"/>
      <c r="AX1951" s="778"/>
      <c r="AY1951" s="778"/>
      <c r="AZ1951" s="778"/>
      <c r="BA1951" s="778"/>
      <c r="BB1951" s="778"/>
      <c r="BC1951" s="778"/>
      <c r="BD1951" s="778"/>
      <c r="BE1951" s="778"/>
      <c r="BF1951" s="778"/>
      <c r="BG1951" s="778"/>
      <c r="BH1951" s="778"/>
      <c r="BI1951" s="778"/>
      <c r="BJ1951" s="778"/>
      <c r="BK1951" s="778"/>
      <c r="BL1951" s="778"/>
      <c r="BM1951" s="778"/>
      <c r="BN1951" s="778"/>
      <c r="BO1951" s="778"/>
      <c r="BP1951" s="778"/>
      <c r="BQ1951" s="778"/>
      <c r="BR1951" s="778"/>
      <c r="BS1951" s="778"/>
      <c r="BT1951" s="778"/>
      <c r="BU1951" s="778"/>
      <c r="BV1951" s="778"/>
      <c r="BW1951" s="778"/>
      <c r="BX1951" s="778"/>
      <c r="BY1951" s="778"/>
      <c r="BZ1951" s="778"/>
      <c r="CA1951" s="778"/>
      <c r="CB1951" s="778"/>
      <c r="CC1951" s="778"/>
      <c r="CD1951" s="778"/>
      <c r="CE1951" s="778"/>
      <c r="CF1951" s="778"/>
      <c r="CG1951" s="778"/>
      <c r="CH1951" s="778"/>
      <c r="CI1951" s="778"/>
      <c r="CJ1951" s="778"/>
      <c r="CK1951" s="778"/>
      <c r="CL1951" s="778"/>
      <c r="CM1951" s="778"/>
      <c r="CN1951" s="778"/>
      <c r="CO1951" s="778"/>
      <c r="CP1951" s="778"/>
      <c r="CQ1951" s="778"/>
      <c r="CR1951" s="778"/>
      <c r="CS1951" s="778"/>
      <c r="CT1951" s="778"/>
      <c r="CU1951" s="778"/>
      <c r="CV1951" s="778"/>
      <c r="CW1951" s="778"/>
      <c r="CX1951" s="778"/>
      <c r="CY1951" s="778"/>
      <c r="CZ1951" s="778"/>
      <c r="DA1951" s="778"/>
      <c r="DB1951" s="778"/>
      <c r="DC1951" s="778"/>
      <c r="DD1951" s="778"/>
      <c r="DE1951" s="778"/>
      <c r="DF1951" s="778"/>
      <c r="DG1951" s="778"/>
      <c r="DH1951" s="778"/>
      <c r="DI1951" s="778"/>
      <c r="DJ1951" s="778"/>
      <c r="DK1951" s="778"/>
      <c r="DL1951" s="778"/>
      <c r="DM1951" s="778"/>
      <c r="DN1951" s="778"/>
      <c r="DO1951" s="778"/>
      <c r="DP1951" s="778"/>
      <c r="DQ1951" s="778"/>
      <c r="DR1951" s="778"/>
      <c r="DS1951" s="778"/>
      <c r="DT1951" s="778"/>
      <c r="DU1951" s="778"/>
      <c r="DV1951" s="778"/>
      <c r="DW1951" s="778"/>
      <c r="DX1951" s="778"/>
      <c r="DY1951" s="778"/>
      <c r="DZ1951" s="778"/>
      <c r="EA1951" s="778"/>
      <c r="EB1951" s="778"/>
      <c r="EC1951" s="778"/>
      <c r="ED1951" s="778"/>
      <c r="EE1951" s="778"/>
      <c r="EF1951" s="778"/>
      <c r="EG1951" s="778"/>
      <c r="EH1951" s="778"/>
      <c r="EI1951" s="778"/>
      <c r="EJ1951" s="778"/>
      <c r="EK1951" s="778"/>
      <c r="EL1951" s="778"/>
      <c r="EM1951" s="778"/>
      <c r="EN1951" s="778"/>
      <c r="EO1951" s="778"/>
      <c r="EP1951" s="778"/>
      <c r="EQ1951" s="778"/>
      <c r="ER1951" s="778"/>
      <c r="ES1951" s="778"/>
      <c r="ET1951" s="778"/>
      <c r="EU1951" s="778"/>
      <c r="EV1951" s="778"/>
    </row>
    <row r="1955" spans="1:9" ht="13.5" customHeight="1">
      <c r="A1955" s="831" t="s">
        <v>3035</v>
      </c>
    </row>
    <row r="1956" spans="1:9" ht="13.5" customHeight="1">
      <c r="A1956" s="245" t="s">
        <v>224</v>
      </c>
      <c r="B1956" s="245" t="s">
        <v>3039</v>
      </c>
      <c r="C1956" s="245" t="s">
        <v>3028</v>
      </c>
      <c r="D1956" s="912" t="s">
        <v>3029</v>
      </c>
      <c r="E1956" s="912" t="s">
        <v>3030</v>
      </c>
      <c r="F1956" s="766" t="s">
        <v>3031</v>
      </c>
      <c r="G1956" s="766" t="s">
        <v>3032</v>
      </c>
      <c r="H1956" s="766" t="s">
        <v>2822</v>
      </c>
    </row>
    <row r="1957" spans="1:9" ht="13.5" customHeight="1">
      <c r="A1957" s="744" t="s">
        <v>3036</v>
      </c>
      <c r="B1957" s="744" t="s">
        <v>3038</v>
      </c>
      <c r="C1957" s="740" t="s">
        <v>3033</v>
      </c>
      <c r="D1957" s="913">
        <f>ROUNDUP(F1957/0.77/120,2)</f>
        <v>26.84</v>
      </c>
      <c r="E1957" s="913" t="s">
        <v>3034</v>
      </c>
      <c r="F1957" s="914">
        <f>2180+300</f>
        <v>2480</v>
      </c>
      <c r="G1957" s="915">
        <f>(D1957-(F1957/H1957))/D1957</f>
        <v>0.23000496770988568</v>
      </c>
      <c r="H1957">
        <v>120</v>
      </c>
      <c r="I1957" s="161"/>
    </row>
    <row r="1958" spans="1:9" ht="13.5" customHeight="1">
      <c r="A1958" s="744" t="s">
        <v>3036</v>
      </c>
      <c r="B1958" s="744" t="s">
        <v>3038</v>
      </c>
      <c r="C1958" s="740" t="s">
        <v>3041</v>
      </c>
      <c r="D1958" s="913">
        <f>ROUNDUP(F1958/0.77/120,2)</f>
        <v>23.6</v>
      </c>
      <c r="E1958" s="913"/>
      <c r="F1958" s="914">
        <v>2180</v>
      </c>
      <c r="G1958" s="915">
        <f>(D1958-(F1958/H1958))/D1958</f>
        <v>0.23022598870056496</v>
      </c>
      <c r="H1958">
        <v>120</v>
      </c>
      <c r="I1958" s="916"/>
    </row>
    <row r="1959" spans="1:9" ht="13.5" customHeight="1">
      <c r="A1959" s="744" t="s">
        <v>3037</v>
      </c>
      <c r="B1959" s="744" t="s">
        <v>3040</v>
      </c>
      <c r="C1959" s="740" t="s">
        <v>3033</v>
      </c>
      <c r="D1959" s="913">
        <f>ROUNDUP(F1959/0.77/120,2)</f>
        <v>24.900000000000002</v>
      </c>
      <c r="E1959" s="913" t="s">
        <v>3034</v>
      </c>
      <c r="F1959" s="914">
        <f>2000+300</f>
        <v>2300</v>
      </c>
      <c r="G1959" s="915">
        <f>(D1959-(F1959/H1959))/D1959</f>
        <v>0.23025435073627848</v>
      </c>
      <c r="H1959">
        <v>120</v>
      </c>
      <c r="I1959" s="161"/>
    </row>
    <row r="1960" spans="1:9" ht="13.5" customHeight="1">
      <c r="A1960" s="744" t="s">
        <v>3037</v>
      </c>
      <c r="B1960" s="744" t="s">
        <v>3040</v>
      </c>
      <c r="C1960" s="740" t="s">
        <v>3041</v>
      </c>
      <c r="D1960" s="913">
        <f>ROUNDUP(F1960/0.77/120,2)</f>
        <v>21.650000000000002</v>
      </c>
      <c r="E1960" s="913"/>
      <c r="F1960" s="914">
        <v>2000</v>
      </c>
      <c r="G1960" s="915">
        <f>(D1960-(F1960/H1960))/D1960</f>
        <v>0.23017705927636645</v>
      </c>
      <c r="H1960">
        <v>120</v>
      </c>
      <c r="I1960" s="916"/>
    </row>
    <row r="1963" spans="1:9" ht="15">
      <c r="A1963" s="245" t="s">
        <v>224</v>
      </c>
      <c r="B1963" s="245" t="s">
        <v>34</v>
      </c>
      <c r="C1963" s="245" t="s">
        <v>35</v>
      </c>
      <c r="D1963" s="245" t="s">
        <v>183</v>
      </c>
      <c r="E1963" s="87"/>
    </row>
    <row r="1964" spans="1:9" ht="15">
      <c r="A1964" s="37" t="s">
        <v>3042</v>
      </c>
      <c r="B1964" s="135" t="s">
        <v>3004</v>
      </c>
      <c r="C1964" s="248">
        <v>1</v>
      </c>
      <c r="D1964" s="918">
        <v>2100</v>
      </c>
      <c r="E1964" s="87">
        <f t="shared" ref="E1964:E1969" si="23">D1964*C1964</f>
        <v>2100</v>
      </c>
    </row>
    <row r="1965" spans="1:9" ht="15">
      <c r="A1965" s="37" t="s">
        <v>3042</v>
      </c>
      <c r="B1965" s="135" t="s">
        <v>3005</v>
      </c>
      <c r="C1965" s="248">
        <v>1</v>
      </c>
      <c r="D1965" s="918">
        <v>2100</v>
      </c>
      <c r="E1965" s="87">
        <f t="shared" si="23"/>
        <v>2100</v>
      </c>
    </row>
    <row r="1966" spans="1:9" ht="15">
      <c r="A1966" s="37" t="s">
        <v>3042</v>
      </c>
      <c r="B1966" s="917" t="s">
        <v>3043</v>
      </c>
      <c r="C1966" s="248">
        <v>1</v>
      </c>
      <c r="D1966" s="918">
        <v>3100</v>
      </c>
      <c r="E1966" s="87">
        <f t="shared" si="23"/>
        <v>3100</v>
      </c>
    </row>
    <row r="1967" spans="1:9" ht="15">
      <c r="A1967" s="37"/>
      <c r="B1967" s="917" t="s">
        <v>3044</v>
      </c>
      <c r="C1967" s="244">
        <v>1</v>
      </c>
      <c r="D1967" s="918">
        <v>15000</v>
      </c>
      <c r="E1967" s="87">
        <f t="shared" si="23"/>
        <v>15000</v>
      </c>
    </row>
    <row r="1968" spans="1:9" ht="15">
      <c r="A1968" s="37"/>
      <c r="B1968" s="37" t="s">
        <v>2804</v>
      </c>
      <c r="C1968" s="244">
        <v>3</v>
      </c>
      <c r="D1968" s="918">
        <v>500</v>
      </c>
      <c r="E1968" s="7">
        <f t="shared" si="23"/>
        <v>1500</v>
      </c>
    </row>
    <row r="1969" spans="1:8" ht="15">
      <c r="A1969" s="37"/>
      <c r="B1969" s="37" t="s">
        <v>266</v>
      </c>
      <c r="C1969" s="244">
        <v>1</v>
      </c>
      <c r="D1969" s="918">
        <v>1000</v>
      </c>
      <c r="E1969" s="212">
        <f t="shared" si="23"/>
        <v>1000</v>
      </c>
    </row>
    <row r="1970" spans="1:8">
      <c r="A1970" s="129"/>
      <c r="B1970" s="129"/>
      <c r="C1970" s="245" t="s">
        <v>3045</v>
      </c>
      <c r="D1970" s="919">
        <f>SUM(D1964:D1969)</f>
        <v>23800</v>
      </c>
    </row>
    <row r="1973" spans="1:8" ht="13.5" customHeight="1">
      <c r="A1973" s="831" t="s">
        <v>3046</v>
      </c>
    </row>
    <row r="1974" spans="1:8" ht="13.5" customHeight="1">
      <c r="A1974" s="245" t="s">
        <v>224</v>
      </c>
      <c r="B1974" s="245" t="s">
        <v>3028</v>
      </c>
      <c r="C1974" s="912" t="s">
        <v>3029</v>
      </c>
      <c r="D1974" s="912" t="s">
        <v>3030</v>
      </c>
      <c r="E1974" s="766" t="s">
        <v>3031</v>
      </c>
      <c r="F1974" s="766" t="s">
        <v>3032</v>
      </c>
      <c r="G1974" s="766" t="s">
        <v>2822</v>
      </c>
    </row>
    <row r="1975" spans="1:8" ht="13.5" customHeight="1">
      <c r="A1975" s="744" t="s">
        <v>3036</v>
      </c>
      <c r="B1975" s="740" t="s">
        <v>3033</v>
      </c>
      <c r="C1975" s="913">
        <f t="shared" ref="C1975:C1980" si="24">ROUNDUP(E1975/0.75/120,2)</f>
        <v>27.560000000000002</v>
      </c>
      <c r="D1975" s="913" t="s">
        <v>3034</v>
      </c>
      <c r="E1975" s="914">
        <f>2180+300</f>
        <v>2480</v>
      </c>
      <c r="F1975" s="915">
        <f t="shared" ref="F1975:F1980" si="25">(C1975-(E1975/G1975))/C1975</f>
        <v>0.25012094823415582</v>
      </c>
      <c r="G1975">
        <v>120</v>
      </c>
      <c r="H1975" s="161"/>
    </row>
    <row r="1976" spans="1:8" ht="13.5" customHeight="1">
      <c r="A1976" s="744" t="s">
        <v>3036</v>
      </c>
      <c r="B1976" s="740" t="s">
        <v>3041</v>
      </c>
      <c r="C1976" s="913">
        <f t="shared" si="24"/>
        <v>24.23</v>
      </c>
      <c r="D1976" s="913"/>
      <c r="E1976" s="914">
        <v>2180</v>
      </c>
      <c r="F1976" s="915">
        <f t="shared" si="25"/>
        <v>0.25024074838354654</v>
      </c>
      <c r="G1976">
        <v>120</v>
      </c>
      <c r="H1976" s="916"/>
    </row>
    <row r="1977" spans="1:8" ht="13.5" customHeight="1">
      <c r="A1977" s="744" t="s">
        <v>3037</v>
      </c>
      <c r="B1977" s="740" t="s">
        <v>3033</v>
      </c>
      <c r="C1977" s="913">
        <f t="shared" si="24"/>
        <v>25.560000000000002</v>
      </c>
      <c r="D1977" s="913" t="s">
        <v>3034</v>
      </c>
      <c r="E1977" s="914">
        <f>2000+300</f>
        <v>2300</v>
      </c>
      <c r="F1977" s="915">
        <f t="shared" si="25"/>
        <v>0.25013041210224313</v>
      </c>
      <c r="G1977">
        <v>120</v>
      </c>
      <c r="H1977" s="161"/>
    </row>
    <row r="1978" spans="1:8" ht="13.5" customHeight="1">
      <c r="A1978" s="744" t="s">
        <v>3037</v>
      </c>
      <c r="B1978" s="740" t="s">
        <v>3041</v>
      </c>
      <c r="C1978" s="913">
        <f t="shared" si="24"/>
        <v>22.23</v>
      </c>
      <c r="D1978" s="913"/>
      <c r="E1978" s="914">
        <v>2000</v>
      </c>
      <c r="F1978" s="915">
        <f t="shared" si="25"/>
        <v>0.25026240815714496</v>
      </c>
      <c r="G1978">
        <v>120</v>
      </c>
      <c r="H1978" s="916"/>
    </row>
    <row r="1979" spans="1:8" ht="13.5" customHeight="1">
      <c r="A1979" s="744" t="s">
        <v>3048</v>
      </c>
      <c r="B1979" s="740" t="s">
        <v>3052</v>
      </c>
      <c r="C1979" s="913">
        <f t="shared" si="24"/>
        <v>28.34</v>
      </c>
      <c r="D1979" s="913" t="s">
        <v>3034</v>
      </c>
      <c r="E1979" s="914">
        <f>2250+300</f>
        <v>2550</v>
      </c>
      <c r="F1979" s="915">
        <f t="shared" si="25"/>
        <v>0.25017642907551163</v>
      </c>
      <c r="G1979">
        <v>120</v>
      </c>
      <c r="H1979" s="161"/>
    </row>
    <row r="1980" spans="1:8" ht="13.5" customHeight="1">
      <c r="A1980" s="744" t="s">
        <v>3048</v>
      </c>
      <c r="B1980" s="740" t="s">
        <v>3053</v>
      </c>
      <c r="C1980" s="913">
        <f t="shared" si="24"/>
        <v>25</v>
      </c>
      <c r="D1980" s="913" t="s">
        <v>3047</v>
      </c>
      <c r="E1980" s="914">
        <v>2250</v>
      </c>
      <c r="F1980" s="915">
        <f t="shared" si="25"/>
        <v>0.25</v>
      </c>
      <c r="G1980">
        <v>120</v>
      </c>
      <c r="H1980" s="916"/>
    </row>
    <row r="1981" spans="1:8" ht="25.5">
      <c r="A1981" s="884" t="s">
        <v>3049</v>
      </c>
      <c r="B1981" s="884" t="s">
        <v>3051</v>
      </c>
      <c r="C1981" s="250">
        <f>ROUNDUP(E1981/0.8/120,2)</f>
        <v>16.150000000000002</v>
      </c>
      <c r="D1981" s="250"/>
      <c r="E1981" s="129">
        <f>1150+400</f>
        <v>1550</v>
      </c>
      <c r="F1981" s="883">
        <f>(((C1981*G1981)-E1981)/(C1981*G1981))</f>
        <v>0.20020639834881329</v>
      </c>
      <c r="G1981" s="132">
        <v>120</v>
      </c>
    </row>
    <row r="1982" spans="1:8">
      <c r="A1982" s="884" t="s">
        <v>3049</v>
      </c>
      <c r="B1982" s="740" t="s">
        <v>3050</v>
      </c>
      <c r="C1982" s="250">
        <f>ROUNDUP(E1982/0.8/120,2)</f>
        <v>12.299999999999999</v>
      </c>
      <c r="D1982" s="250"/>
      <c r="E1982" s="129">
        <f>1150+30</f>
        <v>1180</v>
      </c>
      <c r="F1982" s="881">
        <f>(((C1982*G1982)-E1982)/(C1982*G1982))</f>
        <v>0.20054200542005407</v>
      </c>
      <c r="G1982" s="882">
        <v>120</v>
      </c>
    </row>
    <row r="1983" spans="1:8" ht="13.5" customHeight="1">
      <c r="A1983" s="744" t="s">
        <v>3054</v>
      </c>
      <c r="B1983" s="740" t="s">
        <v>3056</v>
      </c>
      <c r="C1983" s="913">
        <f>ROUNDUP(E1983/0.75/120,2)</f>
        <v>55</v>
      </c>
      <c r="D1983" s="913"/>
      <c r="E1983" s="914">
        <f>3300*1.5</f>
        <v>4950</v>
      </c>
      <c r="F1983" s="915">
        <f>(C1983-(E1983/G1983))/C1983</f>
        <v>0.25</v>
      </c>
      <c r="G1983">
        <v>120</v>
      </c>
      <c r="H1983" s="161"/>
    </row>
    <row r="1984" spans="1:8" ht="13.5" customHeight="1">
      <c r="A1984" s="744" t="s">
        <v>3054</v>
      </c>
      <c r="B1984" s="740" t="s">
        <v>3055</v>
      </c>
      <c r="C1984" s="913">
        <f>ROUNDUP(E1984/0.75/120,2)</f>
        <v>36.669999999999995</v>
      </c>
      <c r="D1984" s="913"/>
      <c r="E1984" s="914">
        <v>3300</v>
      </c>
      <c r="F1984" s="915">
        <f>(C1984-(E1984/G1984))/C1984</f>
        <v>0.25006817562039801</v>
      </c>
      <c r="G1984">
        <v>120</v>
      </c>
      <c r="H1984" s="161"/>
    </row>
    <row r="1987" spans="1:7">
      <c r="A1987" s="878" t="s">
        <v>3057</v>
      </c>
      <c r="C1987" s="161" t="s">
        <v>2989</v>
      </c>
      <c r="D1987" s="766" t="s">
        <v>2821</v>
      </c>
      <c r="E1987" s="766" t="s">
        <v>2822</v>
      </c>
    </row>
    <row r="1988" spans="1:7" ht="25.5">
      <c r="A1988" s="762" t="s">
        <v>2986</v>
      </c>
      <c r="B1988" s="785" t="s">
        <v>3060</v>
      </c>
      <c r="C1988" s="255" t="s">
        <v>3061</v>
      </c>
      <c r="D1988" s="879"/>
      <c r="E1988" s="879"/>
    </row>
    <row r="1989" spans="1:7" ht="38.25">
      <c r="A1989" s="884" t="s">
        <v>3058</v>
      </c>
      <c r="B1989" s="742">
        <f>ROUNDUP(C1989/0.8/120,2)</f>
        <v>17.920000000000002</v>
      </c>
      <c r="C1989" s="129">
        <f>1420+300</f>
        <v>1720</v>
      </c>
      <c r="D1989" s="883">
        <f>(((B1989*E1989)-C1989)/(B1989*E1989))</f>
        <v>0.20014880952380956</v>
      </c>
      <c r="E1989" s="132">
        <v>120</v>
      </c>
    </row>
    <row r="1990" spans="1:7" ht="25.5">
      <c r="A1990" s="880" t="s">
        <v>2991</v>
      </c>
      <c r="B1990" s="742">
        <f>ROUNDUP(C1990/0.8/120,2)</f>
        <v>15.11</v>
      </c>
      <c r="C1990" s="129">
        <f>1420+30</f>
        <v>1450</v>
      </c>
      <c r="D1990" s="881">
        <f>(((B1990*E1990)-C1990)/(B1990*E1990))</f>
        <v>0.20030884623869394</v>
      </c>
      <c r="E1990" s="882">
        <v>120</v>
      </c>
    </row>
    <row r="1991" spans="1:7" ht="25.5">
      <c r="A1991" s="920" t="s">
        <v>3059</v>
      </c>
    </row>
    <row r="1994" spans="1:7">
      <c r="A1994" s="922" t="s">
        <v>224</v>
      </c>
      <c r="B1994" s="923" t="s">
        <v>33</v>
      </c>
      <c r="C1994" s="245" t="s">
        <v>95</v>
      </c>
      <c r="D1994" s="245" t="s">
        <v>211</v>
      </c>
      <c r="E1994" s="245" t="s">
        <v>227</v>
      </c>
      <c r="F1994" s="245" t="s">
        <v>228</v>
      </c>
      <c r="G1994" s="924" t="s">
        <v>2855</v>
      </c>
    </row>
    <row r="1995" spans="1:7">
      <c r="A1995" s="37">
        <v>2440</v>
      </c>
      <c r="B1995" s="921">
        <v>140</v>
      </c>
      <c r="C1995" s="37" t="s">
        <v>3062</v>
      </c>
      <c r="D1995" s="246">
        <v>58</v>
      </c>
      <c r="E1995" s="247">
        <v>9</v>
      </c>
      <c r="F1995" s="248">
        <f>D1995*E1995</f>
        <v>522</v>
      </c>
      <c r="G1995" s="742">
        <v>3.23</v>
      </c>
    </row>
    <row r="1996" spans="1:7">
      <c r="A1996" s="37"/>
      <c r="B1996" s="795"/>
      <c r="C1996" s="37" t="s">
        <v>266</v>
      </c>
      <c r="D1996" s="244"/>
      <c r="E1996" s="736"/>
      <c r="F1996" s="244">
        <v>1</v>
      </c>
      <c r="G1996" s="742">
        <v>20</v>
      </c>
    </row>
    <row r="1999" spans="1:7">
      <c r="A1999" s="878" t="s">
        <v>3057</v>
      </c>
      <c r="C1999" s="161" t="s">
        <v>2989</v>
      </c>
      <c r="D1999" s="766" t="s">
        <v>2821</v>
      </c>
      <c r="E1999" s="766" t="s">
        <v>2822</v>
      </c>
    </row>
    <row r="2000" spans="1:7" ht="25.5">
      <c r="A2000" s="762" t="s">
        <v>2986</v>
      </c>
      <c r="B2000" s="785" t="s">
        <v>3060</v>
      </c>
      <c r="C2000" s="255" t="s">
        <v>3061</v>
      </c>
      <c r="D2000" s="879"/>
      <c r="E2000" s="879"/>
    </row>
    <row r="2001" spans="1:8" ht="38.25">
      <c r="A2001" s="884" t="s">
        <v>3063</v>
      </c>
      <c r="B2001" s="742">
        <f>ROUNDUP(C2001/0.8/120,2)</f>
        <v>12.19</v>
      </c>
      <c r="C2001" s="129">
        <f>770+400</f>
        <v>1170</v>
      </c>
      <c r="D2001" s="883">
        <f>(((B2001*E2001)-C2001)/(B2001*E2001))</f>
        <v>0.2616899097621001</v>
      </c>
      <c r="E2001" s="132">
        <v>130</v>
      </c>
    </row>
    <row r="2002" spans="1:8" ht="25.5">
      <c r="A2002" s="884" t="s">
        <v>3064</v>
      </c>
      <c r="B2002" s="742">
        <v>9.8699999999999992</v>
      </c>
      <c r="C2002" s="129">
        <f>740+30</f>
        <v>770</v>
      </c>
      <c r="D2002" s="881">
        <f>(((B2002*E2002)-C2002)/(B2002*E2002))</f>
        <v>0.34988179669030728</v>
      </c>
      <c r="E2002" s="882">
        <v>120</v>
      </c>
    </row>
    <row r="2003" spans="1:8">
      <c r="A2003" s="920"/>
    </row>
    <row r="2004" spans="1:8" ht="14.25">
      <c r="A2004" s="925" t="s">
        <v>3067</v>
      </c>
    </row>
    <row r="2005" spans="1:8" s="239" customFormat="1" ht="25.5">
      <c r="A2005" s="242" t="s">
        <v>222</v>
      </c>
      <c r="B2005" s="252" t="s">
        <v>294</v>
      </c>
      <c r="C2005" s="251" t="s">
        <v>210</v>
      </c>
      <c r="D2005" s="931" t="s">
        <v>283</v>
      </c>
      <c r="E2005" s="251" t="s">
        <v>237</v>
      </c>
      <c r="F2005" s="926" t="s">
        <v>3068</v>
      </c>
      <c r="G2005" s="818" t="s">
        <v>2821</v>
      </c>
      <c r="H2005" s="927" t="s">
        <v>2822</v>
      </c>
    </row>
    <row r="2006" spans="1:8" s="239" customFormat="1" ht="24" customHeight="1">
      <c r="A2006" s="253" t="s">
        <v>3065</v>
      </c>
      <c r="B2006" s="253" t="s">
        <v>3066</v>
      </c>
      <c r="C2006" s="932" t="s">
        <v>3077</v>
      </c>
      <c r="D2006" s="254">
        <v>4.38</v>
      </c>
      <c r="E2006" s="928" t="s">
        <v>3074</v>
      </c>
      <c r="F2006" s="928">
        <f>390+30</f>
        <v>420</v>
      </c>
      <c r="G2006" s="929">
        <f>(D2006-(F2006/H2006))/D2006</f>
        <v>0.20091324200913241</v>
      </c>
      <c r="H2006" s="930">
        <v>120</v>
      </c>
    </row>
    <row r="2007" spans="1:8" s="239" customFormat="1" ht="24" customHeight="1">
      <c r="A2007" s="253" t="s">
        <v>3069</v>
      </c>
      <c r="B2007" s="253" t="s">
        <v>3070</v>
      </c>
      <c r="C2007" s="932" t="s">
        <v>3078</v>
      </c>
      <c r="D2007" s="254">
        <v>4.6900000000000004</v>
      </c>
      <c r="E2007" s="928" t="s">
        <v>3074</v>
      </c>
      <c r="F2007" s="928">
        <f>420+30</f>
        <v>450</v>
      </c>
      <c r="G2007" s="929">
        <f>(D2007-(F2007/H2007))/D2007</f>
        <v>0.20042643923240944</v>
      </c>
      <c r="H2007" s="930">
        <v>120</v>
      </c>
    </row>
    <row r="2008" spans="1:8">
      <c r="A2008" s="243"/>
      <c r="B2008" s="243"/>
      <c r="C2008" s="243"/>
      <c r="D2008" s="243"/>
      <c r="E2008" s="243"/>
    </row>
    <row r="2009" spans="1:8" ht="25.5">
      <c r="A2009" s="762" t="s">
        <v>2986</v>
      </c>
      <c r="B2009" s="252" t="s">
        <v>294</v>
      </c>
      <c r="C2009" s="251" t="s">
        <v>210</v>
      </c>
      <c r="D2009" s="933" t="s">
        <v>283</v>
      </c>
      <c r="E2009" s="251" t="s">
        <v>237</v>
      </c>
      <c r="F2009" s="255" t="s">
        <v>3061</v>
      </c>
      <c r="G2009" s="879"/>
      <c r="H2009" s="879"/>
    </row>
    <row r="2010" spans="1:8" ht="38.25">
      <c r="A2010" s="884" t="s">
        <v>3071</v>
      </c>
      <c r="B2010" s="884" t="s">
        <v>3073</v>
      </c>
      <c r="C2010" s="932" t="s">
        <v>3079</v>
      </c>
      <c r="D2010" s="742">
        <f>ROUNDUP(F2010/0.8/120,2)</f>
        <v>11.98</v>
      </c>
      <c r="E2010" s="250" t="s">
        <v>3075</v>
      </c>
      <c r="F2010" s="129">
        <f>850+300</f>
        <v>1150</v>
      </c>
      <c r="G2010" s="883">
        <f>(((D2010*H2010)-F2010)/(D2010*H2010))</f>
        <v>0.20005564830272685</v>
      </c>
      <c r="H2010" s="132">
        <v>120</v>
      </c>
    </row>
    <row r="2011" spans="1:8" ht="25.5">
      <c r="A2011" s="884" t="s">
        <v>3072</v>
      </c>
      <c r="B2011" s="884" t="s">
        <v>3073</v>
      </c>
      <c r="C2011" s="932" t="s">
        <v>3079</v>
      </c>
      <c r="D2011" s="742">
        <v>9.17</v>
      </c>
      <c r="E2011" s="250" t="s">
        <v>3076</v>
      </c>
      <c r="F2011" s="129">
        <f>850+30</f>
        <v>880</v>
      </c>
      <c r="G2011" s="881">
        <f>(((D2011*H2011)-F2011)/(D2011*H2011))</f>
        <v>0.20029080334423852</v>
      </c>
      <c r="H2011" s="882">
        <v>120</v>
      </c>
    </row>
    <row r="2014" spans="1:8" s="243" customFormat="1" ht="12.75">
      <c r="A2014" s="922" t="s">
        <v>224</v>
      </c>
      <c r="B2014" s="245" t="s">
        <v>95</v>
      </c>
      <c r="C2014" s="245" t="s">
        <v>211</v>
      </c>
      <c r="D2014" s="245" t="s">
        <v>227</v>
      </c>
      <c r="E2014" s="245" t="s">
        <v>228</v>
      </c>
      <c r="F2014" s="924" t="s">
        <v>2855</v>
      </c>
    </row>
    <row r="2015" spans="1:8" s="243" customFormat="1" ht="12.75">
      <c r="A2015" s="37" t="s">
        <v>3081</v>
      </c>
      <c r="B2015" s="740" t="s">
        <v>1958</v>
      </c>
      <c r="C2015" s="248">
        <v>58</v>
      </c>
      <c r="D2015" s="736">
        <v>26</v>
      </c>
      <c r="E2015" s="248">
        <f>C2015*D2015</f>
        <v>1508</v>
      </c>
      <c r="F2015" s="742">
        <v>3.89</v>
      </c>
    </row>
    <row r="2016" spans="1:8" s="243" customFormat="1" ht="12.75">
      <c r="A2016" s="37" t="s">
        <v>3082</v>
      </c>
      <c r="B2016" s="740" t="s">
        <v>1958</v>
      </c>
      <c r="C2016" s="248">
        <v>58</v>
      </c>
      <c r="D2016" s="736">
        <v>30</v>
      </c>
      <c r="E2016" s="248">
        <f>C2016*D2016</f>
        <v>1740</v>
      </c>
      <c r="F2016" s="742">
        <v>3.34</v>
      </c>
    </row>
    <row r="2017" spans="1:8" s="243" customFormat="1" ht="12.75">
      <c r="A2017" s="735"/>
      <c r="B2017" s="37"/>
      <c r="C2017" s="246"/>
      <c r="D2017" s="247"/>
      <c r="E2017" s="246"/>
      <c r="F2017" s="737"/>
    </row>
    <row r="2018" spans="1:8" s="243" customFormat="1" ht="12.75">
      <c r="A2018" s="37" t="s">
        <v>3084</v>
      </c>
      <c r="B2018" s="37" t="s">
        <v>192</v>
      </c>
      <c r="C2018" s="248">
        <v>58</v>
      </c>
      <c r="D2018" s="736">
        <v>5</v>
      </c>
      <c r="E2018" s="248">
        <f>C2018*D2018</f>
        <v>290</v>
      </c>
      <c r="F2018" s="742">
        <v>6.67</v>
      </c>
    </row>
    <row r="2019" spans="1:8" s="243" customFormat="1" ht="12.75">
      <c r="A2019" s="37" t="s">
        <v>3083</v>
      </c>
      <c r="B2019" s="37" t="s">
        <v>192</v>
      </c>
      <c r="C2019" s="248">
        <v>58</v>
      </c>
      <c r="D2019" s="736">
        <v>30</v>
      </c>
      <c r="E2019" s="248">
        <f>C2019*D2019</f>
        <v>1740</v>
      </c>
      <c r="F2019" s="742">
        <v>6.31</v>
      </c>
    </row>
    <row r="2022" spans="1:8" ht="14.25">
      <c r="A2022" s="925" t="s">
        <v>3085</v>
      </c>
    </row>
    <row r="2023" spans="1:8" s="239" customFormat="1" ht="25.5">
      <c r="A2023" s="242" t="s">
        <v>222</v>
      </c>
      <c r="B2023" s="252" t="s">
        <v>294</v>
      </c>
      <c r="C2023" s="251" t="s">
        <v>210</v>
      </c>
      <c r="D2023" s="931" t="s">
        <v>283</v>
      </c>
      <c r="E2023" s="251" t="s">
        <v>237</v>
      </c>
      <c r="F2023" s="926" t="s">
        <v>3068</v>
      </c>
      <c r="G2023" s="818" t="s">
        <v>2821</v>
      </c>
      <c r="H2023" s="927" t="s">
        <v>2822</v>
      </c>
    </row>
    <row r="2024" spans="1:8" s="239" customFormat="1" ht="24" customHeight="1">
      <c r="A2024" s="253" t="s">
        <v>3086</v>
      </c>
      <c r="B2024" s="253" t="s">
        <v>3087</v>
      </c>
      <c r="C2024" s="253" t="s">
        <v>3088</v>
      </c>
      <c r="D2024" s="254">
        <v>7.92</v>
      </c>
      <c r="E2024" s="928" t="s">
        <v>3089</v>
      </c>
      <c r="F2024" s="928">
        <f>730+30</f>
        <v>760</v>
      </c>
      <c r="G2024" s="929">
        <f>(D2024-(F2024/H2024))/D2024</f>
        <v>0.20033670033670037</v>
      </c>
      <c r="H2024" s="930">
        <v>120</v>
      </c>
    </row>
    <row r="2026" spans="1:8" ht="14.25">
      <c r="A2026" s="925" t="s">
        <v>3093</v>
      </c>
    </row>
    <row r="2027" spans="1:8" s="239" customFormat="1" ht="14.25">
      <c r="A2027" s="242" t="s">
        <v>222</v>
      </c>
      <c r="B2027" s="931" t="s">
        <v>283</v>
      </c>
      <c r="C2027" s="926" t="s">
        <v>3068</v>
      </c>
      <c r="D2027" s="818" t="s">
        <v>2821</v>
      </c>
      <c r="E2027" s="927" t="s">
        <v>2822</v>
      </c>
    </row>
    <row r="2028" spans="1:8" s="239" customFormat="1" ht="24" customHeight="1">
      <c r="A2028" s="253">
        <v>5081</v>
      </c>
      <c r="B2028" s="254">
        <v>9.17</v>
      </c>
      <c r="C2028" s="928">
        <f>850+30</f>
        <v>880</v>
      </c>
      <c r="D2028" s="929">
        <f>(B2028-(C2028/E2028))/B2028</f>
        <v>0.20029080334423849</v>
      </c>
      <c r="E2028" s="930">
        <v>120</v>
      </c>
    </row>
    <row r="2031" spans="1:8" ht="15">
      <c r="A2031" s="935" t="s">
        <v>3095</v>
      </c>
      <c r="B2031" s="935"/>
      <c r="C2031" s="935"/>
      <c r="D2031" s="935"/>
      <c r="E2031" s="935"/>
      <c r="F2031" s="935"/>
    </row>
    <row r="2032" spans="1:8">
      <c r="A2032" s="762" t="s">
        <v>166</v>
      </c>
      <c r="B2032" s="762" t="s">
        <v>95</v>
      </c>
      <c r="C2032" s="762" t="s">
        <v>3103</v>
      </c>
      <c r="D2032" s="936" t="s">
        <v>2855</v>
      </c>
      <c r="E2032" s="936" t="s">
        <v>3126</v>
      </c>
      <c r="G2032" s="766" t="s">
        <v>2821</v>
      </c>
      <c r="H2032" s="161" t="s">
        <v>2822</v>
      </c>
    </row>
    <row r="2033" spans="1:8">
      <c r="A2033" s="37" t="s">
        <v>3096</v>
      </c>
      <c r="B2033" s="37" t="s">
        <v>3094</v>
      </c>
      <c r="C2033" s="248">
        <v>10</v>
      </c>
      <c r="D2033" s="256">
        <f t="shared" ref="D2033:D2048" si="26">ROUNDUP(F2033/0.6/120,2)</f>
        <v>0.88</v>
      </c>
      <c r="E2033" s="942" t="s">
        <v>3117</v>
      </c>
      <c r="F2033" s="939">
        <v>63</v>
      </c>
      <c r="G2033" s="789">
        <f t="shared" ref="G2033:G2048" si="27">(D2033-(F2033/H2033))/D2033</f>
        <v>0.40340909090909088</v>
      </c>
      <c r="H2033" s="161">
        <v>120</v>
      </c>
    </row>
    <row r="2034" spans="1:8">
      <c r="A2034" s="37" t="s">
        <v>3096</v>
      </c>
      <c r="B2034" s="37" t="s">
        <v>3104</v>
      </c>
      <c r="C2034" s="248">
        <v>100</v>
      </c>
      <c r="D2034" s="256">
        <f t="shared" si="26"/>
        <v>1.99</v>
      </c>
      <c r="E2034" s="942" t="s">
        <v>3116</v>
      </c>
      <c r="F2034" s="939">
        <f>63+80</f>
        <v>143</v>
      </c>
      <c r="G2034" s="789">
        <f t="shared" si="27"/>
        <v>0.40117252931323283</v>
      </c>
      <c r="H2034" s="161">
        <v>120</v>
      </c>
    </row>
    <row r="2035" spans="1:8">
      <c r="A2035" s="37" t="s">
        <v>3097</v>
      </c>
      <c r="B2035" s="37" t="s">
        <v>3094</v>
      </c>
      <c r="C2035" s="248">
        <v>10</v>
      </c>
      <c r="D2035" s="256">
        <f t="shared" si="26"/>
        <v>2.17</v>
      </c>
      <c r="E2035" s="942" t="s">
        <v>3118</v>
      </c>
      <c r="F2035" s="939">
        <v>156</v>
      </c>
      <c r="G2035" s="789">
        <f t="shared" si="27"/>
        <v>0.4009216589861751</v>
      </c>
      <c r="H2035" s="161">
        <v>120</v>
      </c>
    </row>
    <row r="2036" spans="1:8">
      <c r="A2036" s="37" t="s">
        <v>3097</v>
      </c>
      <c r="B2036" s="37" t="s">
        <v>3104</v>
      </c>
      <c r="C2036" s="248">
        <v>100</v>
      </c>
      <c r="D2036" s="256">
        <f t="shared" si="26"/>
        <v>3.42</v>
      </c>
      <c r="E2036" s="942"/>
      <c r="F2036" s="939">
        <f>156+90</f>
        <v>246</v>
      </c>
      <c r="G2036" s="789">
        <f t="shared" si="27"/>
        <v>0.40058479532163749</v>
      </c>
      <c r="H2036" s="161">
        <v>120</v>
      </c>
    </row>
    <row r="2037" spans="1:8">
      <c r="A2037" s="37" t="s">
        <v>3099</v>
      </c>
      <c r="B2037" s="37" t="s">
        <v>3094</v>
      </c>
      <c r="C2037" s="248">
        <v>10</v>
      </c>
      <c r="D2037" s="256">
        <f t="shared" si="26"/>
        <v>0.98</v>
      </c>
      <c r="E2037" s="942" t="s">
        <v>3118</v>
      </c>
      <c r="F2037" s="939">
        <v>70</v>
      </c>
      <c r="G2037" s="789">
        <f t="shared" si="27"/>
        <v>0.40476190476190471</v>
      </c>
      <c r="H2037" s="161">
        <v>120</v>
      </c>
    </row>
    <row r="2038" spans="1:8">
      <c r="A2038" s="37" t="s">
        <v>3099</v>
      </c>
      <c r="B2038" s="37" t="s">
        <v>3104</v>
      </c>
      <c r="C2038" s="248">
        <v>100</v>
      </c>
      <c r="D2038" s="256">
        <f t="shared" si="26"/>
        <v>1.95</v>
      </c>
      <c r="E2038" s="942"/>
      <c r="F2038" s="939">
        <f>70+70</f>
        <v>140</v>
      </c>
      <c r="G2038" s="789">
        <f t="shared" si="27"/>
        <v>0.40170940170940167</v>
      </c>
      <c r="H2038" s="161">
        <v>120</v>
      </c>
    </row>
    <row r="2039" spans="1:8">
      <c r="A2039" s="37" t="s">
        <v>3100</v>
      </c>
      <c r="B2039" s="37" t="s">
        <v>3094</v>
      </c>
      <c r="C2039" s="248">
        <v>10</v>
      </c>
      <c r="D2039" s="256">
        <f t="shared" si="26"/>
        <v>0.77</v>
      </c>
      <c r="E2039" s="942" t="s">
        <v>3118</v>
      </c>
      <c r="F2039" s="939">
        <v>55</v>
      </c>
      <c r="G2039" s="789">
        <f t="shared" si="27"/>
        <v>0.40476190476190482</v>
      </c>
      <c r="H2039" s="161">
        <v>120</v>
      </c>
    </row>
    <row r="2040" spans="1:8">
      <c r="A2040" s="37" t="s">
        <v>3100</v>
      </c>
      <c r="B2040" s="37" t="s">
        <v>3104</v>
      </c>
      <c r="C2040" s="248">
        <v>100</v>
      </c>
      <c r="D2040" s="256">
        <f t="shared" si="26"/>
        <v>1.8800000000000001</v>
      </c>
      <c r="E2040" s="942"/>
      <c r="F2040" s="939">
        <f>55+80</f>
        <v>135</v>
      </c>
      <c r="G2040" s="789">
        <f t="shared" si="27"/>
        <v>0.40159574468085107</v>
      </c>
      <c r="H2040" s="161">
        <v>120</v>
      </c>
    </row>
    <row r="2041" spans="1:8">
      <c r="A2041" s="37" t="s">
        <v>3098</v>
      </c>
      <c r="B2041" s="37" t="s">
        <v>3094</v>
      </c>
      <c r="C2041" s="248">
        <v>10</v>
      </c>
      <c r="D2041" s="256">
        <f t="shared" si="26"/>
        <v>0.42</v>
      </c>
      <c r="E2041" s="942" t="s">
        <v>3119</v>
      </c>
      <c r="F2041" s="939">
        <v>30</v>
      </c>
      <c r="G2041" s="789">
        <f t="shared" si="27"/>
        <v>0.40476190476190477</v>
      </c>
      <c r="H2041" s="161">
        <v>120</v>
      </c>
    </row>
    <row r="2042" spans="1:8">
      <c r="A2042" s="37" t="s">
        <v>3098</v>
      </c>
      <c r="B2042" s="37" t="s">
        <v>3104</v>
      </c>
      <c r="C2042" s="248">
        <v>100</v>
      </c>
      <c r="D2042" s="256">
        <f t="shared" si="26"/>
        <v>1.39</v>
      </c>
      <c r="E2042" s="942"/>
      <c r="F2042" s="939">
        <f>30+70</f>
        <v>100</v>
      </c>
      <c r="G2042" s="789">
        <f t="shared" si="27"/>
        <v>0.40047961630695439</v>
      </c>
      <c r="H2042" s="161">
        <v>120</v>
      </c>
    </row>
    <row r="2043" spans="1:8">
      <c r="A2043" s="37" t="s">
        <v>3101</v>
      </c>
      <c r="B2043" s="37" t="s">
        <v>3094</v>
      </c>
      <c r="C2043" s="248">
        <v>10</v>
      </c>
      <c r="D2043" s="256">
        <f t="shared" si="26"/>
        <v>0.5</v>
      </c>
      <c r="E2043" s="942" t="s">
        <v>3120</v>
      </c>
      <c r="F2043" s="939">
        <v>36</v>
      </c>
      <c r="G2043" s="789">
        <f t="shared" si="27"/>
        <v>0.4</v>
      </c>
      <c r="H2043" s="161">
        <v>120</v>
      </c>
    </row>
    <row r="2044" spans="1:8">
      <c r="A2044" s="37" t="s">
        <v>3101</v>
      </c>
      <c r="B2044" s="37" t="s">
        <v>3104</v>
      </c>
      <c r="C2044" s="248">
        <v>100</v>
      </c>
      <c r="D2044" s="256">
        <f t="shared" si="26"/>
        <v>1.48</v>
      </c>
      <c r="E2044" s="942"/>
      <c r="F2044" s="939">
        <f>36+70</f>
        <v>106</v>
      </c>
      <c r="G2044" s="789">
        <f t="shared" si="27"/>
        <v>0.40315315315315314</v>
      </c>
      <c r="H2044" s="161">
        <v>120</v>
      </c>
    </row>
    <row r="2045" spans="1:8">
      <c r="A2045" s="37" t="s">
        <v>3111</v>
      </c>
      <c r="B2045" s="37" t="s">
        <v>3094</v>
      </c>
      <c r="C2045" s="248">
        <v>10</v>
      </c>
      <c r="D2045" s="256">
        <f t="shared" si="26"/>
        <v>0.46</v>
      </c>
      <c r="E2045" s="942" t="s">
        <v>3121</v>
      </c>
      <c r="F2045" s="939">
        <v>33</v>
      </c>
      <c r="G2045" s="789">
        <f t="shared" si="27"/>
        <v>0.40217391304347822</v>
      </c>
      <c r="H2045" s="161">
        <v>120</v>
      </c>
    </row>
    <row r="2046" spans="1:8">
      <c r="A2046" s="37" t="s">
        <v>3111</v>
      </c>
      <c r="B2046" s="37" t="s">
        <v>3104</v>
      </c>
      <c r="C2046" s="248">
        <v>100</v>
      </c>
      <c r="D2046" s="256">
        <f t="shared" si="26"/>
        <v>1.44</v>
      </c>
      <c r="E2046" s="250" t="s">
        <v>3105</v>
      </c>
      <c r="F2046" s="939">
        <f>33+70</f>
        <v>103</v>
      </c>
      <c r="G2046" s="789">
        <f t="shared" si="27"/>
        <v>0.40393518518518517</v>
      </c>
      <c r="H2046" s="161">
        <v>120</v>
      </c>
    </row>
    <row r="2047" spans="1:8">
      <c r="A2047" s="37" t="s">
        <v>3102</v>
      </c>
      <c r="B2047" s="37" t="s">
        <v>3094</v>
      </c>
      <c r="C2047" s="248" t="s">
        <v>3125</v>
      </c>
      <c r="D2047" s="256">
        <f t="shared" si="26"/>
        <v>1.39</v>
      </c>
      <c r="E2047" s="942" t="s">
        <v>3123</v>
      </c>
      <c r="F2047" s="937">
        <v>100</v>
      </c>
      <c r="G2047" s="789">
        <f t="shared" si="27"/>
        <v>0.40047961630695439</v>
      </c>
      <c r="H2047" s="161">
        <v>120</v>
      </c>
    </row>
    <row r="2048" spans="1:8">
      <c r="A2048" s="37" t="s">
        <v>3102</v>
      </c>
      <c r="B2048" s="37" t="s">
        <v>3104</v>
      </c>
      <c r="C2048" s="248">
        <v>301</v>
      </c>
      <c r="D2048" s="256">
        <f t="shared" si="26"/>
        <v>1.95</v>
      </c>
      <c r="E2048" s="250" t="s">
        <v>3105</v>
      </c>
      <c r="F2048" s="937">
        <f>100+40</f>
        <v>140</v>
      </c>
      <c r="G2048" s="789">
        <f t="shared" si="27"/>
        <v>0.40170940170940167</v>
      </c>
      <c r="H2048" s="161">
        <v>120</v>
      </c>
    </row>
    <row r="2049" spans="1:6">
      <c r="A2049" s="948" t="s">
        <v>3127</v>
      </c>
    </row>
    <row r="2050" spans="1:6">
      <c r="A2050" s="949" t="s">
        <v>3157</v>
      </c>
    </row>
    <row r="2051" spans="1:6" ht="15">
      <c r="A2051" s="297" t="s">
        <v>3155</v>
      </c>
    </row>
    <row r="2052" spans="1:6">
      <c r="A2052" s="949" t="s">
        <v>3156</v>
      </c>
    </row>
    <row r="2055" spans="1:6">
      <c r="A2055" s="762" t="s">
        <v>166</v>
      </c>
      <c r="B2055" s="762" t="s">
        <v>95</v>
      </c>
      <c r="C2055" s="762" t="s">
        <v>3103</v>
      </c>
      <c r="D2055" s="762" t="s">
        <v>3106</v>
      </c>
      <c r="E2055" s="936" t="s">
        <v>3109</v>
      </c>
    </row>
    <row r="2056" spans="1:6">
      <c r="A2056" s="37" t="s">
        <v>3096</v>
      </c>
      <c r="B2056" s="37" t="s">
        <v>3108</v>
      </c>
      <c r="C2056" s="248">
        <v>10</v>
      </c>
      <c r="D2056" s="939">
        <v>63</v>
      </c>
      <c r="E2056" s="942">
        <v>1000</v>
      </c>
      <c r="F2056" s="937">
        <v>63</v>
      </c>
    </row>
    <row r="2057" spans="1:6">
      <c r="A2057" s="37" t="s">
        <v>3096</v>
      </c>
      <c r="B2057" s="37" t="s">
        <v>3107</v>
      </c>
      <c r="C2057" s="248">
        <v>100</v>
      </c>
      <c r="D2057" s="939" t="s">
        <v>3112</v>
      </c>
      <c r="E2057" s="942"/>
      <c r="F2057" s="937"/>
    </row>
    <row r="2058" spans="1:6">
      <c r="A2058" s="37" t="s">
        <v>3097</v>
      </c>
      <c r="B2058" s="37" t="s">
        <v>3108</v>
      </c>
      <c r="C2058" s="248">
        <v>10</v>
      </c>
      <c r="D2058" s="939">
        <v>156</v>
      </c>
      <c r="E2058" s="942">
        <v>200</v>
      </c>
      <c r="F2058" s="937">
        <v>156</v>
      </c>
    </row>
    <row r="2059" spans="1:6">
      <c r="A2059" s="37" t="s">
        <v>3097</v>
      </c>
      <c r="B2059" s="37" t="s">
        <v>3107</v>
      </c>
      <c r="C2059" s="248">
        <v>100</v>
      </c>
      <c r="D2059" s="939" t="s">
        <v>3113</v>
      </c>
      <c r="E2059" s="942"/>
      <c r="F2059" s="937"/>
    </row>
    <row r="2060" spans="1:6">
      <c r="A2060" s="37" t="s">
        <v>3099</v>
      </c>
      <c r="B2060" s="37" t="s">
        <v>3108</v>
      </c>
      <c r="C2060" s="248">
        <v>10</v>
      </c>
      <c r="D2060" s="939">
        <v>70</v>
      </c>
      <c r="E2060" s="942">
        <v>200</v>
      </c>
      <c r="F2060" s="937">
        <v>70</v>
      </c>
    </row>
    <row r="2061" spans="1:6">
      <c r="A2061" s="37" t="s">
        <v>3099</v>
      </c>
      <c r="B2061" s="37" t="s">
        <v>3107</v>
      </c>
      <c r="C2061" s="248">
        <v>100</v>
      </c>
      <c r="D2061" s="939" t="s">
        <v>3114</v>
      </c>
      <c r="E2061" s="942"/>
      <c r="F2061" s="937"/>
    </row>
    <row r="2062" spans="1:6">
      <c r="A2062" s="37" t="s">
        <v>3100</v>
      </c>
      <c r="B2062" s="37" t="s">
        <v>3108</v>
      </c>
      <c r="C2062" s="248">
        <v>10</v>
      </c>
      <c r="D2062" s="939">
        <v>55</v>
      </c>
      <c r="E2062" s="942">
        <v>200</v>
      </c>
      <c r="F2062" s="937">
        <v>55</v>
      </c>
    </row>
    <row r="2063" spans="1:6">
      <c r="A2063" s="37" t="s">
        <v>3100</v>
      </c>
      <c r="B2063" s="37" t="s">
        <v>3107</v>
      </c>
      <c r="C2063" s="248">
        <v>100</v>
      </c>
      <c r="D2063" s="939" t="s">
        <v>3115</v>
      </c>
      <c r="E2063" s="942"/>
      <c r="F2063" s="937"/>
    </row>
    <row r="2064" spans="1:6">
      <c r="A2064" s="37" t="s">
        <v>3098</v>
      </c>
      <c r="B2064" s="37" t="s">
        <v>3108</v>
      </c>
      <c r="C2064" s="248">
        <v>10</v>
      </c>
      <c r="D2064" s="939">
        <v>30</v>
      </c>
      <c r="E2064" s="942">
        <v>1100</v>
      </c>
      <c r="F2064" s="937">
        <v>30</v>
      </c>
    </row>
    <row r="2065" spans="1:6">
      <c r="A2065" s="37" t="s">
        <v>3098</v>
      </c>
      <c r="B2065" s="37" t="s">
        <v>3107</v>
      </c>
      <c r="C2065" s="248">
        <v>100</v>
      </c>
      <c r="D2065" s="939" t="s">
        <v>3114</v>
      </c>
      <c r="E2065" s="942"/>
      <c r="F2065" s="937"/>
    </row>
    <row r="2066" spans="1:6">
      <c r="A2066" s="37" t="s">
        <v>3101</v>
      </c>
      <c r="B2066" s="37" t="s">
        <v>3108</v>
      </c>
      <c r="C2066" s="248">
        <v>10</v>
      </c>
      <c r="D2066" s="939">
        <v>36</v>
      </c>
      <c r="E2066" s="942">
        <v>2000</v>
      </c>
      <c r="F2066" s="937">
        <v>36</v>
      </c>
    </row>
    <row r="2067" spans="1:6">
      <c r="A2067" s="37" t="s">
        <v>3101</v>
      </c>
      <c r="B2067" s="37" t="s">
        <v>3107</v>
      </c>
      <c r="C2067" s="248">
        <v>100</v>
      </c>
      <c r="D2067" s="939" t="s">
        <v>3114</v>
      </c>
      <c r="E2067" s="942"/>
      <c r="F2067" s="937"/>
    </row>
    <row r="2068" spans="1:6">
      <c r="A2068" s="37" t="s">
        <v>3111</v>
      </c>
      <c r="B2068" s="37" t="s">
        <v>3108</v>
      </c>
      <c r="C2068" s="248">
        <v>10</v>
      </c>
      <c r="D2068" s="939">
        <v>33</v>
      </c>
      <c r="E2068" s="942">
        <v>1200</v>
      </c>
      <c r="F2068" s="937"/>
    </row>
    <row r="2069" spans="1:6">
      <c r="A2069" s="37" t="s">
        <v>3111</v>
      </c>
      <c r="B2069" s="37" t="s">
        <v>3107</v>
      </c>
      <c r="C2069" s="248">
        <v>100</v>
      </c>
      <c r="D2069" s="939" t="s">
        <v>3114</v>
      </c>
      <c r="E2069" s="942"/>
      <c r="F2069" s="937"/>
    </row>
    <row r="2070" spans="1:6">
      <c r="A2070" s="37" t="s">
        <v>3102</v>
      </c>
      <c r="B2070" s="37" t="s">
        <v>3108</v>
      </c>
      <c r="C2070" s="248">
        <v>10</v>
      </c>
      <c r="D2070" s="939">
        <v>100</v>
      </c>
      <c r="E2070" s="943" t="s">
        <v>3122</v>
      </c>
      <c r="F2070" s="937">
        <v>100</v>
      </c>
    </row>
    <row r="2071" spans="1:6">
      <c r="A2071" s="37" t="s">
        <v>3102</v>
      </c>
      <c r="B2071" s="37" t="s">
        <v>3107</v>
      </c>
      <c r="C2071" s="248">
        <v>301</v>
      </c>
      <c r="D2071" s="944" t="s">
        <v>3124</v>
      </c>
      <c r="E2071" s="250"/>
      <c r="F2071" s="937"/>
    </row>
    <row r="2072" spans="1:6">
      <c r="A2072" s="831"/>
      <c r="B2072" s="831"/>
      <c r="C2072" s="940"/>
      <c r="D2072" s="941"/>
      <c r="E2072" s="938"/>
      <c r="F2072" s="937"/>
    </row>
    <row r="2073" spans="1:6">
      <c r="A2073" s="831"/>
      <c r="B2073" s="831"/>
      <c r="C2073" s="940"/>
      <c r="D2073" s="941"/>
      <c r="E2073" s="938"/>
      <c r="F2073" s="937"/>
    </row>
    <row r="2074" spans="1:6">
      <c r="A2074" s="831"/>
      <c r="B2074" s="831"/>
      <c r="C2074" s="940"/>
      <c r="D2074" s="941"/>
      <c r="E2074" s="938"/>
      <c r="F2074" s="937"/>
    </row>
    <row r="2076" spans="1:6">
      <c r="A2076" s="762" t="s">
        <v>166</v>
      </c>
      <c r="B2076" s="762" t="s">
        <v>95</v>
      </c>
      <c r="C2076" s="762" t="s">
        <v>3103</v>
      </c>
      <c r="D2076" s="762" t="s">
        <v>3106</v>
      </c>
      <c r="E2076" s="936" t="s">
        <v>3109</v>
      </c>
    </row>
    <row r="2077" spans="1:6">
      <c r="A2077" s="37" t="s">
        <v>3102</v>
      </c>
      <c r="B2077" s="37" t="s">
        <v>3108</v>
      </c>
      <c r="C2077" s="248">
        <v>10</v>
      </c>
      <c r="D2077" s="939">
        <v>100</v>
      </c>
      <c r="E2077" s="250"/>
    </row>
    <row r="2078" spans="1:6">
      <c r="A2078" s="37" t="s">
        <v>3102</v>
      </c>
      <c r="B2078" s="37" t="s">
        <v>3107</v>
      </c>
      <c r="C2078" s="248">
        <v>300</v>
      </c>
      <c r="D2078" s="939" t="s">
        <v>3110</v>
      </c>
      <c r="E2078" s="250"/>
    </row>
    <row r="2081" spans="1:5">
      <c r="A2081" s="878" t="s">
        <v>3128</v>
      </c>
      <c r="C2081" s="161" t="s">
        <v>2989</v>
      </c>
      <c r="D2081" s="766" t="s">
        <v>2821</v>
      </c>
      <c r="E2081" s="766" t="s">
        <v>2822</v>
      </c>
    </row>
    <row r="2082" spans="1:5" ht="27">
      <c r="A2082" s="762" t="s">
        <v>2986</v>
      </c>
      <c r="B2082" s="785" t="s">
        <v>2855</v>
      </c>
      <c r="C2082" s="926" t="s">
        <v>3129</v>
      </c>
      <c r="D2082" s="879"/>
      <c r="E2082" s="879"/>
    </row>
    <row r="2083" spans="1:5" ht="38.25">
      <c r="A2083" s="884" t="s">
        <v>3130</v>
      </c>
      <c r="B2083" s="250">
        <f>ROUNDUP(C2083/0.8/120,2)</f>
        <v>17.920000000000002</v>
      </c>
      <c r="C2083" s="129">
        <f>1420+300</f>
        <v>1720</v>
      </c>
      <c r="D2083" s="883">
        <f>(((B2083*E2083)-C2083)/(B2083*E2083))</f>
        <v>0.20014880952380956</v>
      </c>
      <c r="E2083" s="132">
        <v>120</v>
      </c>
    </row>
    <row r="2084" spans="1:5" ht="25.5">
      <c r="A2084" s="880" t="s">
        <v>3131</v>
      </c>
      <c r="B2084" s="250">
        <f>ROUNDUP(C2084/0.8/120,2)</f>
        <v>15.11</v>
      </c>
      <c r="C2084" s="129">
        <f>1420+30</f>
        <v>1450</v>
      </c>
      <c r="D2084" s="881">
        <f>(((B2084*E2084)-C2084)/(B2084*E2084))</f>
        <v>0.20030884623869394</v>
      </c>
      <c r="E2084" s="882">
        <v>120</v>
      </c>
    </row>
    <row r="2085" spans="1:5" s="262" customFormat="1" ht="26.1" customHeight="1">
      <c r="A2085" s="253" t="s">
        <v>3134</v>
      </c>
      <c r="B2085" s="945" t="s">
        <v>3132</v>
      </c>
      <c r="C2085" s="926"/>
      <c r="D2085" s="818"/>
      <c r="E2085" s="927"/>
    </row>
    <row r="2086" spans="1:5" s="266" customFormat="1" ht="24" customHeight="1">
      <c r="A2086" s="253" t="s">
        <v>3133</v>
      </c>
      <c r="B2086" s="250">
        <f>ROUNDUP(C2086/0.8/120,2)</f>
        <v>31.57</v>
      </c>
      <c r="C2086" s="253">
        <f>3000+30</f>
        <v>3030</v>
      </c>
      <c r="D2086" s="929">
        <f>(B2086-(C2086/E2086))/B2086</f>
        <v>0.20019005384859045</v>
      </c>
      <c r="E2086" s="930">
        <v>120</v>
      </c>
    </row>
    <row r="2087" spans="1:5" s="262" customFormat="1" ht="33.6" customHeight="1">
      <c r="A2087" s="253" t="s">
        <v>3135</v>
      </c>
      <c r="B2087" s="945" t="s">
        <v>3136</v>
      </c>
      <c r="C2087" s="926">
        <v>2400</v>
      </c>
      <c r="D2087" s="929" t="e">
        <f>(B2087-(C2087/E2087))/B2087</f>
        <v>#VALUE!</v>
      </c>
      <c r="E2087" s="930">
        <v>120</v>
      </c>
    </row>
    <row r="2088" spans="1:5" s="262" customFormat="1" ht="33.6" customHeight="1">
      <c r="A2088" s="253" t="s">
        <v>3137</v>
      </c>
      <c r="B2088" s="250">
        <f>ROUNDUP(C2088/0.8/120,2)</f>
        <v>19.8</v>
      </c>
      <c r="C2088" s="926">
        <v>1900</v>
      </c>
      <c r="D2088" s="929">
        <f>(B2088-(C2088/E2088))/B2088</f>
        <v>0.20033670033670034</v>
      </c>
      <c r="E2088" s="930">
        <v>120</v>
      </c>
    </row>
    <row r="2089" spans="1:5" ht="63.75">
      <c r="A2089" s="946" t="s">
        <v>3138</v>
      </c>
    </row>
    <row r="2092" spans="1:5" ht="14.25">
      <c r="A2092" s="925" t="s">
        <v>3140</v>
      </c>
    </row>
    <row r="2093" spans="1:5" s="239" customFormat="1" ht="14.25">
      <c r="A2093" s="242" t="s">
        <v>222</v>
      </c>
      <c r="B2093" s="931" t="s">
        <v>283</v>
      </c>
      <c r="C2093" s="926" t="s">
        <v>3068</v>
      </c>
      <c r="D2093" s="818" t="s">
        <v>2821</v>
      </c>
      <c r="E2093" s="927" t="s">
        <v>2822</v>
      </c>
    </row>
    <row r="2094" spans="1:5" s="239" customFormat="1" ht="24" customHeight="1">
      <c r="A2094" s="253" t="s">
        <v>3139</v>
      </c>
      <c r="B2094" s="254">
        <v>7.92</v>
      </c>
      <c r="C2094" s="928">
        <f>730+30</f>
        <v>760</v>
      </c>
      <c r="D2094" s="929">
        <f>(B2094-(C2094/E2094))/B2094</f>
        <v>0.20033670033670037</v>
      </c>
      <c r="E2094" s="930">
        <v>120</v>
      </c>
    </row>
    <row r="2096" spans="1:5">
      <c r="A2096" t="s">
        <v>3141</v>
      </c>
    </row>
    <row r="2097" spans="1:7">
      <c r="A2097" s="242" t="s">
        <v>222</v>
      </c>
      <c r="B2097" s="242" t="s">
        <v>3142</v>
      </c>
      <c r="C2097" s="931" t="s">
        <v>283</v>
      </c>
      <c r="D2097" s="926" t="s">
        <v>3068</v>
      </c>
      <c r="E2097" s="818" t="s">
        <v>2821</v>
      </c>
      <c r="F2097" s="927" t="s">
        <v>2822</v>
      </c>
    </row>
    <row r="2098" spans="1:7">
      <c r="A2098" s="253" t="s">
        <v>264</v>
      </c>
      <c r="B2098" s="253" t="s">
        <v>3143</v>
      </c>
      <c r="C2098" s="254">
        <v>7.92</v>
      </c>
      <c r="D2098" s="928">
        <f>730+30</f>
        <v>760</v>
      </c>
      <c r="E2098" s="929">
        <f>(C2098-(D2098/F2098))/C2098</f>
        <v>0.20033670033670037</v>
      </c>
      <c r="F2098" s="930">
        <v>120</v>
      </c>
    </row>
    <row r="2099" spans="1:7">
      <c r="A2099" s="253" t="s">
        <v>264</v>
      </c>
      <c r="B2099" s="253" t="s">
        <v>3144</v>
      </c>
      <c r="C2099" s="254">
        <v>7.09</v>
      </c>
      <c r="D2099" s="928">
        <f>650+30</f>
        <v>680</v>
      </c>
      <c r="E2099" s="929">
        <f>(C2099-(D2099/F2099))/C2099</f>
        <v>0.20075223319228955</v>
      </c>
      <c r="F2099" s="930">
        <v>120</v>
      </c>
    </row>
    <row r="2100" spans="1:7">
      <c r="A2100" s="253" t="s">
        <v>264</v>
      </c>
      <c r="B2100" s="253" t="s">
        <v>3145</v>
      </c>
      <c r="C2100" s="254">
        <v>6.98</v>
      </c>
      <c r="D2100" s="928">
        <f>640+30</f>
        <v>670</v>
      </c>
      <c r="E2100" s="929">
        <f>(C2100-(D2100/F2100))/C2100</f>
        <v>0.20009551098376321</v>
      </c>
      <c r="F2100" s="930">
        <v>120</v>
      </c>
    </row>
    <row r="2101" spans="1:7">
      <c r="A2101" s="253" t="s">
        <v>264</v>
      </c>
      <c r="B2101" s="253" t="s">
        <v>3146</v>
      </c>
      <c r="C2101" s="254">
        <v>6.88</v>
      </c>
      <c r="D2101" s="928">
        <f>630+30</f>
        <v>660</v>
      </c>
      <c r="E2101" s="929">
        <f>(C2101-(D2101/F2101))/C2101</f>
        <v>0.2005813953488372</v>
      </c>
      <c r="F2101" s="930">
        <v>120</v>
      </c>
    </row>
    <row r="2104" spans="1:7">
      <c r="A2104" s="242" t="s">
        <v>3152</v>
      </c>
      <c r="B2104" s="242" t="s">
        <v>222</v>
      </c>
      <c r="C2104" s="242" t="s">
        <v>34</v>
      </c>
      <c r="D2104" s="245" t="s">
        <v>211</v>
      </c>
      <c r="E2104" s="245" t="s">
        <v>227</v>
      </c>
      <c r="F2104" s="245" t="s">
        <v>228</v>
      </c>
      <c r="G2104" s="924" t="s">
        <v>2855</v>
      </c>
    </row>
    <row r="2105" spans="1:7" ht="15">
      <c r="A2105" s="6" t="s">
        <v>3150</v>
      </c>
      <c r="B2105" s="20" t="s">
        <v>264</v>
      </c>
      <c r="C2105" s="20" t="s">
        <v>3147</v>
      </c>
      <c r="D2105" s="103">
        <v>53</v>
      </c>
      <c r="E2105" s="104">
        <v>1</v>
      </c>
      <c r="F2105" s="8">
        <f>D2105*E2105</f>
        <v>53</v>
      </c>
      <c r="G2105" s="36">
        <v>7.92</v>
      </c>
    </row>
    <row r="2106" spans="1:7" ht="15">
      <c r="A2106" s="6" t="s">
        <v>3150</v>
      </c>
      <c r="B2106" s="20" t="s">
        <v>264</v>
      </c>
      <c r="C2106" s="20" t="s">
        <v>3148</v>
      </c>
      <c r="D2106" s="103">
        <v>58</v>
      </c>
      <c r="E2106" s="104">
        <v>1</v>
      </c>
      <c r="F2106" s="8">
        <f>D2106*E2106</f>
        <v>58</v>
      </c>
      <c r="G2106" s="36">
        <v>7.92</v>
      </c>
    </row>
    <row r="2107" spans="1:7" ht="15">
      <c r="A2107" s="6" t="s">
        <v>3151</v>
      </c>
      <c r="B2107" s="20" t="s">
        <v>264</v>
      </c>
      <c r="C2107" s="20" t="s">
        <v>3147</v>
      </c>
      <c r="D2107" s="103"/>
      <c r="E2107" s="104"/>
      <c r="F2107" s="8">
        <v>5</v>
      </c>
      <c r="G2107" s="36">
        <v>7.92</v>
      </c>
    </row>
    <row r="2108" spans="1:7" ht="22.5">
      <c r="A2108" s="6" t="s">
        <v>3149</v>
      </c>
      <c r="B2108" s="20"/>
      <c r="C2108" s="20" t="s">
        <v>206</v>
      </c>
      <c r="D2108" s="8"/>
      <c r="E2108" s="104" ph="1"/>
      <c r="F2108" s="35">
        <v>1</v>
      </c>
      <c r="G2108" s="36">
        <v>12</v>
      </c>
    </row>
    <row r="2109" spans="1:7" ht="22.5">
      <c r="A2109" s="6" t="s">
        <v>3149</v>
      </c>
      <c r="B2109" s="46"/>
      <c r="C2109" s="20" t="s">
        <v>266</v>
      </c>
      <c r="D2109" s="8"/>
      <c r="E2109" s="104" ph="1"/>
      <c r="F2109" s="35">
        <v>1</v>
      </c>
      <c r="G2109" s="36">
        <v>25</v>
      </c>
    </row>
    <row r="2113" spans="1:9">
      <c r="A2113" s="242" t="s">
        <v>3154</v>
      </c>
      <c r="B2113" s="242" t="s">
        <v>222</v>
      </c>
      <c r="C2113" s="242" t="s">
        <v>34</v>
      </c>
      <c r="D2113" s="245" t="s">
        <v>211</v>
      </c>
      <c r="E2113" s="245" t="s">
        <v>227</v>
      </c>
      <c r="F2113" s="245" t="s">
        <v>228</v>
      </c>
    </row>
    <row r="2114" spans="1:9" ht="15">
      <c r="A2114" s="6" t="s">
        <v>3153</v>
      </c>
      <c r="B2114" s="20" t="s">
        <v>264</v>
      </c>
      <c r="C2114" s="20" t="s">
        <v>3147</v>
      </c>
      <c r="D2114" s="103">
        <v>53</v>
      </c>
      <c r="E2114" s="104">
        <v>1</v>
      </c>
      <c r="F2114" s="8">
        <f>D2114*E2114</f>
        <v>53</v>
      </c>
    </row>
    <row r="2115" spans="1:9" ht="15">
      <c r="A2115" s="6" t="s">
        <v>3153</v>
      </c>
      <c r="B2115" s="20" t="s">
        <v>264</v>
      </c>
      <c r="C2115" s="20" t="s">
        <v>3148</v>
      </c>
      <c r="D2115" s="103">
        <v>58</v>
      </c>
      <c r="E2115" s="104">
        <v>1</v>
      </c>
      <c r="F2115" s="8">
        <f>D2115*E2115</f>
        <v>58</v>
      </c>
    </row>
    <row r="2116" spans="1:9" ht="15">
      <c r="A2116" s="6"/>
      <c r="B2116" s="20"/>
      <c r="C2116" s="20"/>
      <c r="D2116" s="103"/>
      <c r="E2116" s="104"/>
      <c r="F2116" s="8"/>
    </row>
    <row r="2117" spans="1:9" ht="15">
      <c r="A2117" s="6" t="s">
        <v>3151</v>
      </c>
      <c r="B2117" s="20" t="s">
        <v>264</v>
      </c>
      <c r="C2117" s="20" t="s">
        <v>3147</v>
      </c>
      <c r="D2117" s="103"/>
      <c r="E2117" s="104"/>
      <c r="F2117" s="8">
        <v>5</v>
      </c>
    </row>
    <row r="2120" spans="1:9">
      <c r="A2120" s="242" t="s">
        <v>222</v>
      </c>
      <c r="B2120" s="242" t="s">
        <v>34</v>
      </c>
      <c r="C2120" s="245" t="s">
        <v>211</v>
      </c>
      <c r="D2120" s="245" t="s">
        <v>227</v>
      </c>
      <c r="E2120" s="245" t="s">
        <v>228</v>
      </c>
    </row>
    <row r="2121" spans="1:9">
      <c r="A2121" s="735" t="s">
        <v>2996</v>
      </c>
      <c r="B2121" s="37" t="s">
        <v>2997</v>
      </c>
      <c r="C2121" s="950">
        <v>50</v>
      </c>
      <c r="D2121" s="736">
        <v>48</v>
      </c>
      <c r="E2121" s="950">
        <f>C2121*D2121</f>
        <v>2400</v>
      </c>
    </row>
    <row r="2122" spans="1:9">
      <c r="A2122" s="735" t="s">
        <v>2996</v>
      </c>
      <c r="B2122" s="37" t="s">
        <v>2998</v>
      </c>
      <c r="C2122" s="950">
        <v>50</v>
      </c>
      <c r="D2122" s="736">
        <v>9</v>
      </c>
      <c r="E2122" s="950">
        <f>C2122*D2122</f>
        <v>450</v>
      </c>
    </row>
    <row r="2125" spans="1:9" s="953" customFormat="1" ht="17.100000000000001" customHeight="1">
      <c r="A2125" s="1309" t="s">
        <v>3160</v>
      </c>
      <c r="B2125" s="951" t="s">
        <v>3169</v>
      </c>
      <c r="C2125" s="951"/>
      <c r="D2125" s="951"/>
      <c r="E2125" s="951"/>
      <c r="F2125" s="1310" t="s">
        <v>2661</v>
      </c>
      <c r="G2125" s="1301" t="s">
        <v>3161</v>
      </c>
      <c r="H2125" s="952"/>
      <c r="I2125" s="1303" t="s">
        <v>308</v>
      </c>
    </row>
    <row r="2126" spans="1:9" s="953" customFormat="1" ht="17.100000000000001" customHeight="1">
      <c r="A2126" s="1309"/>
      <c r="B2126" s="954" t="s">
        <v>3165</v>
      </c>
      <c r="C2126" s="954" t="s">
        <v>3166</v>
      </c>
      <c r="D2126" s="954" t="s">
        <v>3167</v>
      </c>
      <c r="E2126" s="954" t="s">
        <v>3168</v>
      </c>
      <c r="F2126" s="1311"/>
      <c r="G2126" s="1302"/>
      <c r="H2126" s="952" t="s">
        <v>3162</v>
      </c>
      <c r="I2126" s="1304"/>
    </row>
    <row r="2127" spans="1:9" s="953" customFormat="1" ht="17.100000000000001" customHeight="1">
      <c r="A2127" s="955" t="s">
        <v>3163</v>
      </c>
      <c r="B2127" s="957">
        <v>3.9</v>
      </c>
      <c r="C2127" s="957">
        <v>2.8</v>
      </c>
      <c r="D2127" s="957">
        <v>2.65</v>
      </c>
      <c r="E2127" s="957">
        <v>2.5099999999999998</v>
      </c>
      <c r="F2127" s="958">
        <v>950</v>
      </c>
      <c r="G2127" s="959">
        <v>6</v>
      </c>
      <c r="H2127" s="959">
        <f>G2127/2.54</f>
        <v>2.3622047244094486</v>
      </c>
      <c r="I2127" s="956" t="s">
        <v>3164</v>
      </c>
    </row>
    <row r="2130" spans="1:6">
      <c r="A2130" s="878" t="s">
        <v>3170</v>
      </c>
      <c r="C2130" s="161" t="s">
        <v>2989</v>
      </c>
      <c r="D2130" s="766" t="s">
        <v>2821</v>
      </c>
      <c r="E2130" s="766" t="s">
        <v>2822</v>
      </c>
    </row>
    <row r="2131" spans="1:6" ht="27">
      <c r="A2131" s="762" t="s">
        <v>2986</v>
      </c>
      <c r="B2131" s="762" t="s">
        <v>33</v>
      </c>
      <c r="C2131" s="785" t="s">
        <v>2855</v>
      </c>
      <c r="D2131" s="926" t="s">
        <v>3129</v>
      </c>
      <c r="E2131" s="879"/>
      <c r="F2131" s="879"/>
    </row>
    <row r="2132" spans="1:6" ht="38.25">
      <c r="A2132" s="884" t="s">
        <v>3171</v>
      </c>
      <c r="B2132" s="884" t="s">
        <v>3174</v>
      </c>
      <c r="C2132" s="250">
        <f>ROUNDUP(D2132/0.8/120,2)</f>
        <v>12.61</v>
      </c>
      <c r="D2132" s="129">
        <f>810+400</f>
        <v>1210</v>
      </c>
      <c r="E2132" s="883">
        <f>(((C2132*F2132)-D2132)/(C2132*F2132))</f>
        <v>0.20037007665873635</v>
      </c>
      <c r="F2132" s="132">
        <v>120</v>
      </c>
    </row>
    <row r="2133" spans="1:6" ht="38.25">
      <c r="A2133" s="884" t="s">
        <v>3172</v>
      </c>
      <c r="B2133" s="884" t="s">
        <v>3174</v>
      </c>
      <c r="C2133" s="250">
        <f>ROUNDUP(D2133/0.8/120,2)</f>
        <v>8.75</v>
      </c>
      <c r="D2133" s="129">
        <f>810+30</f>
        <v>840</v>
      </c>
      <c r="E2133" s="881">
        <f>(((C2133*F2133)-D2133)/(C2133*F2133))</f>
        <v>0.2</v>
      </c>
      <c r="F2133" s="882">
        <v>120</v>
      </c>
    </row>
    <row r="2134" spans="1:6">
      <c r="A2134" s="884"/>
      <c r="B2134" s="884"/>
      <c r="C2134" s="250"/>
      <c r="D2134" s="129"/>
      <c r="E2134" s="881"/>
      <c r="F2134" s="882"/>
    </row>
    <row r="2135" spans="1:6" s="262" customFormat="1" ht="26.1" customHeight="1">
      <c r="A2135" s="928" t="s">
        <v>3179</v>
      </c>
      <c r="B2135" s="884" t="s">
        <v>3175</v>
      </c>
      <c r="C2135" s="250">
        <f>ROUNDUP(D2135/0.8/120,2)</f>
        <v>8.129999999999999</v>
      </c>
      <c r="D2135" s="129">
        <f>580+100+100</f>
        <v>780</v>
      </c>
      <c r="E2135" s="881">
        <f>(((C2135*F2135)-D2135)/(C2135*F2135))</f>
        <v>0.20049200492004912</v>
      </c>
      <c r="F2135" s="882">
        <v>120</v>
      </c>
    </row>
    <row r="2136" spans="1:6" s="266" customFormat="1" ht="24" customHeight="1">
      <c r="A2136" s="928" t="s">
        <v>3173</v>
      </c>
      <c r="B2136" s="884" t="s">
        <v>3175</v>
      </c>
      <c r="C2136" s="250">
        <f>ROUNDUP(D2136/0.8/120,2)</f>
        <v>7.3999999999999995</v>
      </c>
      <c r="D2136" s="129">
        <f>580+100+30</f>
        <v>710</v>
      </c>
      <c r="E2136" s="960">
        <f>(C2136-(D2136/F2136))/C2136</f>
        <v>0.20045045045045035</v>
      </c>
      <c r="F2136" s="961">
        <v>120</v>
      </c>
    </row>
    <row r="2138" spans="1:6" ht="14.25" thickBot="1">
      <c r="A2138" t="s">
        <v>3188</v>
      </c>
    </row>
    <row r="2139" spans="1:6" ht="16.5" thickBot="1">
      <c r="A2139" s="963" t="s">
        <v>3180</v>
      </c>
      <c r="B2139" s="964"/>
    </row>
    <row r="2140" spans="1:6" ht="16.5" thickBot="1">
      <c r="A2140" s="965" t="s">
        <v>3181</v>
      </c>
      <c r="B2140" s="966" t="s">
        <v>3182</v>
      </c>
      <c r="C2140" s="250">
        <v>8.75</v>
      </c>
    </row>
    <row r="2141" spans="1:6" ht="16.5" thickBot="1">
      <c r="A2141" s="965" t="s">
        <v>3183</v>
      </c>
      <c r="B2141" s="966" t="s">
        <v>3182</v>
      </c>
      <c r="C2141" s="250">
        <v>8.75</v>
      </c>
    </row>
    <row r="2142" spans="1:6" ht="16.5" thickBot="1">
      <c r="A2142" s="965" t="s">
        <v>3184</v>
      </c>
      <c r="B2142" s="967" t="s">
        <v>3185</v>
      </c>
      <c r="C2142" s="250">
        <v>8.5500000000000007</v>
      </c>
    </row>
    <row r="2143" spans="1:6" ht="16.5" thickBot="1">
      <c r="A2143" s="965" t="s">
        <v>3186</v>
      </c>
      <c r="B2143" s="967" t="s">
        <v>3187</v>
      </c>
      <c r="C2143" s="250">
        <v>8.23</v>
      </c>
    </row>
    <row r="2144" spans="1:6" ht="15.75">
      <c r="A2144" s="968"/>
      <c r="B2144" s="969"/>
      <c r="C2144" s="938"/>
    </row>
    <row r="2145" spans="1:5" ht="14.25">
      <c r="A2145" t="s">
        <v>3189</v>
      </c>
      <c r="B2145" s="969"/>
      <c r="C2145" s="938"/>
    </row>
    <row r="2146" spans="1:5" ht="81.75" thickBot="1">
      <c r="A2146" s="970" t="s">
        <v>3190</v>
      </c>
      <c r="B2146" s="965" t="s">
        <v>3186</v>
      </c>
      <c r="C2146" s="967">
        <f>580+50+30</f>
        <v>660</v>
      </c>
      <c r="D2146" s="250">
        <v>6.88</v>
      </c>
    </row>
    <row r="2148" spans="1:5">
      <c r="A2148" s="242" t="s">
        <v>222</v>
      </c>
      <c r="B2148" s="242" t="s">
        <v>34</v>
      </c>
      <c r="C2148" s="242" t="s">
        <v>35</v>
      </c>
      <c r="D2148" s="785" t="s">
        <v>2855</v>
      </c>
    </row>
    <row r="2149" spans="1:5">
      <c r="A2149" s="37" t="s">
        <v>3100</v>
      </c>
      <c r="B2149" s="37" t="s">
        <v>3176</v>
      </c>
      <c r="C2149" s="248">
        <v>100</v>
      </c>
      <c r="D2149" s="742">
        <v>1.88</v>
      </c>
    </row>
    <row r="2150" spans="1:5">
      <c r="A2150" s="37" t="s">
        <v>3100</v>
      </c>
      <c r="B2150" s="37" t="s">
        <v>3177</v>
      </c>
      <c r="C2150" s="248">
        <v>100</v>
      </c>
      <c r="D2150" s="742">
        <v>1.88</v>
      </c>
    </row>
    <row r="2151" spans="1:5">
      <c r="A2151" s="37" t="s">
        <v>3100</v>
      </c>
      <c r="B2151" s="37" t="s">
        <v>3178</v>
      </c>
      <c r="C2151" s="248">
        <v>100</v>
      </c>
      <c r="D2151" s="742">
        <v>1.88</v>
      </c>
    </row>
    <row r="2152" spans="1:5">
      <c r="A2152" s="37"/>
      <c r="B2152" s="37" t="s">
        <v>266</v>
      </c>
      <c r="C2152" s="244">
        <v>1</v>
      </c>
      <c r="D2152" s="742">
        <v>12</v>
      </c>
    </row>
    <row r="2156" spans="1:5">
      <c r="A2156" s="242" t="s">
        <v>222</v>
      </c>
      <c r="B2156" s="242" t="s">
        <v>34</v>
      </c>
      <c r="C2156" s="242" t="s">
        <v>35</v>
      </c>
      <c r="D2156" s="785" t="s">
        <v>2855</v>
      </c>
    </row>
    <row r="2157" spans="1:5">
      <c r="A2157" s="735" t="s">
        <v>2996</v>
      </c>
      <c r="B2157" s="37" t="s">
        <v>3191</v>
      </c>
      <c r="C2157" s="950">
        <v>11</v>
      </c>
      <c r="D2157" s="742">
        <v>17.739999999999998</v>
      </c>
    </row>
    <row r="2158" spans="1:5" ht="14.25">
      <c r="A2158" s="228"/>
    </row>
    <row r="2159" spans="1:5" ht="14.25">
      <c r="A2159" s="228"/>
    </row>
    <row r="2160" spans="1:5">
      <c r="A2160" s="878" t="s">
        <v>3206</v>
      </c>
      <c r="C2160" s="161" t="s">
        <v>2989</v>
      </c>
      <c r="D2160" s="766" t="s">
        <v>2821</v>
      </c>
      <c r="E2160" s="766" t="s">
        <v>2822</v>
      </c>
    </row>
    <row r="2161" spans="1:5" ht="25.5">
      <c r="A2161" s="762" t="s">
        <v>2986</v>
      </c>
      <c r="B2161" s="785" t="s">
        <v>3214</v>
      </c>
      <c r="C2161" s="255" t="s">
        <v>3213</v>
      </c>
      <c r="D2161" s="879"/>
      <c r="E2161" s="879"/>
    </row>
    <row r="2162" spans="1:5" ht="51">
      <c r="A2162" s="884" t="s">
        <v>3215</v>
      </c>
      <c r="B2162" s="742">
        <f>ROUNDUP(C2162/0.8/120,2)</f>
        <v>18.96</v>
      </c>
      <c r="C2162" s="129">
        <f>1420+400</f>
        <v>1820</v>
      </c>
      <c r="D2162" s="883">
        <f>(((B2162*E2162)-C2162)/(B2162*E2162))</f>
        <v>0.2000703234880451</v>
      </c>
      <c r="E2162" s="132">
        <v>120</v>
      </c>
    </row>
    <row r="2163" spans="1:5" ht="42">
      <c r="A2163" s="880" t="s">
        <v>3208</v>
      </c>
      <c r="B2163" s="742">
        <f>ROUNDUP(C2163/0.8/120,2)</f>
        <v>15.11</v>
      </c>
      <c r="C2163" s="129">
        <f>1420+30</f>
        <v>1450</v>
      </c>
      <c r="D2163" s="881">
        <f>(((B2163*E2163)-C2163)/(B2163*E2163))</f>
        <v>0.20030884623869394</v>
      </c>
      <c r="E2163" s="882">
        <v>120</v>
      </c>
    </row>
    <row r="2164" spans="1:5" ht="25.5">
      <c r="A2164" s="880" t="s">
        <v>3209</v>
      </c>
      <c r="B2164" s="742">
        <f>ROUNDUP(C2164/0.8/120,2)</f>
        <v>14.28</v>
      </c>
      <c r="C2164" s="129">
        <f>1340+30</f>
        <v>1370</v>
      </c>
      <c r="D2164" s="881">
        <f>(((B2164*E2164)-C2164)/(B2164*E2164))</f>
        <v>0.20051353874883282</v>
      </c>
      <c r="E2164" s="882">
        <v>120</v>
      </c>
    </row>
    <row r="2165" spans="1:5" ht="25.5">
      <c r="A2165" s="880" t="s">
        <v>3210</v>
      </c>
      <c r="B2165" s="742">
        <f>ROUNDUP(C2165/0.8/120,2)</f>
        <v>13.75</v>
      </c>
      <c r="C2165" s="129">
        <f>1290+30</f>
        <v>1320</v>
      </c>
      <c r="D2165" s="881">
        <f>(((B2165*E2165)-C2165)/(B2165*E2165))</f>
        <v>0.2</v>
      </c>
      <c r="E2165" s="882">
        <v>120</v>
      </c>
    </row>
    <row r="2166" spans="1:5" ht="25.5">
      <c r="A2166" s="880" t="s">
        <v>3211</v>
      </c>
      <c r="B2166" s="742">
        <f>ROUNDUP(C2166/0.8/120,2)</f>
        <v>12.92</v>
      </c>
      <c r="C2166" s="129">
        <f>1210+30</f>
        <v>1240</v>
      </c>
      <c r="D2166" s="881">
        <f>(((B2166*E2166)-C2166)/(B2166*E2166))</f>
        <v>0.20020639834881326</v>
      </c>
      <c r="E2166" s="882">
        <v>120</v>
      </c>
    </row>
    <row r="2167" spans="1:5" ht="14.25">
      <c r="A2167" s="228"/>
    </row>
    <row r="2168" spans="1:5" ht="14.25">
      <c r="A2168" s="228"/>
    </row>
    <row r="2169" spans="1:5" ht="17.25">
      <c r="A2169" s="983" t="s">
        <v>3207</v>
      </c>
    </row>
    <row r="2170" spans="1:5" ht="17.25">
      <c r="A2170" s="984" t="s">
        <v>3202</v>
      </c>
    </row>
    <row r="2171" spans="1:5" ht="17.25">
      <c r="A2171" s="984" t="s">
        <v>3212</v>
      </c>
    </row>
    <row r="2172" spans="1:5" ht="17.25">
      <c r="A2172" s="984" t="s">
        <v>3203</v>
      </c>
    </row>
    <row r="2173" spans="1:5" ht="17.25">
      <c r="A2173" s="984" t="s">
        <v>3204</v>
      </c>
    </row>
    <row r="2174" spans="1:5" ht="17.25">
      <c r="A2174" s="984" t="s">
        <v>3205</v>
      </c>
    </row>
    <row r="2175" spans="1:5" ht="17.25">
      <c r="A2175" s="984" t="s">
        <v>3216</v>
      </c>
    </row>
    <row r="2176" spans="1:5" ht="14.25">
      <c r="A2176" s="228"/>
    </row>
    <row r="2177" spans="1:8">
      <c r="A2177" s="242" t="s">
        <v>222</v>
      </c>
      <c r="B2177" s="242" t="s">
        <v>158</v>
      </c>
      <c r="C2177" s="242" t="s">
        <v>34</v>
      </c>
      <c r="D2177" s="242" t="s">
        <v>35</v>
      </c>
      <c r="E2177" s="785" t="s">
        <v>2855</v>
      </c>
      <c r="F2177" s="785" t="s">
        <v>3224</v>
      </c>
    </row>
    <row r="2178" spans="1:8" ht="16.5">
      <c r="A2178" s="735" t="s">
        <v>3223</v>
      </c>
      <c r="B2178" s="921"/>
      <c r="C2178" s="37"/>
      <c r="D2178" s="246"/>
      <c r="E2178" s="42" t="s">
        <v>5</v>
      </c>
      <c r="F2178" s="742"/>
    </row>
    <row r="2179" spans="1:8">
      <c r="A2179" s="37" t="s">
        <v>3217</v>
      </c>
      <c r="B2179" s="921">
        <v>132</v>
      </c>
      <c r="C2179" s="37" t="s">
        <v>3219</v>
      </c>
      <c r="D2179" s="248">
        <v>10</v>
      </c>
      <c r="E2179" s="742">
        <v>4.6900000000000004</v>
      </c>
      <c r="F2179" s="742">
        <f>E2179*D2179</f>
        <v>46.900000000000006</v>
      </c>
    </row>
    <row r="2180" spans="1:8">
      <c r="A2180" s="37" t="s">
        <v>3221</v>
      </c>
      <c r="B2180" s="921">
        <v>148</v>
      </c>
      <c r="C2180" s="37" t="s">
        <v>3220</v>
      </c>
      <c r="D2180" s="248">
        <v>10</v>
      </c>
      <c r="E2180" s="742">
        <v>9.48</v>
      </c>
      <c r="F2180" s="742">
        <f>E2180*D2180</f>
        <v>94.800000000000011</v>
      </c>
    </row>
    <row r="2181" spans="1:8">
      <c r="A2181" s="851" t="s">
        <v>3222</v>
      </c>
      <c r="B2181" s="921"/>
      <c r="C2181" s="37"/>
      <c r="D2181" s="246"/>
      <c r="E2181" s="42" t="s">
        <v>5</v>
      </c>
      <c r="F2181" s="742"/>
    </row>
    <row r="2182" spans="1:8">
      <c r="A2182" s="37" t="s">
        <v>3218</v>
      </c>
      <c r="B2182" s="921">
        <v>148</v>
      </c>
      <c r="C2182" s="37" t="s">
        <v>3219</v>
      </c>
      <c r="D2182" s="248">
        <v>10</v>
      </c>
      <c r="E2182" s="742">
        <v>20.63</v>
      </c>
      <c r="F2182" s="742">
        <f>E2182*D2182</f>
        <v>206.29999999999998</v>
      </c>
    </row>
    <row r="2183" spans="1:8">
      <c r="A2183" s="37"/>
      <c r="B2183" s="795"/>
      <c r="C2183" s="135" t="s">
        <v>2804</v>
      </c>
      <c r="D2183" s="244">
        <v>3</v>
      </c>
      <c r="E2183" s="742">
        <v>12</v>
      </c>
      <c r="F2183" s="742">
        <f>E2183*D2183</f>
        <v>36</v>
      </c>
    </row>
    <row r="2184" spans="1:8">
      <c r="A2184" s="37"/>
      <c r="B2184" s="795"/>
      <c r="C2184" s="135" t="s">
        <v>266</v>
      </c>
      <c r="D2184" s="244">
        <v>1</v>
      </c>
      <c r="E2184" s="742">
        <v>25</v>
      </c>
      <c r="F2184" s="742">
        <f>E2184*D2184</f>
        <v>25</v>
      </c>
    </row>
    <row r="2185" spans="1:8" ht="14.25">
      <c r="A2185" s="228"/>
    </row>
    <row r="2186" spans="1:8" ht="14.25">
      <c r="A2186" s="228"/>
    </row>
    <row r="2187" spans="1:8" ht="15">
      <c r="A2187" s="935" t="s">
        <v>3225</v>
      </c>
      <c r="B2187" s="935"/>
      <c r="C2187" s="935"/>
      <c r="D2187" s="935"/>
      <c r="E2187" s="935"/>
      <c r="F2187" s="935"/>
    </row>
    <row r="2188" spans="1:8">
      <c r="A2188" s="762" t="s">
        <v>166</v>
      </c>
      <c r="B2188" s="762" t="s">
        <v>95</v>
      </c>
      <c r="C2188" s="762" t="s">
        <v>3103</v>
      </c>
      <c r="D2188" s="936" t="s">
        <v>2855</v>
      </c>
      <c r="E2188" s="936" t="s">
        <v>3229</v>
      </c>
      <c r="F2188" s="985" t="s">
        <v>3227</v>
      </c>
      <c r="G2188" s="766" t="s">
        <v>2821</v>
      </c>
      <c r="H2188" s="161" t="s">
        <v>2822</v>
      </c>
    </row>
    <row r="2189" spans="1:8">
      <c r="A2189" s="37" t="s">
        <v>3226</v>
      </c>
      <c r="B2189" s="37" t="s">
        <v>3094</v>
      </c>
      <c r="C2189" s="248">
        <v>10</v>
      </c>
      <c r="D2189" s="256">
        <f>ROUNDUP(F2189/0.6/120,2)</f>
        <v>4.24</v>
      </c>
      <c r="E2189" s="942" t="s">
        <v>3228</v>
      </c>
      <c r="F2189" s="939">
        <v>305</v>
      </c>
      <c r="G2189" s="789">
        <f>(D2189-(F2189/H2189))/D2189</f>
        <v>0.4005503144654089</v>
      </c>
      <c r="H2189" s="161">
        <v>120</v>
      </c>
    </row>
    <row r="2190" spans="1:8">
      <c r="A2190" s="37" t="s">
        <v>3226</v>
      </c>
      <c r="B2190" s="37" t="s">
        <v>3104</v>
      </c>
      <c r="C2190" s="248">
        <v>100</v>
      </c>
      <c r="D2190" s="256">
        <f>ROUNDUP(F2190/0.6/120,2)</f>
        <v>5.63</v>
      </c>
      <c r="E2190" s="942" t="s">
        <v>1822</v>
      </c>
      <c r="F2190" s="939">
        <f>305+100</f>
        <v>405</v>
      </c>
      <c r="G2190" s="789">
        <f>(D2190-(F2190/H2190))/D2190</f>
        <v>0.40053285968028418</v>
      </c>
      <c r="H2190" s="161">
        <v>120</v>
      </c>
    </row>
    <row r="2191" spans="1:8" ht="14.25">
      <c r="A2191" s="228"/>
    </row>
    <row r="2192" spans="1:8">
      <c r="A2192" s="878" t="s">
        <v>3230</v>
      </c>
      <c r="C2192" s="161" t="s">
        <v>2989</v>
      </c>
      <c r="D2192" s="766" t="s">
        <v>2821</v>
      </c>
      <c r="E2192" s="766" t="s">
        <v>2822</v>
      </c>
    </row>
    <row r="2193" spans="1:8" ht="27">
      <c r="A2193" s="762" t="s">
        <v>2986</v>
      </c>
      <c r="B2193" s="785" t="s">
        <v>2855</v>
      </c>
      <c r="C2193" s="926" t="s">
        <v>3129</v>
      </c>
      <c r="D2193" s="879"/>
      <c r="E2193" s="879"/>
    </row>
    <row r="2194" spans="1:8" ht="38.25">
      <c r="A2194" s="884" t="s">
        <v>3231</v>
      </c>
      <c r="B2194" s="250">
        <f>ROUNDUP(C2194/0.8/120,2)</f>
        <v>11.98</v>
      </c>
      <c r="C2194" s="129">
        <f>750+400</f>
        <v>1150</v>
      </c>
      <c r="D2194" s="883">
        <f>(((B2194*E2194)-C2194)/(B2194*E2194))</f>
        <v>0.20005564830272685</v>
      </c>
      <c r="E2194" s="132">
        <v>120</v>
      </c>
    </row>
    <row r="2195" spans="1:8" ht="38.25">
      <c r="A2195" s="884" t="s">
        <v>3232</v>
      </c>
      <c r="B2195" s="250">
        <f>ROUNDUP(C2195/0.8/120,2)</f>
        <v>8.129999999999999</v>
      </c>
      <c r="C2195" s="129">
        <f>750+30</f>
        <v>780</v>
      </c>
      <c r="D2195" s="881">
        <f>(((B2195*E2195)-C2195)/(B2195*E2195))</f>
        <v>0.20049200492004912</v>
      </c>
      <c r="E2195" s="882">
        <v>120</v>
      </c>
    </row>
    <row r="2196" spans="1:8" ht="38.25">
      <c r="A2196" s="884" t="s">
        <v>3233</v>
      </c>
      <c r="B2196" s="250">
        <f>ROUNDUP(C2196/0.8/120,2)</f>
        <v>12.61</v>
      </c>
      <c r="C2196" s="129">
        <f>810+400</f>
        <v>1210</v>
      </c>
      <c r="D2196" s="883">
        <f>(((B2196*E2196)-C2196)/(B2196*E2196))</f>
        <v>0.20037007665873635</v>
      </c>
      <c r="E2196" s="132">
        <v>120</v>
      </c>
    </row>
    <row r="2197" spans="1:8" ht="38.25">
      <c r="A2197" s="884" t="s">
        <v>3234</v>
      </c>
      <c r="B2197" s="250">
        <f>ROUNDUP(C2197/0.8/120,2)</f>
        <v>8.75</v>
      </c>
      <c r="C2197" s="129">
        <f>810+30</f>
        <v>840</v>
      </c>
      <c r="D2197" s="881">
        <f>(((B2197*E2197)-C2197)/(B2197*E2197))</f>
        <v>0.2</v>
      </c>
      <c r="E2197" s="882">
        <v>120</v>
      </c>
    </row>
    <row r="2198" spans="1:8" ht="14.25">
      <c r="A2198" s="228"/>
    </row>
    <row r="2199" spans="1:8" ht="14.25">
      <c r="A2199" s="228"/>
    </row>
    <row r="2200" spans="1:8" ht="15">
      <c r="A2200" s="935" t="s">
        <v>3235</v>
      </c>
      <c r="B2200" s="935"/>
      <c r="C2200" s="935"/>
      <c r="D2200" s="935"/>
      <c r="E2200" s="935"/>
      <c r="F2200" s="935"/>
    </row>
    <row r="2201" spans="1:8">
      <c r="A2201" s="762" t="s">
        <v>166</v>
      </c>
      <c r="B2201" s="762" t="s">
        <v>95</v>
      </c>
      <c r="C2201" s="762" t="s">
        <v>3103</v>
      </c>
      <c r="D2201" s="936" t="s">
        <v>2855</v>
      </c>
      <c r="E2201" s="936" t="s">
        <v>3241</v>
      </c>
      <c r="F2201" s="985" t="s">
        <v>3227</v>
      </c>
      <c r="G2201" s="766" t="s">
        <v>2821</v>
      </c>
      <c r="H2201" s="161" t="s">
        <v>2822</v>
      </c>
    </row>
    <row r="2202" spans="1:8">
      <c r="A2202" s="37" t="s">
        <v>3226</v>
      </c>
      <c r="B2202" s="37" t="s">
        <v>3094</v>
      </c>
      <c r="C2202" s="248">
        <v>10</v>
      </c>
      <c r="D2202" s="256">
        <f>ROUNDUP(F2202/0.6/120,2)</f>
        <v>4.24</v>
      </c>
      <c r="E2202" s="942" t="s">
        <v>3245</v>
      </c>
      <c r="F2202" s="939">
        <v>305</v>
      </c>
      <c r="G2202" s="789">
        <f>(D2202-(F2202/H2202))/D2202</f>
        <v>0.4005503144654089</v>
      </c>
      <c r="H2202" s="161">
        <v>120</v>
      </c>
    </row>
    <row r="2203" spans="1:8">
      <c r="A2203" s="37" t="s">
        <v>3236</v>
      </c>
      <c r="B2203" s="37" t="s">
        <v>3094</v>
      </c>
      <c r="C2203" s="248">
        <v>10</v>
      </c>
      <c r="D2203" s="256">
        <f>ROUNDUP(F2203/0.6/120,2)</f>
        <v>2.8899999999999997</v>
      </c>
      <c r="E2203" s="942" t="s">
        <v>3246</v>
      </c>
      <c r="F2203" s="939">
        <v>208</v>
      </c>
      <c r="G2203" s="789">
        <f>(D2203-(F2203/H2203))/D2203</f>
        <v>0.40023068050749705</v>
      </c>
      <c r="H2203" s="161">
        <v>120</v>
      </c>
    </row>
    <row r="2204" spans="1:8">
      <c r="A2204" s="37" t="s">
        <v>3237</v>
      </c>
      <c r="B2204" s="37" t="s">
        <v>3094</v>
      </c>
      <c r="C2204" s="248">
        <v>10</v>
      </c>
      <c r="D2204" s="256">
        <f>ROUNDUP(F2204/0.6/120,2)</f>
        <v>3.03</v>
      </c>
      <c r="E2204" s="942" t="s">
        <v>3247</v>
      </c>
      <c r="F2204" s="939">
        <v>218</v>
      </c>
      <c r="G2204" s="789">
        <f>(D2204-(F2204/H2204))/D2204</f>
        <v>0.40044004400440042</v>
      </c>
      <c r="H2204" s="161">
        <v>120</v>
      </c>
    </row>
    <row r="2205" spans="1:8">
      <c r="A2205" s="37" t="s">
        <v>3238</v>
      </c>
      <c r="B2205" s="37" t="s">
        <v>3094</v>
      </c>
      <c r="C2205" s="248">
        <v>10</v>
      </c>
      <c r="D2205" s="256">
        <f>ROUNDUP(F2205/0.6/120,2)</f>
        <v>4.41</v>
      </c>
      <c r="E2205" s="942" t="s">
        <v>3248</v>
      </c>
      <c r="F2205" s="939">
        <v>317</v>
      </c>
      <c r="G2205" s="789">
        <f>(D2205-(F2205/H2205))/D2205</f>
        <v>0.40098261526832957</v>
      </c>
      <c r="H2205" s="161">
        <v>120</v>
      </c>
    </row>
    <row r="2206" spans="1:8" ht="45.75" customHeight="1">
      <c r="A2206" s="37" t="s">
        <v>3239</v>
      </c>
      <c r="B2206" s="988" t="s">
        <v>3244</v>
      </c>
      <c r="C2206" s="248">
        <v>10</v>
      </c>
      <c r="D2206" s="256">
        <f>ROUNDUP(F2206/0.6/120,2)</f>
        <v>1.53</v>
      </c>
      <c r="E2206" s="942" t="s">
        <v>3249</v>
      </c>
      <c r="F2206" s="939">
        <v>110</v>
      </c>
      <c r="G2206" s="789">
        <f>(D2206-(F2206/H2206))/D2206</f>
        <v>0.40087145969498916</v>
      </c>
      <c r="H2206" s="161">
        <v>120</v>
      </c>
    </row>
    <row r="2207" spans="1:8" ht="14.25">
      <c r="A2207" s="228"/>
    </row>
    <row r="2208" spans="1:8" ht="14.25">
      <c r="A2208" s="228"/>
    </row>
    <row r="2209" spans="1:8" ht="14.25">
      <c r="A2209" s="228"/>
    </row>
    <row r="2210" spans="1:8">
      <c r="A2210" s="762" t="s">
        <v>166</v>
      </c>
      <c r="B2210" s="762" t="s">
        <v>95</v>
      </c>
      <c r="C2210" s="762" t="s">
        <v>3103</v>
      </c>
      <c r="D2210" s="936" t="s">
        <v>298</v>
      </c>
      <c r="E2210" s="986" t="s">
        <v>3242</v>
      </c>
    </row>
    <row r="2211" spans="1:8">
      <c r="A2211" s="37" t="s">
        <v>3226</v>
      </c>
      <c r="B2211" s="37" t="s">
        <v>3094</v>
      </c>
      <c r="C2211" s="248">
        <v>10</v>
      </c>
      <c r="D2211" s="942"/>
      <c r="E2211" s="939">
        <v>305</v>
      </c>
    </row>
    <row r="2212" spans="1:8">
      <c r="A2212" s="37" t="s">
        <v>3236</v>
      </c>
      <c r="B2212" s="37" t="s">
        <v>3094</v>
      </c>
      <c r="C2212" s="248">
        <v>10</v>
      </c>
      <c r="D2212" s="942"/>
      <c r="E2212" s="939">
        <v>208</v>
      </c>
    </row>
    <row r="2213" spans="1:8">
      <c r="A2213" s="37" t="s">
        <v>3237</v>
      </c>
      <c r="B2213" s="37" t="s">
        <v>3094</v>
      </c>
      <c r="C2213" s="248">
        <v>10</v>
      </c>
      <c r="D2213" s="942"/>
      <c r="E2213" s="939">
        <v>218</v>
      </c>
    </row>
    <row r="2214" spans="1:8">
      <c r="A2214" s="37" t="s">
        <v>3238</v>
      </c>
      <c r="B2214" s="37" t="s">
        <v>3094</v>
      </c>
      <c r="C2214" s="248">
        <v>10</v>
      </c>
      <c r="D2214" s="942"/>
      <c r="E2214" s="939">
        <v>317</v>
      </c>
    </row>
    <row r="2215" spans="1:8">
      <c r="A2215" s="37" t="s">
        <v>3239</v>
      </c>
      <c r="B2215" s="37" t="s">
        <v>3240</v>
      </c>
      <c r="C2215" s="248">
        <v>10</v>
      </c>
      <c r="D2215" s="942"/>
      <c r="E2215" s="987" t="s">
        <v>3243</v>
      </c>
    </row>
    <row r="2216" spans="1:8" ht="14.25">
      <c r="A2216" s="228"/>
    </row>
    <row r="2217" spans="1:8">
      <c r="A2217" t="s">
        <v>3253</v>
      </c>
    </row>
    <row r="2218" spans="1:8" ht="25.5">
      <c r="A2218" s="989" t="s">
        <v>221</v>
      </c>
      <c r="B2218" s="895" t="s">
        <v>158</v>
      </c>
      <c r="C2218" s="990" t="s">
        <v>2</v>
      </c>
      <c r="D2218" s="896" t="s">
        <v>235</v>
      </c>
      <c r="E2218" s="898" t="s">
        <v>2823</v>
      </c>
      <c r="F2218" s="991" t="s">
        <v>3031</v>
      </c>
      <c r="G2218" s="766" t="s">
        <v>2821</v>
      </c>
      <c r="H2218" s="161" t="s">
        <v>2822</v>
      </c>
    </row>
    <row r="2219" spans="1:8">
      <c r="A2219" s="774" t="s">
        <v>3252</v>
      </c>
      <c r="B2219" s="992">
        <v>3</v>
      </c>
      <c r="C2219" s="773">
        <v>30</v>
      </c>
      <c r="D2219" s="774" t="s">
        <v>239</v>
      </c>
      <c r="E2219" s="775">
        <v>0.76</v>
      </c>
      <c r="F2219" s="907">
        <v>41</v>
      </c>
      <c r="G2219" s="789">
        <f>(E2219-(F2219/H2219))/E2219</f>
        <v>0.55043859649122806</v>
      </c>
      <c r="H2219" s="161">
        <v>120</v>
      </c>
    </row>
    <row r="2220" spans="1:8" ht="14.25">
      <c r="A2220" s="228"/>
    </row>
    <row r="2221" spans="1:8" ht="14.25">
      <c r="A2221" s="228"/>
    </row>
    <row r="2222" spans="1:8">
      <c r="A2222" s="762" t="s">
        <v>166</v>
      </c>
      <c r="B2222" s="762" t="s">
        <v>3254</v>
      </c>
      <c r="C2222" s="762" t="s">
        <v>95</v>
      </c>
      <c r="D2222" s="245" t="s">
        <v>211</v>
      </c>
      <c r="E2222" s="245" t="s">
        <v>227</v>
      </c>
      <c r="F2222" s="245" t="s">
        <v>228</v>
      </c>
      <c r="G2222" s="936" t="s">
        <v>2855</v>
      </c>
    </row>
    <row r="2223" spans="1:8">
      <c r="A2223" s="37">
        <v>5356</v>
      </c>
      <c r="B2223" s="38">
        <v>3</v>
      </c>
      <c r="C2223" s="37" t="s">
        <v>75</v>
      </c>
      <c r="D2223" s="248">
        <v>30</v>
      </c>
      <c r="E2223" s="736">
        <v>1</v>
      </c>
      <c r="F2223" s="248">
        <f>D2223*E2223</f>
        <v>30</v>
      </c>
      <c r="G2223" s="742">
        <v>0.76</v>
      </c>
    </row>
    <row r="2224" spans="1:8">
      <c r="A2224" s="37">
        <v>5356</v>
      </c>
      <c r="B2224" s="38">
        <v>3</v>
      </c>
      <c r="C2224" s="37" t="s">
        <v>74</v>
      </c>
      <c r="D2224" s="248">
        <v>30</v>
      </c>
      <c r="E2224" s="736">
        <v>1</v>
      </c>
      <c r="F2224" s="248">
        <f>D2224*E2224</f>
        <v>30</v>
      </c>
      <c r="G2224" s="742">
        <v>0.76</v>
      </c>
    </row>
    <row r="2225" spans="1:8">
      <c r="A2225" s="37">
        <v>5356</v>
      </c>
      <c r="B2225" s="38">
        <v>3</v>
      </c>
      <c r="C2225" s="37" t="s">
        <v>3250</v>
      </c>
      <c r="D2225" s="248">
        <v>30</v>
      </c>
      <c r="E2225" s="736">
        <v>1</v>
      </c>
      <c r="F2225" s="248">
        <f>D2225*E2225</f>
        <v>30</v>
      </c>
      <c r="G2225" s="742">
        <v>0.76</v>
      </c>
    </row>
    <row r="2226" spans="1:8">
      <c r="A2226" s="37">
        <v>5356</v>
      </c>
      <c r="B2226" s="38">
        <v>3</v>
      </c>
      <c r="C2226" s="37" t="s">
        <v>3251</v>
      </c>
      <c r="D2226" s="248">
        <v>30</v>
      </c>
      <c r="E2226" s="736">
        <v>1</v>
      </c>
      <c r="F2226" s="248">
        <f>D2226*E2226</f>
        <v>30</v>
      </c>
      <c r="G2226" s="742">
        <v>0.76</v>
      </c>
    </row>
    <row r="2227" spans="1:8">
      <c r="A2227" s="37"/>
      <c r="B2227" s="795"/>
      <c r="C2227" s="135" t="s">
        <v>266</v>
      </c>
      <c r="D2227" s="248"/>
      <c r="E2227" s="736"/>
      <c r="F2227" s="244">
        <v>1</v>
      </c>
      <c r="G2227" s="742">
        <v>12</v>
      </c>
    </row>
    <row r="2232" spans="1:8">
      <c r="A2232" s="762" t="s">
        <v>166</v>
      </c>
      <c r="B2232" s="762" t="s">
        <v>158</v>
      </c>
      <c r="C2232" s="762" t="s">
        <v>95</v>
      </c>
      <c r="D2232" s="245" t="s">
        <v>211</v>
      </c>
      <c r="E2232" s="245" t="s">
        <v>227</v>
      </c>
      <c r="F2232" s="245" t="s">
        <v>228</v>
      </c>
      <c r="G2232" s="936" t="s">
        <v>2855</v>
      </c>
    </row>
    <row r="2233" spans="1:8">
      <c r="A2233" s="37" t="s">
        <v>3255</v>
      </c>
      <c r="B2233" s="921">
        <v>160</v>
      </c>
      <c r="C2233" s="37" t="s">
        <v>3256</v>
      </c>
      <c r="D2233" s="246">
        <v>50</v>
      </c>
      <c r="E2233" s="247">
        <v>1</v>
      </c>
      <c r="F2233" s="248">
        <f>D2233*E2233</f>
        <v>50</v>
      </c>
      <c r="G2233" s="742">
        <v>5.48</v>
      </c>
    </row>
    <row r="2234" spans="1:8">
      <c r="A2234" s="37" t="s">
        <v>3255</v>
      </c>
      <c r="B2234" s="921">
        <v>160</v>
      </c>
      <c r="C2234" s="37" t="s">
        <v>3257</v>
      </c>
      <c r="D2234" s="246">
        <v>50</v>
      </c>
      <c r="E2234" s="247">
        <v>1</v>
      </c>
      <c r="F2234" s="248">
        <f>D2234*E2234</f>
        <v>50</v>
      </c>
      <c r="G2234" s="742">
        <v>5.48</v>
      </c>
    </row>
    <row r="2235" spans="1:8">
      <c r="A2235" s="37"/>
      <c r="B2235" s="795"/>
      <c r="C2235" s="37" t="s">
        <v>266</v>
      </c>
      <c r="D2235" s="244"/>
      <c r="E2235" s="736"/>
      <c r="F2235" s="244">
        <v>1</v>
      </c>
      <c r="G2235" s="742">
        <v>25</v>
      </c>
    </row>
    <row r="2238" spans="1:8" ht="15">
      <c r="A2238" s="935" t="s">
        <v>3261</v>
      </c>
      <c r="B2238" s="935"/>
      <c r="C2238" s="935"/>
      <c r="D2238" s="935"/>
      <c r="E2238" s="935"/>
      <c r="F2238" s="935"/>
    </row>
    <row r="2239" spans="1:8">
      <c r="A2239" s="762" t="s">
        <v>166</v>
      </c>
      <c r="B2239" s="762" t="s">
        <v>95</v>
      </c>
      <c r="C2239" s="762" t="s">
        <v>3103</v>
      </c>
      <c r="D2239" s="936" t="s">
        <v>2855</v>
      </c>
      <c r="E2239" s="936" t="s">
        <v>3260</v>
      </c>
      <c r="F2239" s="985" t="s">
        <v>3227</v>
      </c>
      <c r="G2239" s="766" t="s">
        <v>2821</v>
      </c>
      <c r="H2239" s="161" t="s">
        <v>2822</v>
      </c>
    </row>
    <row r="2240" spans="1:8">
      <c r="A2240" s="37" t="s">
        <v>3258</v>
      </c>
      <c r="B2240" s="37" t="s">
        <v>3094</v>
      </c>
      <c r="C2240" s="248">
        <v>10</v>
      </c>
      <c r="D2240" s="256">
        <f>ROUNDUP(F2240/0.6/120,2)</f>
        <v>1.75</v>
      </c>
      <c r="E2240" s="942" t="s">
        <v>3259</v>
      </c>
      <c r="F2240" s="939">
        <v>126</v>
      </c>
      <c r="G2240" s="789">
        <f>(D2240-(F2240/H2240))/D2240</f>
        <v>0.39999999999999997</v>
      </c>
      <c r="H2240" s="161">
        <v>120</v>
      </c>
    </row>
    <row r="2241" spans="1:8">
      <c r="A2241" s="37" t="s">
        <v>3258</v>
      </c>
      <c r="B2241" s="37" t="s">
        <v>3104</v>
      </c>
      <c r="C2241" s="248">
        <v>100</v>
      </c>
      <c r="D2241" s="256">
        <f>ROUNDUP(F2241/0.6/120,2)</f>
        <v>2.8699999999999997</v>
      </c>
      <c r="E2241" s="942" t="s">
        <v>1822</v>
      </c>
      <c r="F2241" s="939">
        <f>126+80</f>
        <v>206</v>
      </c>
      <c r="G2241" s="789">
        <f>(D2241-(F2241/H2241))/D2241</f>
        <v>0.40185830429732866</v>
      </c>
      <c r="H2241" s="161">
        <v>120</v>
      </c>
    </row>
    <row r="2245" spans="1:8" ht="15">
      <c r="A2245" s="935" t="s">
        <v>3262</v>
      </c>
      <c r="B2245" s="935"/>
      <c r="C2245" s="935"/>
      <c r="D2245" s="935"/>
      <c r="E2245" s="935"/>
      <c r="F2245" s="935"/>
    </row>
    <row r="2246" spans="1:8">
      <c r="A2246" s="762" t="s">
        <v>166</v>
      </c>
      <c r="B2246" s="762" t="s">
        <v>95</v>
      </c>
      <c r="C2246" s="762" t="s">
        <v>3103</v>
      </c>
      <c r="D2246" s="936" t="s">
        <v>2855</v>
      </c>
      <c r="E2246" s="936" t="s">
        <v>3260</v>
      </c>
      <c r="F2246" s="985" t="s">
        <v>3227</v>
      </c>
      <c r="G2246" s="766" t="s">
        <v>2821</v>
      </c>
      <c r="H2246" s="161" t="s">
        <v>2822</v>
      </c>
    </row>
    <row r="2247" spans="1:8" ht="16.5">
      <c r="A2247" s="37" t="s">
        <v>3263</v>
      </c>
      <c r="B2247" s="37" t="s">
        <v>3094</v>
      </c>
      <c r="C2247" s="248">
        <v>10</v>
      </c>
      <c r="D2247" s="256">
        <f>ROUNDUP(F2247/0.6/120,2)</f>
        <v>2.4499999999999997</v>
      </c>
      <c r="E2247" s="942" t="s">
        <v>3265</v>
      </c>
      <c r="F2247" s="939">
        <v>176</v>
      </c>
      <c r="G2247" s="789">
        <f>(D2247-(F2247/H2247))/D2247</f>
        <v>0.40136054421768708</v>
      </c>
      <c r="H2247" s="161">
        <v>120</v>
      </c>
    </row>
    <row r="2248" spans="1:8">
      <c r="A2248" s="37" t="s">
        <v>3263</v>
      </c>
      <c r="B2248" s="37" t="s">
        <v>3104</v>
      </c>
      <c r="C2248" s="248" t="s">
        <v>3264</v>
      </c>
      <c r="D2248" s="256">
        <f>ROUNDUP(F2248/0.6/120,2)</f>
        <v>3.5599999999999996</v>
      </c>
      <c r="E2248" s="942" t="s">
        <v>1822</v>
      </c>
      <c r="F2248" s="939">
        <f>176+80</f>
        <v>256</v>
      </c>
      <c r="G2248" s="789">
        <f>(D2248-(F2248/H2248))/D2248</f>
        <v>0.40074906367041191</v>
      </c>
      <c r="H2248" s="161">
        <v>120</v>
      </c>
    </row>
    <row r="2249" spans="1:8">
      <c r="A2249" s="37" t="s">
        <v>3266</v>
      </c>
      <c r="B2249" s="37" t="s">
        <v>3094</v>
      </c>
      <c r="C2249" s="248">
        <v>10</v>
      </c>
      <c r="D2249" s="256">
        <f>ROUNDUP(F2249/0.6/120,2)</f>
        <v>2.2699999999999996</v>
      </c>
      <c r="E2249" s="942" t="s">
        <v>3267</v>
      </c>
      <c r="F2249" s="939">
        <v>163</v>
      </c>
      <c r="G2249" s="789">
        <f>(D2249-(F2249/H2249))/D2249</f>
        <v>0.40161527165932437</v>
      </c>
      <c r="H2249" s="161">
        <v>120</v>
      </c>
    </row>
    <row r="2250" spans="1:8">
      <c r="A2250" s="37" t="s">
        <v>3266</v>
      </c>
      <c r="B2250" s="37" t="s">
        <v>3104</v>
      </c>
      <c r="C2250" s="248" t="s">
        <v>3264</v>
      </c>
      <c r="D2250" s="256">
        <f>ROUNDUP(F2250/0.6/120,2)</f>
        <v>3.38</v>
      </c>
      <c r="E2250" s="942" t="s">
        <v>1822</v>
      </c>
      <c r="F2250" s="939">
        <f>163+80</f>
        <v>243</v>
      </c>
      <c r="G2250" s="789">
        <f>(D2250-(F2250/H2250))/D2250</f>
        <v>0.40088757396449703</v>
      </c>
      <c r="H2250" s="161">
        <v>120</v>
      </c>
    </row>
    <row r="2254" spans="1:8">
      <c r="A2254" s="762" t="s">
        <v>3269</v>
      </c>
      <c r="B2254" s="762" t="s">
        <v>166</v>
      </c>
      <c r="C2254" s="762" t="s">
        <v>95</v>
      </c>
      <c r="D2254" s="762" t="s">
        <v>35</v>
      </c>
      <c r="E2254" s="936" t="s">
        <v>2855</v>
      </c>
    </row>
    <row r="2255" spans="1:8">
      <c r="A2255" s="995" t="s">
        <v>3270</v>
      </c>
      <c r="B2255" s="37" t="s">
        <v>3268</v>
      </c>
      <c r="C2255" s="37" t="s">
        <v>3094</v>
      </c>
      <c r="D2255" s="248">
        <v>30</v>
      </c>
      <c r="E2255" s="742">
        <v>2.4500000000000002</v>
      </c>
    </row>
    <row r="2256" spans="1:8">
      <c r="A2256" s="995" t="s">
        <v>3271</v>
      </c>
      <c r="B2256" s="37" t="s">
        <v>3268</v>
      </c>
      <c r="C2256" s="37" t="s">
        <v>3094</v>
      </c>
      <c r="D2256" s="248">
        <v>10</v>
      </c>
      <c r="E2256" s="742">
        <v>2.4500000000000002</v>
      </c>
    </row>
    <row r="2257" spans="1:8">
      <c r="A2257" s="994"/>
      <c r="B2257" s="226"/>
      <c r="C2257" s="37" t="s">
        <v>266</v>
      </c>
      <c r="D2257" s="244">
        <v>1</v>
      </c>
      <c r="E2257" s="742">
        <v>12</v>
      </c>
    </row>
    <row r="2261" spans="1:8">
      <c r="A2261" s="762" t="s">
        <v>166</v>
      </c>
      <c r="B2261" s="762" t="s">
        <v>95</v>
      </c>
      <c r="C2261" s="245" t="s">
        <v>211</v>
      </c>
      <c r="D2261" s="245" t="s">
        <v>227</v>
      </c>
      <c r="E2261" s="245" t="s">
        <v>228</v>
      </c>
      <c r="F2261" s="936" t="s">
        <v>2855</v>
      </c>
    </row>
    <row r="2262" spans="1:8">
      <c r="A2262" s="37" t="s">
        <v>2963</v>
      </c>
      <c r="B2262" s="37" t="s">
        <v>56</v>
      </c>
      <c r="C2262" s="246">
        <v>13.7</v>
      </c>
      <c r="D2262" s="247">
        <v>2</v>
      </c>
      <c r="E2262" s="950">
        <f>C2262*D2262</f>
        <v>27.4</v>
      </c>
      <c r="F2262" s="742">
        <v>29.85</v>
      </c>
    </row>
    <row r="2263" spans="1:8">
      <c r="A2263" s="37"/>
      <c r="B2263" s="37" t="s">
        <v>266</v>
      </c>
      <c r="C2263" s="244"/>
      <c r="D2263" s="736"/>
      <c r="E2263" s="244">
        <v>1</v>
      </c>
      <c r="F2263" s="742">
        <v>20</v>
      </c>
    </row>
    <row r="2266" spans="1:8" ht="15">
      <c r="A2266" s="935" t="s">
        <v>3272</v>
      </c>
      <c r="B2266" s="935"/>
      <c r="C2266" s="935"/>
      <c r="D2266" s="935"/>
      <c r="E2266" s="935"/>
      <c r="F2266" s="935"/>
    </row>
    <row r="2267" spans="1:8">
      <c r="A2267" s="762" t="s">
        <v>166</v>
      </c>
      <c r="B2267" s="762" t="s">
        <v>95</v>
      </c>
      <c r="C2267" s="762" t="s">
        <v>3103</v>
      </c>
      <c r="D2267" s="936" t="s">
        <v>2855</v>
      </c>
      <c r="E2267" s="936" t="s">
        <v>3292</v>
      </c>
      <c r="F2267" s="985" t="s">
        <v>3227</v>
      </c>
      <c r="G2267" s="766" t="s">
        <v>2821</v>
      </c>
      <c r="H2267" s="161" t="s">
        <v>2822</v>
      </c>
    </row>
    <row r="2268" spans="1:8">
      <c r="A2268" s="37" t="s">
        <v>3226</v>
      </c>
      <c r="B2268" s="37" t="s">
        <v>3094</v>
      </c>
      <c r="C2268" s="39">
        <v>10</v>
      </c>
      <c r="D2268" s="250">
        <f t="shared" ref="D2268:D2278" si="28">ROUNDUP(F2268/0.6/120,2)</f>
        <v>4.24</v>
      </c>
      <c r="E2268" s="942" t="s">
        <v>3228</v>
      </c>
      <c r="F2268" s="939">
        <v>305</v>
      </c>
      <c r="G2268" s="789">
        <f>(D2268-(F2268/H2268))/D2268</f>
        <v>0.4005503144654089</v>
      </c>
      <c r="H2268" s="161">
        <v>120</v>
      </c>
    </row>
    <row r="2269" spans="1:8">
      <c r="A2269" s="744" t="s">
        <v>3282</v>
      </c>
      <c r="B2269" s="744" t="s">
        <v>3094</v>
      </c>
      <c r="C2269" s="996">
        <v>10</v>
      </c>
      <c r="D2269" s="997">
        <f t="shared" si="28"/>
        <v>2.6199999999999997</v>
      </c>
      <c r="E2269" s="744" t="s">
        <v>3273</v>
      </c>
      <c r="F2269">
        <v>188</v>
      </c>
      <c r="G2269" s="789">
        <f>(D2269-(F2269/H2269))/D2269</f>
        <v>0.40203562340966914</v>
      </c>
      <c r="H2269" s="161">
        <v>120</v>
      </c>
    </row>
    <row r="2270" spans="1:8">
      <c r="A2270" s="744" t="s">
        <v>3283</v>
      </c>
      <c r="B2270" s="744" t="s">
        <v>3094</v>
      </c>
      <c r="C2270" s="996">
        <v>10</v>
      </c>
      <c r="D2270" s="997">
        <f t="shared" si="28"/>
        <v>2.59</v>
      </c>
      <c r="E2270" s="744" t="s">
        <v>3274</v>
      </c>
      <c r="F2270">
        <v>186</v>
      </c>
      <c r="G2270" s="789">
        <f t="shared" ref="G2270:G2278" si="29">(D2270-(F2270/H2270))/D2270</f>
        <v>0.40154440154440152</v>
      </c>
      <c r="H2270" s="161">
        <v>120</v>
      </c>
    </row>
    <row r="2271" spans="1:8">
      <c r="A2271" s="744" t="s">
        <v>3284</v>
      </c>
      <c r="B2271" s="744" t="s">
        <v>3094</v>
      </c>
      <c r="C2271" s="996">
        <v>10</v>
      </c>
      <c r="D2271" s="997">
        <f t="shared" si="28"/>
        <v>1.91</v>
      </c>
      <c r="E2271" s="744" t="s">
        <v>3275</v>
      </c>
      <c r="F2271">
        <v>137</v>
      </c>
      <c r="G2271" s="789">
        <f t="shared" si="29"/>
        <v>0.40226876090750435</v>
      </c>
      <c r="H2271" s="161">
        <v>120</v>
      </c>
    </row>
    <row r="2272" spans="1:8">
      <c r="A2272" s="744" t="s">
        <v>3285</v>
      </c>
      <c r="B2272" s="744" t="s">
        <v>3094</v>
      </c>
      <c r="C2272" s="996">
        <v>10</v>
      </c>
      <c r="D2272" s="997">
        <f t="shared" si="28"/>
        <v>2.1399999999999997</v>
      </c>
      <c r="E2272" s="744" t="s">
        <v>3276</v>
      </c>
      <c r="F2272">
        <v>154</v>
      </c>
      <c r="G2272" s="789">
        <f t="shared" si="29"/>
        <v>0.40031152647975066</v>
      </c>
      <c r="H2272" s="161">
        <v>120</v>
      </c>
    </row>
    <row r="2273" spans="1:8">
      <c r="A2273" s="744" t="s">
        <v>3286</v>
      </c>
      <c r="B2273" s="744" t="s">
        <v>3094</v>
      </c>
      <c r="C2273" s="996">
        <v>10</v>
      </c>
      <c r="D2273" s="997">
        <f t="shared" si="28"/>
        <v>1.89</v>
      </c>
      <c r="E2273" s="744" t="s">
        <v>3277</v>
      </c>
      <c r="F2273">
        <v>136</v>
      </c>
      <c r="G2273" s="789">
        <f t="shared" si="29"/>
        <v>0.400352733686067</v>
      </c>
      <c r="H2273" s="161">
        <v>120</v>
      </c>
    </row>
    <row r="2274" spans="1:8">
      <c r="A2274" s="744" t="s">
        <v>3287</v>
      </c>
      <c r="B2274" s="744" t="s">
        <v>3094</v>
      </c>
      <c r="C2274" s="996">
        <v>10</v>
      </c>
      <c r="D2274" s="997">
        <f t="shared" si="28"/>
        <v>2.59</v>
      </c>
      <c r="E2274" s="744" t="s">
        <v>3278</v>
      </c>
      <c r="F2274">
        <v>186</v>
      </c>
      <c r="G2274" s="789">
        <f t="shared" si="29"/>
        <v>0.40154440154440152</v>
      </c>
      <c r="H2274" s="161">
        <v>120</v>
      </c>
    </row>
    <row r="2275" spans="1:8">
      <c r="A2275" s="744" t="s">
        <v>3288</v>
      </c>
      <c r="B2275" s="744" t="s">
        <v>3094</v>
      </c>
      <c r="C2275" s="996">
        <v>10</v>
      </c>
      <c r="D2275" s="997">
        <f t="shared" si="28"/>
        <v>2.71</v>
      </c>
      <c r="E2275" s="744" t="s">
        <v>3279</v>
      </c>
      <c r="F2275">
        <v>195</v>
      </c>
      <c r="G2275" s="789">
        <f t="shared" si="29"/>
        <v>0.40036900369003692</v>
      </c>
      <c r="H2275" s="161">
        <v>120</v>
      </c>
    </row>
    <row r="2276" spans="1:8">
      <c r="A2276" s="744" t="s">
        <v>3289</v>
      </c>
      <c r="B2276" s="744" t="s">
        <v>3094</v>
      </c>
      <c r="C2276" s="996">
        <v>10</v>
      </c>
      <c r="D2276" s="997">
        <f t="shared" si="28"/>
        <v>2.2999999999999998</v>
      </c>
      <c r="E2276" s="744" t="s">
        <v>3280</v>
      </c>
      <c r="F2276">
        <v>165</v>
      </c>
      <c r="G2276" s="789">
        <f t="shared" si="29"/>
        <v>0.40217391304347822</v>
      </c>
      <c r="H2276" s="161">
        <v>120</v>
      </c>
    </row>
    <row r="2277" spans="1:8">
      <c r="A2277" s="744" t="s">
        <v>3290</v>
      </c>
      <c r="B2277" s="744" t="s">
        <v>3094</v>
      </c>
      <c r="C2277" s="996">
        <v>10</v>
      </c>
      <c r="D2277" s="997">
        <f t="shared" si="28"/>
        <v>2.6999999999999997</v>
      </c>
      <c r="E2277" s="744" t="s">
        <v>3281</v>
      </c>
      <c r="F2277">
        <v>194</v>
      </c>
      <c r="G2277" s="789">
        <f t="shared" si="29"/>
        <v>0.40123456790123452</v>
      </c>
      <c r="H2277" s="161">
        <v>120</v>
      </c>
    </row>
    <row r="2278" spans="1:8">
      <c r="A2278" s="744" t="s">
        <v>3291</v>
      </c>
      <c r="B2278" s="744" t="s">
        <v>3094</v>
      </c>
      <c r="C2278" s="996">
        <v>10</v>
      </c>
      <c r="D2278" s="997">
        <f t="shared" si="28"/>
        <v>2.8899999999999997</v>
      </c>
      <c r="E2278" s="744" t="s">
        <v>3277</v>
      </c>
      <c r="F2278">
        <v>208</v>
      </c>
      <c r="G2278" s="789">
        <f t="shared" si="29"/>
        <v>0.40023068050749705</v>
      </c>
      <c r="H2278" s="161">
        <v>120</v>
      </c>
    </row>
    <row r="2279" spans="1:8">
      <c r="D2279" s="161"/>
    </row>
    <row r="2282" spans="1:8">
      <c r="A2282" s="762" t="s">
        <v>166</v>
      </c>
      <c r="B2282" s="762" t="s">
        <v>95</v>
      </c>
      <c r="C2282" s="245" t="s">
        <v>228</v>
      </c>
      <c r="D2282" s="936" t="s">
        <v>2855</v>
      </c>
    </row>
    <row r="2283" spans="1:8">
      <c r="A2283" s="37" t="s">
        <v>3293</v>
      </c>
      <c r="B2283" s="37" t="s">
        <v>3294</v>
      </c>
      <c r="C2283" s="248">
        <v>100</v>
      </c>
      <c r="D2283" s="742">
        <v>2.87</v>
      </c>
    </row>
    <row r="2284" spans="1:8">
      <c r="A2284" s="37"/>
      <c r="B2284" s="37" t="s">
        <v>266</v>
      </c>
      <c r="C2284" s="244">
        <v>1</v>
      </c>
      <c r="D2284" s="742">
        <v>12</v>
      </c>
    </row>
    <row r="2287" spans="1:8">
      <c r="A2287" t="s">
        <v>3301</v>
      </c>
    </row>
    <row r="2288" spans="1:8" s="901" customFormat="1" ht="25.5">
      <c r="A2288" s="998" t="s">
        <v>221</v>
      </c>
      <c r="B2288" s="999" t="s">
        <v>3295</v>
      </c>
      <c r="C2288" s="1000" t="s">
        <v>3296</v>
      </c>
      <c r="D2288" s="1001" t="s">
        <v>3297</v>
      </c>
      <c r="E2288" s="1002" t="s">
        <v>3298</v>
      </c>
      <c r="F2288" s="1003"/>
    </row>
    <row r="2289" spans="1:8" s="901" customFormat="1" ht="18" customHeight="1">
      <c r="A2289" s="772" t="s">
        <v>3299</v>
      </c>
      <c r="B2289" s="774" t="s">
        <v>3300</v>
      </c>
      <c r="C2289" s="900">
        <v>25</v>
      </c>
      <c r="D2289" s="1004">
        <v>30</v>
      </c>
      <c r="E2289" s="911">
        <v>1.21</v>
      </c>
      <c r="F2289" s="1007">
        <v>80</v>
      </c>
      <c r="G2289" s="1005">
        <f>(((E2289*H2289)-F2289)/(E2289*H2289))</f>
        <v>0.44903581267217624</v>
      </c>
      <c r="H2289" s="1006">
        <v>120</v>
      </c>
    </row>
    <row r="2292" spans="1:8">
      <c r="A2292" s="762" t="s">
        <v>166</v>
      </c>
      <c r="B2292" s="762" t="s">
        <v>95</v>
      </c>
      <c r="C2292" s="245" t="s">
        <v>228</v>
      </c>
      <c r="D2292" s="936" t="s">
        <v>2855</v>
      </c>
      <c r="E2292" s="936" t="s">
        <v>3224</v>
      </c>
    </row>
    <row r="2293" spans="1:8">
      <c r="A2293" s="37" t="s">
        <v>3226</v>
      </c>
      <c r="B2293" s="37" t="s">
        <v>3094</v>
      </c>
      <c r="C2293" s="248">
        <v>2</v>
      </c>
      <c r="D2293" s="742">
        <v>4.24</v>
      </c>
      <c r="E2293" s="742">
        <f t="shared" ref="E2293:E2304" si="30">D2293*C2293</f>
        <v>8.48</v>
      </c>
    </row>
    <row r="2294" spans="1:8">
      <c r="A2294" s="744" t="s">
        <v>3282</v>
      </c>
      <c r="B2294" s="37" t="s">
        <v>3094</v>
      </c>
      <c r="C2294" s="248">
        <v>2</v>
      </c>
      <c r="D2294" s="742">
        <v>2.6199999999999997</v>
      </c>
      <c r="E2294" s="742">
        <f t="shared" si="30"/>
        <v>5.2399999999999993</v>
      </c>
    </row>
    <row r="2295" spans="1:8">
      <c r="A2295" s="744" t="s">
        <v>3283</v>
      </c>
      <c r="B2295" s="37" t="s">
        <v>3094</v>
      </c>
      <c r="C2295" s="248">
        <v>2</v>
      </c>
      <c r="D2295" s="742">
        <v>2.59</v>
      </c>
      <c r="E2295" s="742">
        <f t="shared" si="30"/>
        <v>5.18</v>
      </c>
    </row>
    <row r="2296" spans="1:8">
      <c r="A2296" s="744" t="s">
        <v>3284</v>
      </c>
      <c r="B2296" s="37" t="s">
        <v>3094</v>
      </c>
      <c r="C2296" s="248">
        <v>2</v>
      </c>
      <c r="D2296" s="742">
        <v>1.91</v>
      </c>
      <c r="E2296" s="742">
        <f t="shared" si="30"/>
        <v>3.82</v>
      </c>
    </row>
    <row r="2297" spans="1:8">
      <c r="A2297" s="744" t="s">
        <v>3285</v>
      </c>
      <c r="B2297" s="37" t="s">
        <v>3094</v>
      </c>
      <c r="C2297" s="248">
        <v>2</v>
      </c>
      <c r="D2297" s="742">
        <v>2.1399999999999997</v>
      </c>
      <c r="E2297" s="742">
        <f t="shared" si="30"/>
        <v>4.2799999999999994</v>
      </c>
    </row>
    <row r="2298" spans="1:8">
      <c r="A2298" s="744" t="s">
        <v>3286</v>
      </c>
      <c r="B2298" s="37" t="s">
        <v>3094</v>
      </c>
      <c r="C2298" s="248">
        <v>2</v>
      </c>
      <c r="D2298" s="742">
        <v>1.89</v>
      </c>
      <c r="E2298" s="742">
        <f t="shared" si="30"/>
        <v>3.78</v>
      </c>
    </row>
    <row r="2299" spans="1:8">
      <c r="A2299" s="744" t="s">
        <v>3287</v>
      </c>
      <c r="B2299" s="37" t="s">
        <v>3094</v>
      </c>
      <c r="C2299" s="248">
        <v>2</v>
      </c>
      <c r="D2299" s="742">
        <v>2.59</v>
      </c>
      <c r="E2299" s="742">
        <f t="shared" si="30"/>
        <v>5.18</v>
      </c>
    </row>
    <row r="2300" spans="1:8">
      <c r="A2300" s="744" t="s">
        <v>3288</v>
      </c>
      <c r="B2300" s="37" t="s">
        <v>3094</v>
      </c>
      <c r="C2300" s="248">
        <v>2</v>
      </c>
      <c r="D2300" s="742">
        <v>2.71</v>
      </c>
      <c r="E2300" s="742">
        <f t="shared" si="30"/>
        <v>5.42</v>
      </c>
    </row>
    <row r="2301" spans="1:8">
      <c r="A2301" s="744" t="s">
        <v>3289</v>
      </c>
      <c r="B2301" s="37" t="s">
        <v>3094</v>
      </c>
      <c r="C2301" s="248">
        <v>2</v>
      </c>
      <c r="D2301" s="742">
        <v>2.2999999999999998</v>
      </c>
      <c r="E2301" s="742">
        <f t="shared" si="30"/>
        <v>4.5999999999999996</v>
      </c>
    </row>
    <row r="2302" spans="1:8">
      <c r="A2302" s="744" t="s">
        <v>3290</v>
      </c>
      <c r="B2302" s="37" t="s">
        <v>3094</v>
      </c>
      <c r="C2302" s="248">
        <v>2</v>
      </c>
      <c r="D2302" s="742">
        <v>2.6999999999999997</v>
      </c>
      <c r="E2302" s="742">
        <f t="shared" si="30"/>
        <v>5.3999999999999995</v>
      </c>
    </row>
    <row r="2303" spans="1:8">
      <c r="A2303" s="744" t="s">
        <v>3291</v>
      </c>
      <c r="B2303" s="37" t="s">
        <v>3094</v>
      </c>
      <c r="C2303" s="248">
        <v>2</v>
      </c>
      <c r="D2303" s="742">
        <v>2.8899999999999997</v>
      </c>
      <c r="E2303" s="742">
        <f t="shared" si="30"/>
        <v>5.7799999999999994</v>
      </c>
    </row>
    <row r="2304" spans="1:8">
      <c r="A2304" s="37"/>
      <c r="B2304" s="37" t="s">
        <v>266</v>
      </c>
      <c r="C2304" s="244">
        <v>1</v>
      </c>
      <c r="D2304" s="742">
        <v>12</v>
      </c>
      <c r="E2304" s="742">
        <f t="shared" si="30"/>
        <v>12</v>
      </c>
    </row>
    <row r="2305" spans="1:6">
      <c r="A2305" s="37"/>
      <c r="B2305" s="37"/>
      <c r="C2305" s="244"/>
      <c r="D2305" s="1008" t="s">
        <v>3302</v>
      </c>
      <c r="E2305" s="1008">
        <f>SUM(E2293:E2304)</f>
        <v>69.16</v>
      </c>
    </row>
    <row r="2308" spans="1:6" s="243" customFormat="1" ht="12.75">
      <c r="A2308" s="762" t="s">
        <v>166</v>
      </c>
      <c r="B2308" s="762" t="s">
        <v>95</v>
      </c>
      <c r="C2308" s="245" t="s">
        <v>228</v>
      </c>
      <c r="D2308" s="936" t="s">
        <v>2855</v>
      </c>
      <c r="E2308" s="31"/>
    </row>
    <row r="2309" spans="1:6" s="243" customFormat="1" ht="12.75">
      <c r="A2309" s="37" t="s">
        <v>3293</v>
      </c>
      <c r="B2309" s="37" t="s">
        <v>3294</v>
      </c>
      <c r="C2309" s="248">
        <v>100</v>
      </c>
      <c r="D2309" s="742">
        <v>2.87</v>
      </c>
      <c r="E2309" s="742">
        <f>D2309*C2309</f>
        <v>287</v>
      </c>
    </row>
    <row r="2310" spans="1:6" s="243" customFormat="1" ht="12.75">
      <c r="A2310" s="37" t="s">
        <v>3293</v>
      </c>
      <c r="B2310" s="37" t="s">
        <v>3094</v>
      </c>
      <c r="C2310" s="248">
        <v>100</v>
      </c>
      <c r="D2310" s="742">
        <v>1.75</v>
      </c>
      <c r="E2310" s="742">
        <f>D2310*C2310</f>
        <v>175</v>
      </c>
    </row>
    <row r="2311" spans="1:6">
      <c r="A2311" s="37"/>
      <c r="B2311" s="37" t="s">
        <v>266</v>
      </c>
      <c r="C2311" s="244">
        <v>1</v>
      </c>
      <c r="D2311" s="742">
        <v>24</v>
      </c>
    </row>
    <row r="2314" spans="1:6" ht="14.25" thickBot="1">
      <c r="A2314" t="s">
        <v>3306</v>
      </c>
    </row>
    <row r="2315" spans="1:6" ht="14.25" thickBot="1">
      <c r="A2315" s="1009" t="s">
        <v>166</v>
      </c>
      <c r="B2315" s="1010" t="s">
        <v>3303</v>
      </c>
      <c r="C2315" s="1010" t="s">
        <v>3304</v>
      </c>
      <c r="D2315" s="1011" t="s">
        <v>3305</v>
      </c>
      <c r="E2315" s="766" t="s">
        <v>2821</v>
      </c>
      <c r="F2315" s="766" t="s">
        <v>2822</v>
      </c>
    </row>
    <row r="2316" spans="1:6" ht="51.75" thickBot="1">
      <c r="A2316" s="1012" t="s">
        <v>3307</v>
      </c>
      <c r="B2316" s="1013">
        <v>10.6</v>
      </c>
      <c r="C2316" s="1014" t="s">
        <v>3308</v>
      </c>
      <c r="D2316" s="161">
        <f>860+30</f>
        <v>890</v>
      </c>
      <c r="E2316" s="1015">
        <f>(B2316-(D2316/F2316))/B2316</f>
        <v>0.30031446540880496</v>
      </c>
      <c r="F2316" s="838">
        <v>120</v>
      </c>
    </row>
    <row r="2319" spans="1:6">
      <c r="A2319" s="762" t="s">
        <v>166</v>
      </c>
      <c r="B2319" s="762" t="s">
        <v>95</v>
      </c>
      <c r="C2319" s="245" t="s">
        <v>228</v>
      </c>
      <c r="D2319" s="936" t="s">
        <v>2855</v>
      </c>
      <c r="E2319" s="936" t="s">
        <v>3224</v>
      </c>
      <c r="F2319" s="936" t="s">
        <v>3312</v>
      </c>
    </row>
    <row r="2320" spans="1:6">
      <c r="A2320" s="37" t="s">
        <v>3226</v>
      </c>
      <c r="B2320" s="37" t="s">
        <v>3094</v>
      </c>
      <c r="C2320" s="248">
        <v>90</v>
      </c>
      <c r="D2320" s="742">
        <v>4.24</v>
      </c>
      <c r="E2320" s="742">
        <f>D2320*C2320</f>
        <v>381.6</v>
      </c>
      <c r="F2320" s="1016" t="s">
        <v>3315</v>
      </c>
    </row>
    <row r="2321" spans="1:6">
      <c r="A2321" s="37" t="s">
        <v>3293</v>
      </c>
      <c r="B2321" s="37" t="s">
        <v>3094</v>
      </c>
      <c r="C2321" s="248">
        <v>130</v>
      </c>
      <c r="D2321" s="742">
        <v>1.75</v>
      </c>
      <c r="E2321" s="742">
        <f>D2321*C2321</f>
        <v>227.5</v>
      </c>
      <c r="F2321" s="1016" t="s">
        <v>3314</v>
      </c>
    </row>
    <row r="2322" spans="1:6" ht="43.5" customHeight="1">
      <c r="A2322" s="37" t="s">
        <v>3293</v>
      </c>
      <c r="B2322" s="37" t="s">
        <v>3294</v>
      </c>
      <c r="C2322" s="248">
        <v>50</v>
      </c>
      <c r="D2322" s="742">
        <v>2.87</v>
      </c>
      <c r="E2322" s="742">
        <f>D2322*C2322</f>
        <v>143.5</v>
      </c>
      <c r="F2322" s="1016" t="s">
        <v>3313</v>
      </c>
    </row>
    <row r="2323" spans="1:6">
      <c r="A2323" s="226"/>
      <c r="B2323" s="37" t="s">
        <v>266</v>
      </c>
      <c r="C2323" s="244">
        <v>1</v>
      </c>
      <c r="D2323" s="742">
        <v>24</v>
      </c>
      <c r="E2323" s="742">
        <f>D2323*C2323</f>
        <v>24</v>
      </c>
      <c r="F2323" s="129"/>
    </row>
    <row r="2326" spans="1:6">
      <c r="A2326" s="878" t="s">
        <v>3317</v>
      </c>
      <c r="C2326" s="161" t="s">
        <v>2989</v>
      </c>
      <c r="D2326" s="766" t="s">
        <v>2821</v>
      </c>
      <c r="E2326" s="766" t="s">
        <v>2822</v>
      </c>
    </row>
    <row r="2327" spans="1:6" ht="27">
      <c r="A2327" s="762" t="s">
        <v>2986</v>
      </c>
      <c r="B2327" s="785" t="s">
        <v>2855</v>
      </c>
      <c r="C2327" s="926" t="s">
        <v>3129</v>
      </c>
      <c r="D2327" s="879"/>
      <c r="E2327" s="879"/>
    </row>
    <row r="2328" spans="1:6" ht="38.25">
      <c r="A2328" s="884" t="s">
        <v>3322</v>
      </c>
      <c r="B2328" s="250">
        <f>ROUNDUP(C2328/0.8/120,2)</f>
        <v>17.3</v>
      </c>
      <c r="C2328" s="129">
        <f>1260+400</f>
        <v>1660</v>
      </c>
      <c r="D2328" s="883">
        <f>(((B2328*E2328)-C2328)/(B2328*E2328))</f>
        <v>0.20038535645472061</v>
      </c>
      <c r="E2328" s="132">
        <v>120</v>
      </c>
    </row>
    <row r="2329" spans="1:6" ht="38.25">
      <c r="A2329" s="884" t="s">
        <v>3318</v>
      </c>
      <c r="B2329" s="250">
        <f>ROUNDUP(C2329/0.8/120,2)</f>
        <v>13.44</v>
      </c>
      <c r="C2329" s="129">
        <f>1260+30</f>
        <v>1290</v>
      </c>
      <c r="D2329" s="881">
        <f>(((B2329*E2329)-C2329)/(B2329*E2329))</f>
        <v>0.20014880952380951</v>
      </c>
      <c r="E2329" s="882">
        <v>120</v>
      </c>
    </row>
    <row r="2330" spans="1:6" ht="25.5">
      <c r="A2330" s="253" t="s">
        <v>3319</v>
      </c>
      <c r="B2330" s="945" t="s">
        <v>3321</v>
      </c>
      <c r="C2330" s="129">
        <v>360</v>
      </c>
      <c r="D2330" s="881" t="e">
        <f>(((B2330*E2330)-C2330)/(B2330*E2330))</f>
        <v>#VALUE!</v>
      </c>
      <c r="E2330" s="132">
        <v>120</v>
      </c>
    </row>
    <row r="2331" spans="1:6" ht="38.25">
      <c r="A2331" s="253" t="s">
        <v>3320</v>
      </c>
      <c r="B2331" s="250">
        <v>4.7300000000000004</v>
      </c>
      <c r="C2331" s="129">
        <v>360</v>
      </c>
      <c r="D2331" s="881">
        <f>(((B2331*E2331)-C2331)/(B2331*E2331))</f>
        <v>0.36575052854122625</v>
      </c>
      <c r="E2331" s="882">
        <v>120</v>
      </c>
    </row>
    <row r="2334" spans="1:6">
      <c r="A2334" s="762" t="s">
        <v>166</v>
      </c>
      <c r="B2334" s="762" t="s">
        <v>95</v>
      </c>
      <c r="C2334" s="245" t="s">
        <v>228</v>
      </c>
      <c r="D2334" s="936" t="s">
        <v>2855</v>
      </c>
    </row>
    <row r="2335" spans="1:6">
      <c r="A2335" s="37" t="s">
        <v>187</v>
      </c>
      <c r="B2335" s="37" t="s">
        <v>3323</v>
      </c>
      <c r="C2335" s="248">
        <v>50</v>
      </c>
      <c r="D2335" s="742">
        <v>4.7300000000000004</v>
      </c>
    </row>
    <row r="2336" spans="1:6">
      <c r="A2336" s="37" t="s">
        <v>187</v>
      </c>
      <c r="B2336" s="37" t="s">
        <v>3324</v>
      </c>
      <c r="C2336" s="248">
        <v>62</v>
      </c>
      <c r="D2336" s="742">
        <v>4.7300000000000004</v>
      </c>
    </row>
    <row r="2337" spans="1:6">
      <c r="A2337" s="37" t="s">
        <v>187</v>
      </c>
      <c r="B2337" s="37" t="s">
        <v>3325</v>
      </c>
      <c r="C2337" s="248">
        <v>50</v>
      </c>
      <c r="D2337" s="742">
        <v>4.7300000000000004</v>
      </c>
    </row>
    <row r="2338" spans="1:6">
      <c r="A2338" s="37" t="s">
        <v>187</v>
      </c>
      <c r="B2338" s="37" t="s">
        <v>3326</v>
      </c>
      <c r="C2338" s="248">
        <v>50</v>
      </c>
      <c r="D2338" s="742">
        <v>4.7300000000000004</v>
      </c>
    </row>
    <row r="2339" spans="1:6">
      <c r="A2339" s="735"/>
      <c r="B2339" s="37"/>
      <c r="C2339" s="246"/>
      <c r="D2339" s="42"/>
    </row>
    <row r="2340" spans="1:6">
      <c r="A2340" s="37" t="s">
        <v>3327</v>
      </c>
      <c r="B2340" s="740" t="s">
        <v>3328</v>
      </c>
      <c r="C2340" s="950">
        <v>50</v>
      </c>
      <c r="D2340" s="742">
        <v>13.44</v>
      </c>
    </row>
    <row r="2341" spans="1:6">
      <c r="A2341" s="37" t="s">
        <v>3327</v>
      </c>
      <c r="B2341" s="740" t="s">
        <v>3329</v>
      </c>
      <c r="C2341" s="950">
        <v>50.5</v>
      </c>
      <c r="D2341" s="742">
        <v>13.44</v>
      </c>
    </row>
    <row r="2342" spans="1:6">
      <c r="A2342" s="37"/>
      <c r="B2342" s="37" t="s">
        <v>266</v>
      </c>
      <c r="C2342" s="244">
        <v>1</v>
      </c>
      <c r="D2342" s="742">
        <v>25</v>
      </c>
    </row>
    <row r="2345" spans="1:6">
      <c r="A2345" s="878" t="s">
        <v>3330</v>
      </c>
      <c r="C2345" s="161" t="s">
        <v>2989</v>
      </c>
      <c r="D2345" s="766" t="s">
        <v>2821</v>
      </c>
      <c r="E2345" s="766" t="s">
        <v>2822</v>
      </c>
    </row>
    <row r="2346" spans="1:6" ht="27">
      <c r="A2346" s="762" t="s">
        <v>2986</v>
      </c>
      <c r="B2346" s="762" t="s">
        <v>3333</v>
      </c>
      <c r="C2346" s="785" t="s">
        <v>2855</v>
      </c>
      <c r="D2346" s="926" t="s">
        <v>3129</v>
      </c>
      <c r="E2346" s="879"/>
      <c r="F2346" s="879"/>
    </row>
    <row r="2347" spans="1:6" s="262" customFormat="1" ht="76.5">
      <c r="A2347" s="928" t="s">
        <v>3331</v>
      </c>
      <c r="B2347" s="884" t="s">
        <v>3334</v>
      </c>
      <c r="C2347" s="250">
        <f>ROUNDUP(D2347/0.8/120,2)</f>
        <v>8.129999999999999</v>
      </c>
      <c r="D2347" s="129">
        <f>580+100+100</f>
        <v>780</v>
      </c>
      <c r="E2347" s="881">
        <f>(((C2347*F2347)-D2347)/(C2347*F2347))</f>
        <v>0.20049200492004912</v>
      </c>
      <c r="F2347" s="882">
        <v>120</v>
      </c>
    </row>
    <row r="2348" spans="1:6" s="266" customFormat="1" ht="76.5">
      <c r="A2348" s="928" t="s">
        <v>3332</v>
      </c>
      <c r="B2348" s="884" t="s">
        <v>3334</v>
      </c>
      <c r="C2348" s="250">
        <f>ROUNDUP(D2348/0.8/120,2)</f>
        <v>7.3999999999999995</v>
      </c>
      <c r="D2348" s="129">
        <f>580+100+30</f>
        <v>710</v>
      </c>
      <c r="E2348" s="960">
        <f>(C2348-(D2348/F2348))/C2348</f>
        <v>0.20045045045045035</v>
      </c>
      <c r="F2348" s="961">
        <v>120</v>
      </c>
    </row>
    <row r="2349" spans="1:6" s="266" customFormat="1">
      <c r="A2349" s="928"/>
      <c r="B2349" s="884"/>
      <c r="C2349" s="250"/>
      <c r="D2349" s="129"/>
      <c r="E2349" s="960"/>
      <c r="F2349" s="961"/>
    </row>
    <row r="2350" spans="1:6" s="262" customFormat="1" ht="51">
      <c r="A2350" s="928" t="s">
        <v>3335</v>
      </c>
      <c r="B2350" s="884" t="s">
        <v>3334</v>
      </c>
      <c r="C2350" s="250">
        <f>ROUNDUP(D2350/0.8/120,2)</f>
        <v>8.86</v>
      </c>
      <c r="D2350" s="129">
        <v>850</v>
      </c>
      <c r="E2350" s="881">
        <f>(((C2350*F2350)-D2350)/(C2350*F2350))</f>
        <v>0.2005267118133934</v>
      </c>
      <c r="F2350" s="882">
        <v>120</v>
      </c>
    </row>
    <row r="2351" spans="1:6" s="266" customFormat="1" ht="51">
      <c r="A2351" s="928" t="s">
        <v>3336</v>
      </c>
      <c r="B2351" s="884" t="s">
        <v>3334</v>
      </c>
      <c r="C2351" s="250">
        <f>ROUNDUP(D2351/0.8/120,2)</f>
        <v>8.129999999999999</v>
      </c>
      <c r="D2351" s="129">
        <v>780</v>
      </c>
      <c r="E2351" s="960">
        <f>(C2351-(D2351/F2351))/C2351</f>
        <v>0.20049200492004909</v>
      </c>
      <c r="F2351" s="961">
        <v>120</v>
      </c>
    </row>
    <row r="2354" spans="1:5" ht="14.25">
      <c r="A2354" s="925" t="s">
        <v>3093</v>
      </c>
    </row>
    <row r="2355" spans="1:5" s="239" customFormat="1" ht="14.25">
      <c r="A2355" s="242" t="s">
        <v>222</v>
      </c>
      <c r="B2355" s="931" t="s">
        <v>283</v>
      </c>
      <c r="C2355" s="926" t="s">
        <v>3068</v>
      </c>
      <c r="D2355" s="818" t="s">
        <v>2821</v>
      </c>
      <c r="E2355" s="927" t="s">
        <v>2822</v>
      </c>
    </row>
    <row r="2356" spans="1:5" s="239" customFormat="1" ht="24" customHeight="1">
      <c r="A2356" s="253" t="s">
        <v>3337</v>
      </c>
      <c r="B2356" s="254">
        <v>9.8000000000000007</v>
      </c>
      <c r="C2356" s="928">
        <f>910+30</f>
        <v>940</v>
      </c>
      <c r="D2356" s="929">
        <f>(B2356-(C2356/E2356))/B2356</f>
        <v>0.20068027210884362</v>
      </c>
      <c r="E2356" s="930">
        <v>120</v>
      </c>
    </row>
    <row r="2359" spans="1:5">
      <c r="A2359" t="s">
        <v>3364</v>
      </c>
    </row>
    <row r="2360" spans="1:5" s="243" customFormat="1" ht="12">
      <c r="A2360" s="255" t="s">
        <v>3365</v>
      </c>
      <c r="B2360" s="255" t="s">
        <v>3367</v>
      </c>
      <c r="C2360" s="255" t="s">
        <v>3369</v>
      </c>
      <c r="D2360" s="255" t="s">
        <v>3370</v>
      </c>
      <c r="E2360" s="255" t="s">
        <v>3378</v>
      </c>
    </row>
    <row r="2361" spans="1:5" s="243" customFormat="1" ht="12.75">
      <c r="A2361" s="735" t="s">
        <v>1955</v>
      </c>
      <c r="B2361" s="37"/>
      <c r="C2361" s="248"/>
      <c r="D2361" s="257"/>
      <c r="E2361" s="1020"/>
    </row>
    <row r="2362" spans="1:5" s="243" customFormat="1" ht="12.75">
      <c r="A2362" s="1018" t="s">
        <v>3338</v>
      </c>
      <c r="B2362" s="37" t="s">
        <v>3094</v>
      </c>
      <c r="C2362" s="248">
        <v>10</v>
      </c>
      <c r="D2362" s="257">
        <v>88</v>
      </c>
      <c r="E2362" s="1020"/>
    </row>
    <row r="2363" spans="1:5" s="243" customFormat="1" ht="12.75">
      <c r="A2363" s="735" t="s">
        <v>3351</v>
      </c>
      <c r="B2363" s="37"/>
      <c r="C2363" s="248"/>
      <c r="D2363" s="257"/>
      <c r="E2363" s="1020"/>
    </row>
    <row r="2364" spans="1:5" s="243" customFormat="1" ht="12.75">
      <c r="A2364" s="1018" t="s">
        <v>3339</v>
      </c>
      <c r="B2364" s="37" t="s">
        <v>3094</v>
      </c>
      <c r="C2364" s="248">
        <v>10</v>
      </c>
      <c r="D2364" s="257">
        <v>92</v>
      </c>
      <c r="E2364" s="1020"/>
    </row>
    <row r="2365" spans="1:5" s="243" customFormat="1" ht="12.75">
      <c r="A2365" s="735" t="s">
        <v>3353</v>
      </c>
      <c r="B2365" s="37"/>
      <c r="C2365" s="248"/>
      <c r="D2365" s="257"/>
      <c r="E2365" s="1020"/>
    </row>
    <row r="2366" spans="1:5" s="243" customFormat="1" ht="12.75">
      <c r="A2366" s="1018" t="s">
        <v>3340</v>
      </c>
      <c r="B2366" s="37" t="s">
        <v>3368</v>
      </c>
      <c r="C2366" s="248">
        <v>10</v>
      </c>
      <c r="D2366" s="257">
        <v>43</v>
      </c>
      <c r="E2366" s="1020"/>
    </row>
    <row r="2367" spans="1:5" s="243" customFormat="1" ht="12.75">
      <c r="A2367" s="735" t="s">
        <v>3352</v>
      </c>
      <c r="B2367" s="37"/>
      <c r="C2367" s="248"/>
      <c r="D2367" s="257"/>
      <c r="E2367" s="1020"/>
    </row>
    <row r="2368" spans="1:5" s="243" customFormat="1" ht="16.5">
      <c r="A2368" s="1018" t="s">
        <v>3366</v>
      </c>
      <c r="B2368" s="37" t="s">
        <v>3368</v>
      </c>
      <c r="C2368" s="248">
        <v>10</v>
      </c>
      <c r="D2368" s="257">
        <v>43</v>
      </c>
      <c r="E2368" s="1020"/>
    </row>
    <row r="2369" spans="1:5" s="243" customFormat="1" ht="12.75">
      <c r="A2369" s="735" t="s">
        <v>3354</v>
      </c>
      <c r="B2369" s="37"/>
      <c r="C2369" s="248"/>
      <c r="D2369" s="257"/>
      <c r="E2369" s="1020"/>
    </row>
    <row r="2370" spans="1:5" s="243" customFormat="1" ht="12.75">
      <c r="A2370" s="1018" t="s">
        <v>3341</v>
      </c>
      <c r="B2370" s="37" t="s">
        <v>3368</v>
      </c>
      <c r="C2370" s="248">
        <v>10</v>
      </c>
      <c r="D2370" s="257">
        <v>50</v>
      </c>
      <c r="E2370" s="1020"/>
    </row>
    <row r="2371" spans="1:5" s="243" customFormat="1" ht="12.75">
      <c r="A2371" s="735" t="s">
        <v>3355</v>
      </c>
      <c r="B2371" s="37"/>
      <c r="C2371" s="248"/>
      <c r="D2371" s="257"/>
      <c r="E2371" s="1020"/>
    </row>
    <row r="2372" spans="1:5" s="243" customFormat="1" ht="12.75">
      <c r="A2372" s="1018" t="s">
        <v>3342</v>
      </c>
      <c r="B2372" s="37" t="s">
        <v>3094</v>
      </c>
      <c r="C2372" s="248">
        <v>10</v>
      </c>
      <c r="D2372" s="257">
        <v>176</v>
      </c>
      <c r="E2372" s="1020"/>
    </row>
    <row r="2373" spans="1:5" s="243" customFormat="1" ht="12.75">
      <c r="A2373" s="735" t="s">
        <v>3356</v>
      </c>
      <c r="B2373" s="37"/>
      <c r="C2373" s="248"/>
      <c r="D2373" s="257"/>
      <c r="E2373" s="1020"/>
    </row>
    <row r="2374" spans="1:5" s="243" customFormat="1" ht="12.75">
      <c r="A2374" s="1018" t="s">
        <v>3343</v>
      </c>
      <c r="B2374" s="37" t="s">
        <v>3094</v>
      </c>
      <c r="C2374" s="248">
        <v>10</v>
      </c>
      <c r="D2374" s="257">
        <v>84</v>
      </c>
      <c r="E2374" s="1020"/>
    </row>
    <row r="2375" spans="1:5" s="243" customFormat="1" ht="12.75">
      <c r="A2375" s="735" t="s">
        <v>3358</v>
      </c>
      <c r="B2375" s="37"/>
      <c r="C2375" s="248"/>
      <c r="D2375" s="257"/>
      <c r="E2375" s="1020"/>
    </row>
    <row r="2376" spans="1:5" s="243" customFormat="1" ht="12.75">
      <c r="A2376" s="1018" t="s">
        <v>3357</v>
      </c>
      <c r="B2376" s="37" t="s">
        <v>3368</v>
      </c>
      <c r="C2376" s="248">
        <v>10</v>
      </c>
      <c r="D2376" s="257">
        <v>99</v>
      </c>
      <c r="E2376" s="1020"/>
    </row>
    <row r="2377" spans="1:5" s="243" customFormat="1" ht="12.75">
      <c r="A2377" s="1018" t="s">
        <v>3344</v>
      </c>
      <c r="B2377" s="37" t="s">
        <v>3368</v>
      </c>
      <c r="C2377" s="248">
        <v>10</v>
      </c>
      <c r="D2377" s="257">
        <v>99</v>
      </c>
      <c r="E2377" s="1020"/>
    </row>
    <row r="2378" spans="1:5" s="243" customFormat="1" ht="12.75">
      <c r="A2378" s="735" t="s">
        <v>3359</v>
      </c>
      <c r="B2378" s="37"/>
      <c r="C2378" s="248"/>
      <c r="D2378" s="257"/>
      <c r="E2378" s="1020"/>
    </row>
    <row r="2379" spans="1:5" s="243" customFormat="1" ht="12.75">
      <c r="A2379" s="1018" t="s">
        <v>3345</v>
      </c>
      <c r="B2379" s="37" t="s">
        <v>3360</v>
      </c>
      <c r="C2379" s="248">
        <v>10</v>
      </c>
      <c r="D2379" s="257">
        <v>273</v>
      </c>
      <c r="E2379" s="1020"/>
    </row>
    <row r="2380" spans="1:5" s="243" customFormat="1" ht="12.75">
      <c r="A2380" s="1018" t="s">
        <v>3345</v>
      </c>
      <c r="B2380" s="37" t="s">
        <v>3361</v>
      </c>
      <c r="C2380" s="248">
        <v>10</v>
      </c>
      <c r="D2380" s="257">
        <v>273</v>
      </c>
      <c r="E2380" s="1020"/>
    </row>
    <row r="2381" spans="1:5" s="243" customFormat="1" ht="12.75">
      <c r="A2381" s="735" t="s">
        <v>3363</v>
      </c>
      <c r="B2381" s="37"/>
      <c r="C2381" s="248"/>
      <c r="D2381" s="257"/>
      <c r="E2381" s="1020"/>
    </row>
    <row r="2382" spans="1:5" s="243" customFormat="1" ht="12.75">
      <c r="A2382" s="1018" t="s">
        <v>3346</v>
      </c>
      <c r="B2382" s="226" t="s">
        <v>3362</v>
      </c>
      <c r="C2382" s="248">
        <v>10</v>
      </c>
      <c r="D2382" s="257">
        <v>223</v>
      </c>
      <c r="E2382" s="1020"/>
    </row>
    <row r="2383" spans="1:5" s="243" customFormat="1" ht="12.75">
      <c r="A2383" s="1019" t="s">
        <v>3379</v>
      </c>
      <c r="B2383" s="37"/>
      <c r="C2383" s="248"/>
      <c r="D2383" s="257"/>
      <c r="E2383" s="1020"/>
    </row>
    <row r="2384" spans="1:5" s="243" customFormat="1" ht="12.75">
      <c r="A2384" s="1018" t="s">
        <v>3347</v>
      </c>
      <c r="B2384" s="37" t="s">
        <v>3348</v>
      </c>
      <c r="C2384" s="248">
        <v>10</v>
      </c>
      <c r="D2384" s="1023" t="s">
        <v>3350</v>
      </c>
      <c r="E2384" s="1020"/>
    </row>
    <row r="2385" spans="1:9" s="243" customFormat="1" ht="12"/>
    <row r="2387" spans="1:9" ht="15.75">
      <c r="A2387" s="1021" t="s">
        <v>3371</v>
      </c>
    </row>
    <row r="2388" spans="1:9" ht="15.75">
      <c r="A2388" s="1022" t="s">
        <v>3372</v>
      </c>
    </row>
    <row r="2389" spans="1:9" ht="15.75">
      <c r="A2389" s="1022" t="s">
        <v>3373</v>
      </c>
    </row>
    <row r="2390" spans="1:9" ht="15.75">
      <c r="A2390" s="1021" t="s">
        <v>3374</v>
      </c>
    </row>
    <row r="2391" spans="1:9" ht="15.75">
      <c r="A2391" s="1021" t="s">
        <v>3375</v>
      </c>
    </row>
    <row r="2392" spans="1:9" ht="15.75">
      <c r="A2392" s="1021" t="s">
        <v>3376</v>
      </c>
    </row>
    <row r="2393" spans="1:9" ht="15.75">
      <c r="A2393" s="1022" t="s">
        <v>3377</v>
      </c>
    </row>
    <row r="2397" spans="1:9" s="243" customFormat="1" ht="25.5">
      <c r="A2397" s="762" t="s">
        <v>166</v>
      </c>
      <c r="B2397" s="762" t="s">
        <v>95</v>
      </c>
      <c r="C2397" s="762" t="s">
        <v>3103</v>
      </c>
      <c r="D2397" s="936" t="s">
        <v>2855</v>
      </c>
      <c r="E2397" s="936" t="s">
        <v>3382</v>
      </c>
      <c r="F2397" s="985" t="s">
        <v>3227</v>
      </c>
      <c r="G2397" s="766" t="s">
        <v>2821</v>
      </c>
      <c r="H2397" s="161" t="s">
        <v>2822</v>
      </c>
      <c r="I2397" s="1024"/>
    </row>
    <row r="2398" spans="1:9" s="243" customFormat="1">
      <c r="A2398" s="37" t="s">
        <v>3349</v>
      </c>
      <c r="B2398" s="37" t="s">
        <v>3094</v>
      </c>
      <c r="C2398" s="950">
        <v>13.7</v>
      </c>
      <c r="D2398" s="742">
        <f t="shared" ref="D2398:D2423" si="31">ROUNDUP(F2398/0.6/120,2)</f>
        <v>2.23</v>
      </c>
      <c r="E2398" s="942" t="s">
        <v>3117</v>
      </c>
      <c r="F2398" s="236">
        <v>160</v>
      </c>
      <c r="G2398" s="789">
        <f>(D2398-(F2398/H2398))/D2398</f>
        <v>0.40209267563527656</v>
      </c>
      <c r="H2398" s="161">
        <v>120</v>
      </c>
    </row>
    <row r="2399" spans="1:9" s="243" customFormat="1">
      <c r="A2399" s="37" t="s">
        <v>3349</v>
      </c>
      <c r="B2399" s="37" t="s">
        <v>3104</v>
      </c>
      <c r="C2399" s="248">
        <v>383.6</v>
      </c>
      <c r="D2399" s="742">
        <f t="shared" si="31"/>
        <v>2.78</v>
      </c>
      <c r="E2399" s="942" t="s">
        <v>1822</v>
      </c>
      <c r="F2399" s="236">
        <f>160+40</f>
        <v>200</v>
      </c>
      <c r="G2399" s="789">
        <f>(D2399-(F2399/H2399))/D2399</f>
        <v>0.40047961630695439</v>
      </c>
      <c r="H2399" s="161">
        <v>120</v>
      </c>
    </row>
    <row r="2400" spans="1:9" s="243" customFormat="1">
      <c r="A2400" s="37" t="s">
        <v>1957</v>
      </c>
      <c r="B2400" s="37" t="s">
        <v>3094</v>
      </c>
      <c r="C2400" s="950">
        <v>13.7</v>
      </c>
      <c r="D2400" s="742">
        <f t="shared" si="31"/>
        <v>1.81</v>
      </c>
      <c r="E2400" s="942" t="s">
        <v>3388</v>
      </c>
      <c r="F2400" s="236">
        <v>130</v>
      </c>
      <c r="G2400" s="789">
        <f t="shared" ref="G2400:G2422" si="32">(D2400-(F2400/H2400))/D2400</f>
        <v>0.4014732965009209</v>
      </c>
      <c r="H2400" s="161">
        <v>120</v>
      </c>
    </row>
    <row r="2401" spans="1:8" s="243" customFormat="1">
      <c r="A2401" s="37" t="s">
        <v>1957</v>
      </c>
      <c r="B2401" s="37" t="s">
        <v>3104</v>
      </c>
      <c r="C2401" s="248">
        <v>383.6</v>
      </c>
      <c r="D2401" s="742">
        <f t="shared" si="31"/>
        <v>2.3699999999999997</v>
      </c>
      <c r="E2401" s="942" t="s">
        <v>1822</v>
      </c>
      <c r="F2401" s="236">
        <f>130+40</f>
        <v>170</v>
      </c>
      <c r="G2401" s="789">
        <f t="shared" si="32"/>
        <v>0.40225035161744011</v>
      </c>
      <c r="H2401" s="161">
        <v>120</v>
      </c>
    </row>
    <row r="2402" spans="1:8" s="243" customFormat="1">
      <c r="A2402" s="37" t="s">
        <v>3338</v>
      </c>
      <c r="B2402" s="37" t="s">
        <v>3094</v>
      </c>
      <c r="C2402" s="248">
        <v>10</v>
      </c>
      <c r="D2402" s="742">
        <f t="shared" si="31"/>
        <v>1.23</v>
      </c>
      <c r="E2402" s="942" t="s">
        <v>3389</v>
      </c>
      <c r="F2402" s="236">
        <v>88</v>
      </c>
      <c r="G2402" s="789">
        <f t="shared" si="32"/>
        <v>0.40379403794037944</v>
      </c>
      <c r="H2402" s="161">
        <v>120</v>
      </c>
    </row>
    <row r="2403" spans="1:8" s="243" customFormat="1">
      <c r="A2403" s="37" t="s">
        <v>3338</v>
      </c>
      <c r="B2403" s="37" t="s">
        <v>3104</v>
      </c>
      <c r="C2403" s="248" t="s">
        <v>3264</v>
      </c>
      <c r="D2403" s="742">
        <f t="shared" si="31"/>
        <v>2.34</v>
      </c>
      <c r="E2403" s="942" t="s">
        <v>1822</v>
      </c>
      <c r="F2403" s="236">
        <f>88+80</f>
        <v>168</v>
      </c>
      <c r="G2403" s="789">
        <f t="shared" si="32"/>
        <v>0.40170940170940173</v>
      </c>
      <c r="H2403" s="161">
        <v>120</v>
      </c>
    </row>
    <row r="2404" spans="1:8" s="243" customFormat="1">
      <c r="A2404" s="37" t="s">
        <v>3339</v>
      </c>
      <c r="B2404" s="37" t="s">
        <v>3094</v>
      </c>
      <c r="C2404" s="248">
        <v>10</v>
      </c>
      <c r="D2404" s="742">
        <f t="shared" si="31"/>
        <v>1.28</v>
      </c>
      <c r="E2404" s="942" t="s">
        <v>3390</v>
      </c>
      <c r="F2404" s="236">
        <v>92</v>
      </c>
      <c r="G2404" s="789">
        <f t="shared" si="32"/>
        <v>0.40104166666666663</v>
      </c>
      <c r="H2404" s="161">
        <v>120</v>
      </c>
    </row>
    <row r="2405" spans="1:8" s="243" customFormat="1">
      <c r="A2405" s="37" t="s">
        <v>3339</v>
      </c>
      <c r="B2405" s="37" t="s">
        <v>3104</v>
      </c>
      <c r="C2405" s="248" t="s">
        <v>3264</v>
      </c>
      <c r="D2405" s="742">
        <f t="shared" si="31"/>
        <v>2.3899999999999997</v>
      </c>
      <c r="E2405" s="942" t="s">
        <v>1822</v>
      </c>
      <c r="F2405" s="236">
        <f>92+80</f>
        <v>172</v>
      </c>
      <c r="G2405" s="789">
        <f t="shared" si="32"/>
        <v>0.40027894002789394</v>
      </c>
      <c r="H2405" s="161">
        <v>120</v>
      </c>
    </row>
    <row r="2406" spans="1:8" s="243" customFormat="1">
      <c r="A2406" s="37" t="s">
        <v>3340</v>
      </c>
      <c r="B2406" s="37" t="s">
        <v>3368</v>
      </c>
      <c r="C2406" s="248">
        <v>10</v>
      </c>
      <c r="D2406" s="742">
        <f t="shared" si="31"/>
        <v>0.6</v>
      </c>
      <c r="E2406" s="942" t="s">
        <v>3392</v>
      </c>
      <c r="F2406" s="236">
        <v>43</v>
      </c>
      <c r="G2406" s="789">
        <f t="shared" si="32"/>
        <v>0.40277777777777773</v>
      </c>
      <c r="H2406" s="161">
        <v>120</v>
      </c>
    </row>
    <row r="2407" spans="1:8" s="243" customFormat="1">
      <c r="A2407" s="37" t="s">
        <v>3340</v>
      </c>
      <c r="B2407" s="37" t="s">
        <v>3104</v>
      </c>
      <c r="C2407" s="248" t="s">
        <v>3264</v>
      </c>
      <c r="D2407" s="742">
        <f t="shared" si="31"/>
        <v>1.71</v>
      </c>
      <c r="E2407" s="942" t="s">
        <v>1822</v>
      </c>
      <c r="F2407" s="236">
        <f>43+80</f>
        <v>123</v>
      </c>
      <c r="G2407" s="789">
        <f t="shared" si="32"/>
        <v>0.40058479532163749</v>
      </c>
      <c r="H2407" s="161">
        <v>120</v>
      </c>
    </row>
    <row r="2408" spans="1:8" s="243" customFormat="1">
      <c r="A2408" s="875" t="s">
        <v>3402</v>
      </c>
      <c r="B2408" s="37" t="s">
        <v>3368</v>
      </c>
      <c r="C2408" s="248">
        <v>10</v>
      </c>
      <c r="D2408" s="742">
        <f t="shared" si="31"/>
        <v>0.6</v>
      </c>
      <c r="E2408" s="942" t="s">
        <v>3393</v>
      </c>
      <c r="F2408" s="236">
        <v>43</v>
      </c>
      <c r="G2408" s="789">
        <f t="shared" si="32"/>
        <v>0.40277777777777773</v>
      </c>
      <c r="H2408" s="161">
        <v>120</v>
      </c>
    </row>
    <row r="2409" spans="1:8" s="243" customFormat="1">
      <c r="A2409" s="744" t="s">
        <v>3391</v>
      </c>
      <c r="B2409" s="37" t="s">
        <v>3104</v>
      </c>
      <c r="C2409" s="248" t="s">
        <v>3264</v>
      </c>
      <c r="D2409" s="742">
        <f t="shared" si="31"/>
        <v>1.71</v>
      </c>
      <c r="E2409" s="942" t="s">
        <v>1822</v>
      </c>
      <c r="F2409" s="236">
        <f>43+80</f>
        <v>123</v>
      </c>
      <c r="G2409" s="789">
        <f t="shared" si="32"/>
        <v>0.40058479532163749</v>
      </c>
      <c r="H2409" s="161">
        <v>120</v>
      </c>
    </row>
    <row r="2410" spans="1:8" s="243" customFormat="1">
      <c r="A2410" s="37" t="s">
        <v>3341</v>
      </c>
      <c r="B2410" s="37" t="s">
        <v>3368</v>
      </c>
      <c r="C2410" s="248">
        <v>10</v>
      </c>
      <c r="D2410" s="742">
        <f t="shared" si="31"/>
        <v>0.7</v>
      </c>
      <c r="E2410" s="942" t="s">
        <v>3394</v>
      </c>
      <c r="F2410" s="236">
        <v>50</v>
      </c>
      <c r="G2410" s="789">
        <f t="shared" si="32"/>
        <v>0.40476190476190471</v>
      </c>
      <c r="H2410" s="161">
        <v>120</v>
      </c>
    </row>
    <row r="2411" spans="1:8" s="243" customFormat="1">
      <c r="A2411" s="37" t="s">
        <v>3341</v>
      </c>
      <c r="B2411" s="37" t="s">
        <v>3104</v>
      </c>
      <c r="C2411" s="248" t="s">
        <v>3264</v>
      </c>
      <c r="D2411" s="742">
        <f t="shared" si="31"/>
        <v>1.81</v>
      </c>
      <c r="E2411" s="942" t="s">
        <v>1822</v>
      </c>
      <c r="F2411" s="236">
        <f>50+80</f>
        <v>130</v>
      </c>
      <c r="G2411" s="789">
        <f t="shared" si="32"/>
        <v>0.4014732965009209</v>
      </c>
      <c r="H2411" s="161">
        <v>120</v>
      </c>
    </row>
    <row r="2412" spans="1:8" s="243" customFormat="1">
      <c r="A2412" s="37" t="s">
        <v>3342</v>
      </c>
      <c r="B2412" s="37" t="s">
        <v>3094</v>
      </c>
      <c r="C2412" s="248">
        <v>10</v>
      </c>
      <c r="D2412" s="742">
        <f t="shared" si="31"/>
        <v>2.4499999999999997</v>
      </c>
      <c r="E2412" s="942" t="s">
        <v>3393</v>
      </c>
      <c r="F2412" s="236">
        <v>176</v>
      </c>
      <c r="G2412" s="789">
        <f t="shared" si="32"/>
        <v>0.40136054421768708</v>
      </c>
      <c r="H2412" s="161">
        <v>120</v>
      </c>
    </row>
    <row r="2413" spans="1:8" s="243" customFormat="1">
      <c r="A2413" s="37" t="s">
        <v>3342</v>
      </c>
      <c r="B2413" s="37" t="s">
        <v>3104</v>
      </c>
      <c r="C2413" s="248" t="s">
        <v>3264</v>
      </c>
      <c r="D2413" s="742">
        <f t="shared" si="31"/>
        <v>3.6999999999999997</v>
      </c>
      <c r="E2413" s="942" t="s">
        <v>1822</v>
      </c>
      <c r="F2413" s="236">
        <f>176+90</f>
        <v>266</v>
      </c>
      <c r="G2413" s="789">
        <f t="shared" si="32"/>
        <v>0.4009009009009008</v>
      </c>
      <c r="H2413" s="161">
        <v>120</v>
      </c>
    </row>
    <row r="2414" spans="1:8" s="243" customFormat="1">
      <c r="A2414" s="37" t="s">
        <v>3343</v>
      </c>
      <c r="B2414" s="37" t="s">
        <v>3094</v>
      </c>
      <c r="C2414" s="248">
        <v>10</v>
      </c>
      <c r="D2414" s="742">
        <f t="shared" si="31"/>
        <v>1.17</v>
      </c>
      <c r="E2414" s="942" t="s">
        <v>3395</v>
      </c>
      <c r="F2414" s="236">
        <v>84</v>
      </c>
      <c r="G2414" s="789">
        <f t="shared" si="32"/>
        <v>0.40170940170940173</v>
      </c>
      <c r="H2414" s="161">
        <v>120</v>
      </c>
    </row>
    <row r="2415" spans="1:8" s="243" customFormat="1">
      <c r="A2415" s="37" t="s">
        <v>3380</v>
      </c>
      <c r="B2415" s="37" t="s">
        <v>3104</v>
      </c>
      <c r="C2415" s="248" t="s">
        <v>3264</v>
      </c>
      <c r="D2415" s="742">
        <f t="shared" si="31"/>
        <v>2.2799999999999998</v>
      </c>
      <c r="E2415" s="942" t="s">
        <v>1822</v>
      </c>
      <c r="F2415" s="236">
        <f>84+80</f>
        <v>164</v>
      </c>
      <c r="G2415" s="789">
        <f t="shared" si="32"/>
        <v>0.40058479532163738</v>
      </c>
      <c r="H2415" s="161">
        <v>120</v>
      </c>
    </row>
    <row r="2416" spans="1:8" s="243" customFormat="1">
      <c r="A2416" s="37" t="s">
        <v>3357</v>
      </c>
      <c r="B2416" s="37" t="s">
        <v>3368</v>
      </c>
      <c r="C2416" s="248">
        <v>10</v>
      </c>
      <c r="D2416" s="742">
        <f t="shared" si="31"/>
        <v>1.3800000000000001</v>
      </c>
      <c r="E2416" s="942" t="s">
        <v>3396</v>
      </c>
      <c r="F2416" s="236">
        <v>99</v>
      </c>
      <c r="G2416" s="789">
        <f t="shared" si="32"/>
        <v>0.40217391304347833</v>
      </c>
      <c r="H2416" s="161">
        <v>120</v>
      </c>
    </row>
    <row r="2417" spans="1:8" s="243" customFormat="1">
      <c r="A2417" s="37" t="s">
        <v>3357</v>
      </c>
      <c r="B2417" s="37" t="s">
        <v>3104</v>
      </c>
      <c r="C2417" s="248" t="s">
        <v>3264</v>
      </c>
      <c r="D2417" s="742">
        <f t="shared" si="31"/>
        <v>2.4899999999999998</v>
      </c>
      <c r="E2417" s="942" t="s">
        <v>1822</v>
      </c>
      <c r="F2417" s="236">
        <f>99+80</f>
        <v>179</v>
      </c>
      <c r="G2417" s="789">
        <f t="shared" si="32"/>
        <v>0.40093708165997316</v>
      </c>
      <c r="H2417" s="161">
        <v>120</v>
      </c>
    </row>
    <row r="2418" spans="1:8" s="243" customFormat="1">
      <c r="A2418" s="37" t="s">
        <v>3344</v>
      </c>
      <c r="B2418" s="37" t="s">
        <v>3368</v>
      </c>
      <c r="C2418" s="248">
        <v>10</v>
      </c>
      <c r="D2418" s="742">
        <f t="shared" si="31"/>
        <v>1.3800000000000001</v>
      </c>
      <c r="E2418" s="942" t="s">
        <v>3397</v>
      </c>
      <c r="F2418" s="236">
        <v>99</v>
      </c>
      <c r="G2418" s="789">
        <f t="shared" si="32"/>
        <v>0.40217391304347833</v>
      </c>
      <c r="H2418" s="161">
        <v>120</v>
      </c>
    </row>
    <row r="2419" spans="1:8" s="243" customFormat="1">
      <c r="A2419" s="37" t="s">
        <v>3344</v>
      </c>
      <c r="B2419" s="37" t="s">
        <v>3104</v>
      </c>
      <c r="C2419" s="248" t="s">
        <v>3264</v>
      </c>
      <c r="D2419" s="742">
        <f t="shared" si="31"/>
        <v>2.4899999999999998</v>
      </c>
      <c r="E2419" s="942" t="s">
        <v>1822</v>
      </c>
      <c r="F2419" s="236">
        <f>99+80</f>
        <v>179</v>
      </c>
      <c r="G2419" s="789">
        <f t="shared" si="32"/>
        <v>0.40093708165997316</v>
      </c>
      <c r="H2419" s="161">
        <v>120</v>
      </c>
    </row>
    <row r="2420" spans="1:8" s="243" customFormat="1">
      <c r="A2420" s="37" t="s">
        <v>3345</v>
      </c>
      <c r="B2420" s="37" t="s">
        <v>3360</v>
      </c>
      <c r="C2420" s="248">
        <v>10</v>
      </c>
      <c r="D2420" s="742">
        <f t="shared" si="31"/>
        <v>3.8</v>
      </c>
      <c r="E2420" s="942" t="s">
        <v>3396</v>
      </c>
      <c r="F2420" s="236">
        <v>273</v>
      </c>
      <c r="G2420" s="789">
        <f t="shared" si="32"/>
        <v>0.40131578947368418</v>
      </c>
      <c r="H2420" s="161">
        <v>120</v>
      </c>
    </row>
    <row r="2421" spans="1:8" s="243" customFormat="1">
      <c r="A2421" s="37" t="s">
        <v>3345</v>
      </c>
      <c r="B2421" s="37" t="s">
        <v>3361</v>
      </c>
      <c r="C2421" s="248">
        <v>10</v>
      </c>
      <c r="D2421" s="742">
        <f t="shared" si="31"/>
        <v>3.8</v>
      </c>
      <c r="E2421" s="942" t="s">
        <v>3398</v>
      </c>
      <c r="F2421" s="236">
        <v>273</v>
      </c>
      <c r="G2421" s="789">
        <f t="shared" si="32"/>
        <v>0.40131578947368418</v>
      </c>
      <c r="H2421" s="161">
        <v>120</v>
      </c>
    </row>
    <row r="2422" spans="1:8" s="243" customFormat="1">
      <c r="A2422" s="37" t="s">
        <v>3346</v>
      </c>
      <c r="B2422" s="37" t="s">
        <v>3381</v>
      </c>
      <c r="C2422" s="248">
        <v>10</v>
      </c>
      <c r="D2422" s="742">
        <f t="shared" si="31"/>
        <v>3.0999999999999996</v>
      </c>
      <c r="E2422" s="942" t="s">
        <v>3399</v>
      </c>
      <c r="F2422" s="236">
        <v>223</v>
      </c>
      <c r="G2422" s="789">
        <f t="shared" si="32"/>
        <v>0.40053763440860207</v>
      </c>
      <c r="H2422" s="161">
        <v>120</v>
      </c>
    </row>
    <row r="2423" spans="1:8" s="243" customFormat="1">
      <c r="A2423" s="37" t="s">
        <v>3347</v>
      </c>
      <c r="B2423" s="37" t="s">
        <v>3348</v>
      </c>
      <c r="C2423" s="248">
        <v>10</v>
      </c>
      <c r="D2423" s="742">
        <f t="shared" si="31"/>
        <v>1.74</v>
      </c>
      <c r="E2423" s="942" t="s">
        <v>3400</v>
      </c>
      <c r="F2423" s="236">
        <v>125</v>
      </c>
      <c r="G2423" s="789">
        <f>(D2423-(F2423/H2423))/D2423</f>
        <v>0.40134099616858232</v>
      </c>
      <c r="H2423" s="161">
        <v>120</v>
      </c>
    </row>
    <row r="2424" spans="1:8" s="243" customFormat="1" ht="12"/>
    <row r="2425" spans="1:8">
      <c r="A2425" s="948" t="s">
        <v>3401</v>
      </c>
    </row>
    <row r="2426" spans="1:8">
      <c r="A2426" s="949"/>
    </row>
    <row r="2428" spans="1:8">
      <c r="A2428" s="1025" t="s">
        <v>3387</v>
      </c>
    </row>
    <row r="2429" spans="1:8" ht="24.75">
      <c r="A2429" s="1025" t="s">
        <v>3383</v>
      </c>
    </row>
    <row r="2430" spans="1:8">
      <c r="A2430" s="1026" t="s">
        <v>3384</v>
      </c>
    </row>
    <row r="2431" spans="1:8">
      <c r="A2431" s="1026" t="s">
        <v>3385</v>
      </c>
    </row>
    <row r="2432" spans="1:8">
      <c r="A2432" s="1026" t="s">
        <v>3386</v>
      </c>
    </row>
    <row r="2435" spans="1:12">
      <c r="A2435" s="255" t="s">
        <v>44</v>
      </c>
      <c r="B2435" s="255" t="s">
        <v>204</v>
      </c>
      <c r="C2435" s="255" t="s">
        <v>48</v>
      </c>
      <c r="D2435" s="255" t="s">
        <v>3370</v>
      </c>
    </row>
    <row r="2436" spans="1:12">
      <c r="A2436" s="37" t="s">
        <v>2024</v>
      </c>
      <c r="B2436" s="37" t="s">
        <v>3094</v>
      </c>
      <c r="C2436" s="248">
        <v>2</v>
      </c>
      <c r="D2436" s="257">
        <v>240</v>
      </c>
    </row>
    <row r="2437" spans="1:12">
      <c r="A2437" s="37" t="s">
        <v>3444</v>
      </c>
      <c r="B2437" s="37" t="s">
        <v>3094</v>
      </c>
      <c r="C2437" s="248">
        <v>2</v>
      </c>
      <c r="D2437" s="257">
        <v>120</v>
      </c>
    </row>
    <row r="2438" spans="1:12">
      <c r="A2438" s="37" t="s">
        <v>3445</v>
      </c>
      <c r="B2438" s="37" t="s">
        <v>3094</v>
      </c>
      <c r="C2438" s="248">
        <v>2</v>
      </c>
      <c r="D2438" s="257">
        <v>160</v>
      </c>
    </row>
    <row r="2439" spans="1:12">
      <c r="A2439" s="37" t="s">
        <v>3446</v>
      </c>
      <c r="B2439" s="37" t="s">
        <v>3094</v>
      </c>
      <c r="C2439" s="248">
        <v>2</v>
      </c>
      <c r="D2439" s="257">
        <v>155</v>
      </c>
    </row>
    <row r="2440" spans="1:12">
      <c r="A2440" s="37" t="s">
        <v>3447</v>
      </c>
      <c r="B2440" s="37" t="s">
        <v>3094</v>
      </c>
      <c r="C2440" s="248">
        <v>2</v>
      </c>
      <c r="D2440" s="257">
        <v>170</v>
      </c>
    </row>
    <row r="2444" spans="1:12" ht="25.5">
      <c r="A2444" s="762" t="s">
        <v>166</v>
      </c>
      <c r="B2444" s="762" t="s">
        <v>95</v>
      </c>
      <c r="C2444" s="762" t="s">
        <v>3103</v>
      </c>
      <c r="D2444" s="936" t="s">
        <v>2855</v>
      </c>
      <c r="E2444" s="936" t="s">
        <v>3448</v>
      </c>
      <c r="F2444" s="985" t="s">
        <v>3227</v>
      </c>
      <c r="G2444" s="766" t="s">
        <v>2821</v>
      </c>
      <c r="H2444" s="161" t="s">
        <v>2822</v>
      </c>
      <c r="I2444" s="236"/>
      <c r="J2444" s="236"/>
      <c r="K2444" s="257"/>
      <c r="L2444" s="1027"/>
    </row>
    <row r="2445" spans="1:12">
      <c r="A2445" s="37" t="s">
        <v>2024</v>
      </c>
      <c r="B2445" s="37" t="s">
        <v>3094</v>
      </c>
      <c r="C2445" s="950">
        <v>13.7</v>
      </c>
      <c r="D2445" s="742">
        <f t="shared" ref="D2445:D2454" si="33">ROUNDUP(F2445/0.6/120,2)</f>
        <v>3.34</v>
      </c>
      <c r="E2445" s="942" t="s">
        <v>3449</v>
      </c>
      <c r="F2445" s="236">
        <v>240</v>
      </c>
      <c r="G2445" s="789">
        <f t="shared" ref="G2445:G2454" si="34">(D2445-(F2445/H2445))/D2445</f>
        <v>0.40119760479041916</v>
      </c>
      <c r="H2445" s="161">
        <v>120</v>
      </c>
    </row>
    <row r="2446" spans="1:12">
      <c r="A2446" s="37" t="s">
        <v>2024</v>
      </c>
      <c r="B2446" s="37" t="s">
        <v>3104</v>
      </c>
      <c r="C2446" s="248">
        <v>383.6</v>
      </c>
      <c r="D2446" s="742">
        <f t="shared" si="33"/>
        <v>3.8899999999999997</v>
      </c>
      <c r="E2446" s="942" t="s">
        <v>1822</v>
      </c>
      <c r="F2446" s="236">
        <f>240+40</f>
        <v>280</v>
      </c>
      <c r="G2446" s="789">
        <f t="shared" si="34"/>
        <v>0.40017137960582683</v>
      </c>
      <c r="H2446" s="161">
        <v>120</v>
      </c>
    </row>
    <row r="2447" spans="1:12">
      <c r="A2447" s="37" t="s">
        <v>3444</v>
      </c>
      <c r="B2447" s="37" t="s">
        <v>3094</v>
      </c>
      <c r="C2447" s="950">
        <v>13.7</v>
      </c>
      <c r="D2447" s="742">
        <f t="shared" si="33"/>
        <v>1.67</v>
      </c>
      <c r="E2447" s="250" t="s">
        <v>3450</v>
      </c>
      <c r="F2447" s="236">
        <v>120</v>
      </c>
      <c r="G2447" s="789">
        <f t="shared" si="34"/>
        <v>0.40119760479041916</v>
      </c>
      <c r="H2447" s="161">
        <v>120</v>
      </c>
    </row>
    <row r="2448" spans="1:12">
      <c r="A2448" s="37" t="s">
        <v>3444</v>
      </c>
      <c r="B2448" s="37" t="s">
        <v>3104</v>
      </c>
      <c r="C2448" s="248">
        <v>383.6</v>
      </c>
      <c r="D2448" s="742">
        <f t="shared" si="33"/>
        <v>2.23</v>
      </c>
      <c r="E2448" s="942" t="s">
        <v>1822</v>
      </c>
      <c r="F2448" s="236">
        <f>120+40</f>
        <v>160</v>
      </c>
      <c r="G2448" s="789">
        <f t="shared" si="34"/>
        <v>0.40209267563527656</v>
      </c>
      <c r="H2448" s="161">
        <v>120</v>
      </c>
    </row>
    <row r="2449" spans="1:8">
      <c r="A2449" s="37" t="s">
        <v>3445</v>
      </c>
      <c r="B2449" s="37" t="s">
        <v>3094</v>
      </c>
      <c r="C2449" s="950">
        <v>13.7</v>
      </c>
      <c r="D2449" s="742">
        <f t="shared" si="33"/>
        <v>2.23</v>
      </c>
      <c r="E2449" s="250" t="s">
        <v>3451</v>
      </c>
      <c r="F2449" s="236">
        <v>160</v>
      </c>
      <c r="G2449" s="789">
        <f t="shared" si="34"/>
        <v>0.40209267563527656</v>
      </c>
      <c r="H2449" s="161">
        <v>120</v>
      </c>
    </row>
    <row r="2450" spans="1:8">
      <c r="A2450" s="37" t="s">
        <v>3445</v>
      </c>
      <c r="B2450" s="37" t="s">
        <v>3104</v>
      </c>
      <c r="C2450" s="248">
        <v>383.6</v>
      </c>
      <c r="D2450" s="742">
        <f t="shared" si="33"/>
        <v>2.78</v>
      </c>
      <c r="E2450" s="942" t="s">
        <v>1822</v>
      </c>
      <c r="F2450" s="236">
        <f>160+40</f>
        <v>200</v>
      </c>
      <c r="G2450" s="789">
        <f t="shared" si="34"/>
        <v>0.40047961630695439</v>
      </c>
      <c r="H2450" s="161">
        <v>120</v>
      </c>
    </row>
    <row r="2451" spans="1:8">
      <c r="A2451" s="37" t="s">
        <v>3446</v>
      </c>
      <c r="B2451" s="37" t="s">
        <v>3094</v>
      </c>
      <c r="C2451" s="950">
        <v>13.7</v>
      </c>
      <c r="D2451" s="742">
        <f t="shared" si="33"/>
        <v>2.1599999999999997</v>
      </c>
      <c r="E2451" s="250" t="s">
        <v>3452</v>
      </c>
      <c r="F2451" s="236">
        <v>155</v>
      </c>
      <c r="G2451" s="789">
        <f t="shared" si="34"/>
        <v>0.40200617283950607</v>
      </c>
      <c r="H2451" s="161">
        <v>120</v>
      </c>
    </row>
    <row r="2452" spans="1:8">
      <c r="A2452" s="37" t="s">
        <v>3446</v>
      </c>
      <c r="B2452" s="37" t="s">
        <v>3104</v>
      </c>
      <c r="C2452" s="248">
        <v>383.6</v>
      </c>
      <c r="D2452" s="742">
        <f t="shared" si="33"/>
        <v>2.71</v>
      </c>
      <c r="E2452" s="942" t="s">
        <v>1822</v>
      </c>
      <c r="F2452" s="236">
        <f>155+40</f>
        <v>195</v>
      </c>
      <c r="G2452" s="789">
        <f t="shared" si="34"/>
        <v>0.40036900369003692</v>
      </c>
      <c r="H2452" s="161">
        <v>120</v>
      </c>
    </row>
    <row r="2453" spans="1:8">
      <c r="A2453" s="37" t="s">
        <v>3447</v>
      </c>
      <c r="B2453" s="37" t="s">
        <v>3094</v>
      </c>
      <c r="C2453" s="950">
        <v>13.7</v>
      </c>
      <c r="D2453" s="742">
        <f t="shared" si="33"/>
        <v>2.3699999999999997</v>
      </c>
      <c r="E2453" s="250" t="s">
        <v>3453</v>
      </c>
      <c r="F2453" s="236">
        <v>170</v>
      </c>
      <c r="G2453" s="789">
        <f t="shared" si="34"/>
        <v>0.40225035161744011</v>
      </c>
      <c r="H2453" s="161">
        <v>120</v>
      </c>
    </row>
    <row r="2454" spans="1:8">
      <c r="A2454" s="37" t="s">
        <v>3447</v>
      </c>
      <c r="B2454" s="37" t="s">
        <v>3104</v>
      </c>
      <c r="C2454" s="248">
        <v>383.6</v>
      </c>
      <c r="D2454" s="742">
        <f t="shared" si="33"/>
        <v>2.92</v>
      </c>
      <c r="E2454" s="942" t="s">
        <v>1822</v>
      </c>
      <c r="F2454" s="236">
        <f>170+40</f>
        <v>210</v>
      </c>
      <c r="G2454" s="789">
        <f t="shared" si="34"/>
        <v>0.40068493150684931</v>
      </c>
      <c r="H2454" s="161">
        <v>120</v>
      </c>
    </row>
    <row r="2459" spans="1:8" ht="25.5">
      <c r="A2459" s="762" t="s">
        <v>166</v>
      </c>
      <c r="B2459" s="762" t="s">
        <v>95</v>
      </c>
      <c r="C2459" s="762" t="s">
        <v>3103</v>
      </c>
      <c r="D2459" s="936" t="s">
        <v>2855</v>
      </c>
      <c r="E2459" s="936" t="s">
        <v>3448</v>
      </c>
      <c r="F2459" s="762" t="s">
        <v>3227</v>
      </c>
      <c r="G2459" s="879" t="s">
        <v>2821</v>
      </c>
      <c r="H2459" s="1030" t="s">
        <v>2822</v>
      </c>
    </row>
    <row r="2460" spans="1:8">
      <c r="A2460" s="37" t="s">
        <v>3404</v>
      </c>
      <c r="B2460" s="37" t="s">
        <v>3094</v>
      </c>
      <c r="C2460" s="248">
        <v>10</v>
      </c>
      <c r="D2460" s="742">
        <f t="shared" ref="D2460:D2476" si="35">ROUNDUP(F2460/0.6/120,2)</f>
        <v>2.8899999999999997</v>
      </c>
      <c r="E2460" s="250" t="s">
        <v>3460</v>
      </c>
      <c r="F2460" s="257">
        <v>208</v>
      </c>
      <c r="G2460" s="1031">
        <f>(D2460-(F2460/H2460))/D2460</f>
        <v>0.40023068050749705</v>
      </c>
      <c r="H2460" s="1030">
        <v>120</v>
      </c>
    </row>
    <row r="2461" spans="1:8">
      <c r="A2461" s="37" t="s">
        <v>3404</v>
      </c>
      <c r="B2461" s="37" t="s">
        <v>3104</v>
      </c>
      <c r="C2461" s="248" t="s">
        <v>3264</v>
      </c>
      <c r="D2461" s="742">
        <f>ROUNDUP(F2461/0.6/120,2)</f>
        <v>4.1399999999999997</v>
      </c>
      <c r="E2461" s="942" t="s">
        <v>1822</v>
      </c>
      <c r="F2461" s="257">
        <f>208+90</f>
        <v>298</v>
      </c>
      <c r="G2461" s="1031">
        <f t="shared" ref="G2461:G2470" si="36">(D2461-(F2461/H2461))/D2461</f>
        <v>0.40016103059581315</v>
      </c>
      <c r="H2461" s="1030">
        <v>120</v>
      </c>
    </row>
    <row r="2462" spans="1:8">
      <c r="A2462" s="37" t="s">
        <v>3405</v>
      </c>
      <c r="B2462" s="37" t="s">
        <v>3094</v>
      </c>
      <c r="C2462" s="248">
        <v>10</v>
      </c>
      <c r="D2462" s="742">
        <f t="shared" si="35"/>
        <v>1.71</v>
      </c>
      <c r="E2462" s="250" t="s">
        <v>3461</v>
      </c>
      <c r="F2462" s="257">
        <v>123</v>
      </c>
      <c r="G2462" s="1031">
        <f t="shared" si="36"/>
        <v>0.40058479532163749</v>
      </c>
      <c r="H2462" s="1030">
        <v>120</v>
      </c>
    </row>
    <row r="2463" spans="1:8">
      <c r="A2463" s="37" t="s">
        <v>3405</v>
      </c>
      <c r="B2463" s="37" t="s">
        <v>3104</v>
      </c>
      <c r="C2463" s="248" t="s">
        <v>3264</v>
      </c>
      <c r="D2463" s="742">
        <f>ROUNDUP(F2463/0.6/120,2)</f>
        <v>2.82</v>
      </c>
      <c r="E2463" s="942" t="s">
        <v>1822</v>
      </c>
      <c r="F2463" s="257">
        <f>123+80</f>
        <v>203</v>
      </c>
      <c r="G2463" s="1031">
        <f t="shared" si="36"/>
        <v>0.40011820330969267</v>
      </c>
      <c r="H2463" s="1030">
        <v>120</v>
      </c>
    </row>
    <row r="2464" spans="1:8">
      <c r="A2464" s="37" t="s">
        <v>3406</v>
      </c>
      <c r="B2464" s="37" t="s">
        <v>3094</v>
      </c>
      <c r="C2464" s="248">
        <v>10</v>
      </c>
      <c r="D2464" s="742">
        <f t="shared" si="35"/>
        <v>3.48</v>
      </c>
      <c r="E2464" s="250" t="s">
        <v>3462</v>
      </c>
      <c r="F2464" s="257">
        <v>250</v>
      </c>
      <c r="G2464" s="1031">
        <f t="shared" si="36"/>
        <v>0.40134099616858232</v>
      </c>
      <c r="H2464" s="1030">
        <v>120</v>
      </c>
    </row>
    <row r="2465" spans="1:8">
      <c r="A2465" s="37" t="s">
        <v>3406</v>
      </c>
      <c r="B2465" s="37" t="s">
        <v>3104</v>
      </c>
      <c r="C2465" s="248" t="s">
        <v>3264</v>
      </c>
      <c r="D2465" s="742">
        <f>ROUNDUP(F2465/0.6/120,2)</f>
        <v>4.7299999999999995</v>
      </c>
      <c r="E2465" s="942" t="s">
        <v>1822</v>
      </c>
      <c r="F2465" s="257">
        <f>250+90</f>
        <v>340</v>
      </c>
      <c r="G2465" s="1031">
        <f t="shared" si="36"/>
        <v>0.40098661028893579</v>
      </c>
      <c r="H2465" s="1030">
        <v>120</v>
      </c>
    </row>
    <row r="2466" spans="1:8">
      <c r="A2466" s="37" t="s">
        <v>3407</v>
      </c>
      <c r="B2466" s="37" t="s">
        <v>3094</v>
      </c>
      <c r="C2466" s="248">
        <v>10</v>
      </c>
      <c r="D2466" s="742">
        <f t="shared" si="35"/>
        <v>3.17</v>
      </c>
      <c r="E2466" s="250" t="s">
        <v>3463</v>
      </c>
      <c r="F2466" s="257">
        <v>228</v>
      </c>
      <c r="G2466" s="1031">
        <f t="shared" si="36"/>
        <v>0.40063091482649843</v>
      </c>
      <c r="H2466" s="1030">
        <v>120</v>
      </c>
    </row>
    <row r="2467" spans="1:8">
      <c r="A2467" s="37" t="s">
        <v>3407</v>
      </c>
      <c r="B2467" s="37" t="s">
        <v>3104</v>
      </c>
      <c r="C2467" s="248" t="s">
        <v>3264</v>
      </c>
      <c r="D2467" s="742">
        <f>ROUNDUP(F2467/0.6/120,2)</f>
        <v>4.2799999999999994</v>
      </c>
      <c r="E2467" s="942" t="s">
        <v>1822</v>
      </c>
      <c r="F2467" s="257">
        <f>228+80</f>
        <v>308</v>
      </c>
      <c r="G2467" s="1031">
        <f t="shared" si="36"/>
        <v>0.40031152647975066</v>
      </c>
      <c r="H2467" s="1030">
        <v>120</v>
      </c>
    </row>
    <row r="2468" spans="1:8">
      <c r="A2468" s="37" t="s">
        <v>3408</v>
      </c>
      <c r="B2468" s="37" t="s">
        <v>3094</v>
      </c>
      <c r="C2468" s="248">
        <v>10</v>
      </c>
      <c r="D2468" s="742">
        <f t="shared" si="35"/>
        <v>1.62</v>
      </c>
      <c r="E2468" s="250" t="s">
        <v>3464</v>
      </c>
      <c r="F2468" s="257">
        <v>116</v>
      </c>
      <c r="G2468" s="1031">
        <f t="shared" si="36"/>
        <v>0.4032921810699589</v>
      </c>
      <c r="H2468" s="1030">
        <v>120</v>
      </c>
    </row>
    <row r="2469" spans="1:8">
      <c r="A2469" s="37" t="s">
        <v>3408</v>
      </c>
      <c r="B2469" s="37" t="s">
        <v>3104</v>
      </c>
      <c r="C2469" s="248" t="s">
        <v>3264</v>
      </c>
      <c r="D2469" s="742">
        <f>ROUNDUP(F2469/0.6/120,2)</f>
        <v>2.73</v>
      </c>
      <c r="E2469" s="942" t="s">
        <v>1822</v>
      </c>
      <c r="F2469" s="257">
        <f>116+80</f>
        <v>196</v>
      </c>
      <c r="G2469" s="1031">
        <f t="shared" si="36"/>
        <v>0.40170940170940173</v>
      </c>
      <c r="H2469" s="1030">
        <v>120</v>
      </c>
    </row>
    <row r="2470" spans="1:8">
      <c r="A2470" s="37" t="s">
        <v>3409</v>
      </c>
      <c r="B2470" s="37" t="s">
        <v>3094</v>
      </c>
      <c r="C2470" s="248">
        <v>10</v>
      </c>
      <c r="D2470" s="742">
        <f t="shared" si="35"/>
        <v>1.07</v>
      </c>
      <c r="E2470" s="250" t="s">
        <v>3465</v>
      </c>
      <c r="F2470" s="257">
        <v>77</v>
      </c>
      <c r="G2470" s="1031">
        <f t="shared" si="36"/>
        <v>0.40031152647975077</v>
      </c>
      <c r="H2470" s="1030">
        <v>120</v>
      </c>
    </row>
    <row r="2471" spans="1:8">
      <c r="A2471" s="37" t="s">
        <v>3409</v>
      </c>
      <c r="B2471" s="37" t="s">
        <v>3104</v>
      </c>
      <c r="C2471" s="248" t="s">
        <v>3264</v>
      </c>
      <c r="D2471" s="742">
        <f>ROUNDUP(F2471/0.6/120,2)</f>
        <v>2.19</v>
      </c>
      <c r="E2471" s="942" t="s">
        <v>1822</v>
      </c>
      <c r="F2471" s="257">
        <f>77+80</f>
        <v>157</v>
      </c>
      <c r="G2471" s="1031">
        <f t="shared" ref="G2471:G2515" si="37">(D2471-(F2471/H2471))/D2471</f>
        <v>0.4025875190258752</v>
      </c>
      <c r="H2471" s="1030">
        <v>120</v>
      </c>
    </row>
    <row r="2472" spans="1:8">
      <c r="A2472" s="37" t="s">
        <v>3410</v>
      </c>
      <c r="B2472" s="37" t="s">
        <v>3094</v>
      </c>
      <c r="C2472" s="248">
        <v>10</v>
      </c>
      <c r="D2472" s="742">
        <f t="shared" si="35"/>
        <v>4.49</v>
      </c>
      <c r="E2472" s="250" t="s">
        <v>3463</v>
      </c>
      <c r="F2472" s="257">
        <v>323</v>
      </c>
      <c r="G2472" s="1031">
        <f t="shared" si="37"/>
        <v>0.40051967334818112</v>
      </c>
      <c r="H2472" s="1030">
        <v>120</v>
      </c>
    </row>
    <row r="2473" spans="1:8">
      <c r="A2473" s="37" t="s">
        <v>3410</v>
      </c>
      <c r="B2473" s="37" t="s">
        <v>3104</v>
      </c>
      <c r="C2473" s="248" t="s">
        <v>3264</v>
      </c>
      <c r="D2473" s="742">
        <f>ROUNDUP(F2473/0.6/120,2)</f>
        <v>5.88</v>
      </c>
      <c r="E2473" s="942" t="s">
        <v>1822</v>
      </c>
      <c r="F2473" s="257">
        <f>323+100</f>
        <v>423</v>
      </c>
      <c r="G2473" s="1031">
        <f t="shared" si="37"/>
        <v>0.40051020408163268</v>
      </c>
      <c r="H2473" s="1030">
        <v>120</v>
      </c>
    </row>
    <row r="2474" spans="1:8">
      <c r="A2474" s="37" t="s">
        <v>3411</v>
      </c>
      <c r="B2474" s="37" t="s">
        <v>3094</v>
      </c>
      <c r="C2474" s="248">
        <v>10</v>
      </c>
      <c r="D2474" s="742">
        <f t="shared" si="35"/>
        <v>5.77</v>
      </c>
      <c r="E2474" s="250" t="s">
        <v>3466</v>
      </c>
      <c r="F2474" s="257">
        <v>415</v>
      </c>
      <c r="G2474" s="1031">
        <f t="shared" si="37"/>
        <v>0.40063547082611201</v>
      </c>
      <c r="H2474" s="1030">
        <v>120</v>
      </c>
    </row>
    <row r="2475" spans="1:8">
      <c r="A2475" s="37" t="s">
        <v>3411</v>
      </c>
      <c r="B2475" s="37" t="s">
        <v>3104</v>
      </c>
      <c r="C2475" s="248" t="s">
        <v>3264</v>
      </c>
      <c r="D2475" s="742">
        <f>ROUNDUP(F2475/0.6/120,2)</f>
        <v>7.02</v>
      </c>
      <c r="E2475" s="942" t="s">
        <v>1822</v>
      </c>
      <c r="F2475" s="257">
        <f>415+90</f>
        <v>505</v>
      </c>
      <c r="G2475" s="1031">
        <f t="shared" si="37"/>
        <v>0.40052231718898385</v>
      </c>
      <c r="H2475" s="1030">
        <v>120</v>
      </c>
    </row>
    <row r="2476" spans="1:8">
      <c r="A2476" s="37" t="s">
        <v>3412</v>
      </c>
      <c r="B2476" s="37" t="s">
        <v>3094</v>
      </c>
      <c r="C2476" s="248">
        <v>10</v>
      </c>
      <c r="D2476" s="742">
        <f t="shared" si="35"/>
        <v>2.2999999999999998</v>
      </c>
      <c r="E2476" s="250" t="s">
        <v>3463</v>
      </c>
      <c r="F2476" s="257">
        <v>165</v>
      </c>
      <c r="G2476" s="1031">
        <f t="shared" si="37"/>
        <v>0.40217391304347822</v>
      </c>
      <c r="H2476" s="1030">
        <v>120</v>
      </c>
    </row>
    <row r="2477" spans="1:8">
      <c r="A2477" s="37" t="s">
        <v>3412</v>
      </c>
      <c r="B2477" s="37" t="s">
        <v>3104</v>
      </c>
      <c r="C2477" s="248" t="s">
        <v>3264</v>
      </c>
      <c r="D2477" s="742">
        <f>ROUNDUP(F2477/0.6/120,2)</f>
        <v>3.4099999999999997</v>
      </c>
      <c r="E2477" s="942" t="s">
        <v>1822</v>
      </c>
      <c r="F2477" s="257">
        <f>165+80</f>
        <v>245</v>
      </c>
      <c r="G2477" s="1031">
        <f t="shared" si="37"/>
        <v>0.40127077223851415</v>
      </c>
      <c r="H2477" s="1030">
        <v>120</v>
      </c>
    </row>
    <row r="2478" spans="1:8">
      <c r="A2478" s="37" t="s">
        <v>3413</v>
      </c>
      <c r="B2478" s="37" t="s">
        <v>3094</v>
      </c>
      <c r="C2478" s="248">
        <v>10</v>
      </c>
      <c r="D2478" s="742">
        <f t="shared" ref="D2478:D2483" si="38">ROUNDUP(F2478/0.6/120,2)</f>
        <v>6.31</v>
      </c>
      <c r="E2478" s="250" t="s">
        <v>3466</v>
      </c>
      <c r="F2478" s="257">
        <v>454</v>
      </c>
      <c r="G2478" s="1031">
        <f t="shared" si="37"/>
        <v>0.40042260961436871</v>
      </c>
      <c r="H2478" s="1030">
        <v>120</v>
      </c>
    </row>
    <row r="2479" spans="1:8">
      <c r="A2479" s="37" t="s">
        <v>3413</v>
      </c>
      <c r="B2479" s="37" t="s">
        <v>3104</v>
      </c>
      <c r="C2479" s="248" t="s">
        <v>3264</v>
      </c>
      <c r="D2479" s="742">
        <f t="shared" si="38"/>
        <v>7.56</v>
      </c>
      <c r="E2479" s="942" t="s">
        <v>1822</v>
      </c>
      <c r="F2479" s="257">
        <f>454+90</f>
        <v>544</v>
      </c>
      <c r="G2479" s="1031">
        <f t="shared" si="37"/>
        <v>0.400352733686067</v>
      </c>
      <c r="H2479" s="1030">
        <v>120</v>
      </c>
    </row>
    <row r="2480" spans="1:8">
      <c r="A2480" s="37" t="s">
        <v>3414</v>
      </c>
      <c r="B2480" s="37" t="s">
        <v>3094</v>
      </c>
      <c r="C2480" s="248">
        <v>10</v>
      </c>
      <c r="D2480" s="742">
        <f t="shared" si="38"/>
        <v>1.37</v>
      </c>
      <c r="E2480" s="250" t="s">
        <v>3463</v>
      </c>
      <c r="F2480" s="257">
        <v>98</v>
      </c>
      <c r="G2480" s="1031">
        <f t="shared" si="37"/>
        <v>0.4038929440389295</v>
      </c>
      <c r="H2480" s="1030">
        <v>120</v>
      </c>
    </row>
    <row r="2481" spans="1:8">
      <c r="A2481" s="37" t="s">
        <v>3414</v>
      </c>
      <c r="B2481" s="37" t="s">
        <v>3104</v>
      </c>
      <c r="C2481" s="248" t="s">
        <v>3264</v>
      </c>
      <c r="D2481" s="742">
        <f t="shared" si="38"/>
        <v>2.48</v>
      </c>
      <c r="E2481" s="942" t="s">
        <v>1822</v>
      </c>
      <c r="F2481" s="257">
        <f>98+80</f>
        <v>178</v>
      </c>
      <c r="G2481" s="1031">
        <f t="shared" si="37"/>
        <v>0.4018817204301075</v>
      </c>
      <c r="H2481" s="1030">
        <v>120</v>
      </c>
    </row>
    <row r="2482" spans="1:8">
      <c r="A2482" s="37" t="s">
        <v>3415</v>
      </c>
      <c r="B2482" s="37" t="s">
        <v>3094</v>
      </c>
      <c r="C2482" s="248">
        <v>10</v>
      </c>
      <c r="D2482" s="742">
        <f t="shared" si="38"/>
        <v>2.7699999999999996</v>
      </c>
      <c r="E2482" s="250" t="s">
        <v>3467</v>
      </c>
      <c r="F2482" s="257">
        <v>199</v>
      </c>
      <c r="G2482" s="1031">
        <f t="shared" si="37"/>
        <v>0.40132370637785786</v>
      </c>
      <c r="H2482" s="1030">
        <v>120</v>
      </c>
    </row>
    <row r="2483" spans="1:8">
      <c r="A2483" s="37" t="s">
        <v>3415</v>
      </c>
      <c r="B2483" s="37" t="s">
        <v>3104</v>
      </c>
      <c r="C2483" s="248" t="s">
        <v>3264</v>
      </c>
      <c r="D2483" s="742">
        <f t="shared" si="38"/>
        <v>4.0199999999999996</v>
      </c>
      <c r="E2483" s="942" t="s">
        <v>1822</v>
      </c>
      <c r="F2483" s="257">
        <f>199+90</f>
        <v>289</v>
      </c>
      <c r="G2483" s="1031">
        <f t="shared" si="37"/>
        <v>0.40091210613598671</v>
      </c>
      <c r="H2483" s="1030">
        <v>120</v>
      </c>
    </row>
    <row r="2484" spans="1:8">
      <c r="A2484" s="1029" t="s">
        <v>3442</v>
      </c>
      <c r="B2484" s="37"/>
      <c r="C2484" s="248"/>
      <c r="D2484" s="742"/>
      <c r="E2484" s="250"/>
      <c r="F2484" s="257"/>
      <c r="G2484" s="1031" t="e">
        <f t="shared" si="37"/>
        <v>#DIV/0!</v>
      </c>
      <c r="H2484" s="1030">
        <v>120</v>
      </c>
    </row>
    <row r="2485" spans="1:8">
      <c r="A2485" s="37" t="s">
        <v>3440</v>
      </c>
      <c r="B2485" s="37" t="s">
        <v>3426</v>
      </c>
      <c r="C2485" s="248">
        <v>2</v>
      </c>
      <c r="D2485" s="742">
        <f>ROUNDUP(F2485/0.6/120,2)</f>
        <v>0</v>
      </c>
      <c r="E2485" s="942" t="s">
        <v>3459</v>
      </c>
      <c r="F2485" s="257"/>
      <c r="G2485" s="1031" t="e">
        <f t="shared" si="37"/>
        <v>#DIV/0!</v>
      </c>
      <c r="H2485" s="1030">
        <v>120</v>
      </c>
    </row>
    <row r="2486" spans="1:8">
      <c r="A2486" s="1029" t="s">
        <v>3441</v>
      </c>
      <c r="B2486" s="37"/>
      <c r="C2486" s="248"/>
      <c r="D2486" s="742"/>
      <c r="E2486" s="250"/>
      <c r="F2486" s="257"/>
      <c r="G2486" s="1031" t="e">
        <f t="shared" si="37"/>
        <v>#DIV/0!</v>
      </c>
      <c r="H2486" s="1030">
        <v>120</v>
      </c>
    </row>
    <row r="2487" spans="1:8">
      <c r="A2487" s="37" t="s">
        <v>3416</v>
      </c>
      <c r="B2487" s="37" t="s">
        <v>3426</v>
      </c>
      <c r="C2487" s="248">
        <v>2</v>
      </c>
      <c r="D2487" s="742">
        <f>ROUNDUP(F2487/0.6/120,2)</f>
        <v>0</v>
      </c>
      <c r="E2487" s="942" t="s">
        <v>3459</v>
      </c>
      <c r="F2487" s="257"/>
      <c r="G2487" s="1031" t="e">
        <f t="shared" si="37"/>
        <v>#DIV/0!</v>
      </c>
      <c r="H2487" s="1030">
        <v>120</v>
      </c>
    </row>
    <row r="2488" spans="1:8">
      <c r="A2488" s="37" t="s">
        <v>2024</v>
      </c>
      <c r="B2488" s="37" t="s">
        <v>3094</v>
      </c>
      <c r="C2488" s="950">
        <v>13.7</v>
      </c>
      <c r="D2488" s="742">
        <f t="shared" ref="D2488:D2497" si="39">ROUNDUP(F2488/0.6/120,2)</f>
        <v>3.34</v>
      </c>
      <c r="E2488" s="942" t="s">
        <v>3281</v>
      </c>
      <c r="F2488" s="257">
        <v>240</v>
      </c>
      <c r="G2488" s="1031">
        <f t="shared" si="37"/>
        <v>0.40119760479041916</v>
      </c>
      <c r="H2488" s="1030">
        <v>120</v>
      </c>
    </row>
    <row r="2489" spans="1:8">
      <c r="A2489" s="37" t="s">
        <v>2024</v>
      </c>
      <c r="B2489" s="37" t="s">
        <v>3104</v>
      </c>
      <c r="C2489" s="248">
        <v>383.6</v>
      </c>
      <c r="D2489" s="742">
        <f t="shared" si="39"/>
        <v>3.8899999999999997</v>
      </c>
      <c r="E2489" s="942" t="s">
        <v>1822</v>
      </c>
      <c r="F2489" s="257">
        <f>240+40</f>
        <v>280</v>
      </c>
      <c r="G2489" s="1031">
        <f t="shared" si="37"/>
        <v>0.40017137960582683</v>
      </c>
      <c r="H2489" s="1030">
        <v>120</v>
      </c>
    </row>
    <row r="2490" spans="1:8">
      <c r="A2490" s="37" t="s">
        <v>3444</v>
      </c>
      <c r="B2490" s="37" t="s">
        <v>3094</v>
      </c>
      <c r="C2490" s="950">
        <v>13.7</v>
      </c>
      <c r="D2490" s="742">
        <f t="shared" si="39"/>
        <v>1.67</v>
      </c>
      <c r="E2490" s="250" t="s">
        <v>3450</v>
      </c>
      <c r="F2490" s="257">
        <v>120</v>
      </c>
      <c r="G2490" s="1031">
        <f t="shared" si="37"/>
        <v>0.40119760479041916</v>
      </c>
      <c r="H2490" s="1030">
        <v>120</v>
      </c>
    </row>
    <row r="2491" spans="1:8">
      <c r="A2491" s="37" t="s">
        <v>3444</v>
      </c>
      <c r="B2491" s="37" t="s">
        <v>3104</v>
      </c>
      <c r="C2491" s="248">
        <v>383.6</v>
      </c>
      <c r="D2491" s="742">
        <f t="shared" si="39"/>
        <v>2.23</v>
      </c>
      <c r="E2491" s="942" t="s">
        <v>1822</v>
      </c>
      <c r="F2491" s="257">
        <f>120+40</f>
        <v>160</v>
      </c>
      <c r="G2491" s="1031">
        <f t="shared" si="37"/>
        <v>0.40209267563527656</v>
      </c>
      <c r="H2491" s="1030">
        <v>120</v>
      </c>
    </row>
    <row r="2492" spans="1:8">
      <c r="A2492" s="37" t="s">
        <v>3349</v>
      </c>
      <c r="B2492" s="37" t="s">
        <v>3094</v>
      </c>
      <c r="C2492" s="950">
        <v>13.7</v>
      </c>
      <c r="D2492" s="742">
        <f t="shared" si="39"/>
        <v>2.23</v>
      </c>
      <c r="E2492" s="250" t="s">
        <v>3117</v>
      </c>
      <c r="F2492" s="257">
        <v>160</v>
      </c>
      <c r="G2492" s="1031">
        <f t="shared" si="37"/>
        <v>0.40209267563527656</v>
      </c>
      <c r="H2492" s="1030">
        <v>120</v>
      </c>
    </row>
    <row r="2493" spans="1:8">
      <c r="A2493" s="37" t="s">
        <v>3349</v>
      </c>
      <c r="B2493" s="37" t="s">
        <v>3104</v>
      </c>
      <c r="C2493" s="248">
        <v>383.6</v>
      </c>
      <c r="D2493" s="742">
        <f t="shared" si="39"/>
        <v>2.78</v>
      </c>
      <c r="E2493" s="942" t="s">
        <v>1822</v>
      </c>
      <c r="F2493" s="257">
        <f>160+40</f>
        <v>200</v>
      </c>
      <c r="G2493" s="1031">
        <f t="shared" si="37"/>
        <v>0.40047961630695439</v>
      </c>
      <c r="H2493" s="1030">
        <v>120</v>
      </c>
    </row>
    <row r="2494" spans="1:8">
      <c r="A2494" s="37" t="s">
        <v>2853</v>
      </c>
      <c r="B2494" s="37" t="s">
        <v>3094</v>
      </c>
      <c r="C2494" s="950">
        <v>13.7</v>
      </c>
      <c r="D2494" s="742">
        <f t="shared" si="39"/>
        <v>2.1599999999999997</v>
      </c>
      <c r="E2494" s="250" t="s">
        <v>3452</v>
      </c>
      <c r="F2494" s="257">
        <v>155</v>
      </c>
      <c r="G2494" s="1031">
        <f t="shared" si="37"/>
        <v>0.40200617283950607</v>
      </c>
      <c r="H2494" s="1030">
        <v>120</v>
      </c>
    </row>
    <row r="2495" spans="1:8">
      <c r="A2495" s="37" t="s">
        <v>2853</v>
      </c>
      <c r="B2495" s="37" t="s">
        <v>3104</v>
      </c>
      <c r="C2495" s="248">
        <v>383.6</v>
      </c>
      <c r="D2495" s="742">
        <f t="shared" si="39"/>
        <v>2.71</v>
      </c>
      <c r="E2495" s="942" t="s">
        <v>1822</v>
      </c>
      <c r="F2495" s="257">
        <f>155+40</f>
        <v>195</v>
      </c>
      <c r="G2495" s="1031">
        <f t="shared" si="37"/>
        <v>0.40036900369003692</v>
      </c>
      <c r="H2495" s="1030">
        <v>120</v>
      </c>
    </row>
    <row r="2496" spans="1:8">
      <c r="A2496" s="37" t="s">
        <v>3447</v>
      </c>
      <c r="B2496" s="37" t="s">
        <v>3094</v>
      </c>
      <c r="C2496" s="950">
        <v>13.7</v>
      </c>
      <c r="D2496" s="742">
        <f t="shared" si="39"/>
        <v>2.3699999999999997</v>
      </c>
      <c r="E2496" s="250" t="s">
        <v>3453</v>
      </c>
      <c r="F2496" s="257">
        <v>170</v>
      </c>
      <c r="G2496" s="1031">
        <f t="shared" si="37"/>
        <v>0.40225035161744011</v>
      </c>
      <c r="H2496" s="1030">
        <v>120</v>
      </c>
    </row>
    <row r="2497" spans="1:8">
      <c r="A2497" s="37" t="s">
        <v>3447</v>
      </c>
      <c r="B2497" s="37" t="s">
        <v>3104</v>
      </c>
      <c r="C2497" s="248">
        <v>383.6</v>
      </c>
      <c r="D2497" s="742">
        <f t="shared" si="39"/>
        <v>2.92</v>
      </c>
      <c r="E2497" s="942" t="s">
        <v>1822</v>
      </c>
      <c r="F2497" s="257">
        <f>170+40</f>
        <v>210</v>
      </c>
      <c r="G2497" s="1031">
        <f t="shared" si="37"/>
        <v>0.40068493150684931</v>
      </c>
      <c r="H2497" s="1030">
        <v>120</v>
      </c>
    </row>
    <row r="2498" spans="1:8">
      <c r="A2498" s="37" t="s">
        <v>3458</v>
      </c>
      <c r="B2498" s="37" t="s">
        <v>3094</v>
      </c>
      <c r="C2498" s="248">
        <v>10</v>
      </c>
      <c r="D2498" s="742">
        <f t="shared" ref="D2498:D2515" si="40">ROUNDUP(F2498/0.6/120,2)</f>
        <v>2.5</v>
      </c>
      <c r="E2498" s="250" t="s">
        <v>3467</v>
      </c>
      <c r="F2498" s="257">
        <v>180</v>
      </c>
      <c r="G2498" s="1031">
        <f t="shared" si="37"/>
        <v>0.4</v>
      </c>
      <c r="H2498" s="1030">
        <v>120</v>
      </c>
    </row>
    <row r="2499" spans="1:8">
      <c r="A2499" s="37" t="s">
        <v>3417</v>
      </c>
      <c r="B2499" s="37" t="s">
        <v>3104</v>
      </c>
      <c r="C2499" s="248" t="s">
        <v>3264</v>
      </c>
      <c r="D2499" s="742">
        <f t="shared" si="40"/>
        <v>3.6199999999999997</v>
      </c>
      <c r="E2499" s="942" t="s">
        <v>1822</v>
      </c>
      <c r="F2499" s="257">
        <f>180+80</f>
        <v>260</v>
      </c>
      <c r="G2499" s="1031">
        <f t="shared" si="37"/>
        <v>0.40147329650092078</v>
      </c>
      <c r="H2499" s="1030">
        <v>120</v>
      </c>
    </row>
    <row r="2500" spans="1:8">
      <c r="A2500" s="37" t="s">
        <v>3418</v>
      </c>
      <c r="B2500" s="37" t="s">
        <v>3094</v>
      </c>
      <c r="C2500" s="248">
        <v>10</v>
      </c>
      <c r="D2500" s="742">
        <f t="shared" si="40"/>
        <v>2.59</v>
      </c>
      <c r="E2500" s="250" t="s">
        <v>3468</v>
      </c>
      <c r="F2500" s="257">
        <v>186</v>
      </c>
      <c r="G2500" s="1031">
        <f t="shared" si="37"/>
        <v>0.40154440154440152</v>
      </c>
      <c r="H2500" s="1030">
        <v>120</v>
      </c>
    </row>
    <row r="2501" spans="1:8">
      <c r="A2501" s="37" t="s">
        <v>3418</v>
      </c>
      <c r="B2501" s="37" t="s">
        <v>3104</v>
      </c>
      <c r="C2501" s="248" t="s">
        <v>3264</v>
      </c>
      <c r="D2501" s="742">
        <f t="shared" si="40"/>
        <v>3.6999999999999997</v>
      </c>
      <c r="E2501" s="942" t="s">
        <v>1822</v>
      </c>
      <c r="F2501" s="257">
        <f>186+80</f>
        <v>266</v>
      </c>
      <c r="G2501" s="1031">
        <f t="shared" si="37"/>
        <v>0.4009009009009008</v>
      </c>
      <c r="H2501" s="1030">
        <v>120</v>
      </c>
    </row>
    <row r="2502" spans="1:8">
      <c r="A2502" s="37" t="s">
        <v>3419</v>
      </c>
      <c r="B2502" s="37" t="s">
        <v>3094</v>
      </c>
      <c r="C2502" s="248">
        <v>10</v>
      </c>
      <c r="D2502" s="742">
        <f t="shared" si="40"/>
        <v>1.98</v>
      </c>
      <c r="E2502" s="250" t="s">
        <v>3469</v>
      </c>
      <c r="F2502" s="257">
        <v>142</v>
      </c>
      <c r="G2502" s="1031">
        <f t="shared" si="37"/>
        <v>0.40235690235690236</v>
      </c>
      <c r="H2502" s="1030">
        <v>120</v>
      </c>
    </row>
    <row r="2503" spans="1:8">
      <c r="A2503" s="37" t="s">
        <v>3419</v>
      </c>
      <c r="B2503" s="37" t="s">
        <v>3104</v>
      </c>
      <c r="C2503" s="248" t="s">
        <v>3264</v>
      </c>
      <c r="D2503" s="742">
        <f t="shared" si="40"/>
        <v>3.09</v>
      </c>
      <c r="E2503" s="942" t="s">
        <v>1822</v>
      </c>
      <c r="F2503" s="257">
        <f>142+80</f>
        <v>222</v>
      </c>
      <c r="G2503" s="1031">
        <f t="shared" si="37"/>
        <v>0.40129449838187697</v>
      </c>
      <c r="H2503" s="1030">
        <v>120</v>
      </c>
    </row>
    <row r="2504" spans="1:8">
      <c r="A2504" s="37" t="s">
        <v>3420</v>
      </c>
      <c r="B2504" s="37" t="s">
        <v>3094</v>
      </c>
      <c r="C2504" s="248">
        <v>10</v>
      </c>
      <c r="D2504" s="742">
        <f t="shared" si="40"/>
        <v>2.6199999999999997</v>
      </c>
      <c r="E2504" s="250" t="s">
        <v>3470</v>
      </c>
      <c r="F2504" s="257">
        <v>188</v>
      </c>
      <c r="G2504" s="1031">
        <f t="shared" si="37"/>
        <v>0.40203562340966914</v>
      </c>
      <c r="H2504" s="1030">
        <v>120</v>
      </c>
    </row>
    <row r="2505" spans="1:8">
      <c r="A2505" s="37" t="s">
        <v>3420</v>
      </c>
      <c r="B2505" s="37" t="s">
        <v>3104</v>
      </c>
      <c r="C2505" s="248" t="s">
        <v>3264</v>
      </c>
      <c r="D2505" s="742">
        <f t="shared" si="40"/>
        <v>3.8699999999999997</v>
      </c>
      <c r="E2505" s="942" t="s">
        <v>1822</v>
      </c>
      <c r="F2505" s="257">
        <f>188+90</f>
        <v>278</v>
      </c>
      <c r="G2505" s="1031">
        <f t="shared" si="37"/>
        <v>0.40137812230835473</v>
      </c>
      <c r="H2505" s="1030">
        <v>120</v>
      </c>
    </row>
    <row r="2506" spans="1:8">
      <c r="A2506" s="37" t="s">
        <v>3343</v>
      </c>
      <c r="B2506" s="37" t="s">
        <v>3094</v>
      </c>
      <c r="C2506" s="248">
        <v>10</v>
      </c>
      <c r="D2506" s="742">
        <f t="shared" si="40"/>
        <v>1.17</v>
      </c>
      <c r="E2506" s="250" t="s">
        <v>3471</v>
      </c>
      <c r="F2506" s="257">
        <v>84</v>
      </c>
      <c r="G2506" s="1031">
        <f t="shared" si="37"/>
        <v>0.40170940170940173</v>
      </c>
      <c r="H2506" s="1030">
        <v>120</v>
      </c>
    </row>
    <row r="2507" spans="1:8">
      <c r="A2507" s="37" t="s">
        <v>3343</v>
      </c>
      <c r="B2507" s="37" t="s">
        <v>3104</v>
      </c>
      <c r="C2507" s="248" t="s">
        <v>3264</v>
      </c>
      <c r="D2507" s="742">
        <f t="shared" si="40"/>
        <v>2.2799999999999998</v>
      </c>
      <c r="E2507" s="942" t="s">
        <v>1822</v>
      </c>
      <c r="F2507" s="257">
        <f>84+80</f>
        <v>164</v>
      </c>
      <c r="G2507" s="1031">
        <f t="shared" si="37"/>
        <v>0.40058479532163738</v>
      </c>
      <c r="H2507" s="1030">
        <v>120</v>
      </c>
    </row>
    <row r="2508" spans="1:8">
      <c r="A2508" s="37" t="s">
        <v>3421</v>
      </c>
      <c r="B2508" s="37" t="s">
        <v>3094</v>
      </c>
      <c r="C2508" s="248">
        <v>10</v>
      </c>
      <c r="D2508" s="742">
        <f t="shared" si="40"/>
        <v>0.91</v>
      </c>
      <c r="E2508" s="250" t="s">
        <v>3472</v>
      </c>
      <c r="F2508" s="257">
        <v>65</v>
      </c>
      <c r="G2508" s="1031">
        <f t="shared" si="37"/>
        <v>0.40476190476190482</v>
      </c>
      <c r="H2508" s="1030">
        <v>120</v>
      </c>
    </row>
    <row r="2509" spans="1:8">
      <c r="A2509" s="37" t="s">
        <v>3421</v>
      </c>
      <c r="B2509" s="37" t="s">
        <v>3104</v>
      </c>
      <c r="C2509" s="248" t="s">
        <v>3264</v>
      </c>
      <c r="D2509" s="742">
        <f t="shared" si="40"/>
        <v>2.0199999999999996</v>
      </c>
      <c r="E2509" s="942" t="s">
        <v>1822</v>
      </c>
      <c r="F2509" s="257">
        <f>65+80</f>
        <v>145</v>
      </c>
      <c r="G2509" s="1031">
        <f t="shared" si="37"/>
        <v>0.40181518151815171</v>
      </c>
      <c r="H2509" s="1030">
        <v>120</v>
      </c>
    </row>
    <row r="2510" spans="1:8">
      <c r="A2510" s="37" t="s">
        <v>3422</v>
      </c>
      <c r="B2510" s="37" t="s">
        <v>3427</v>
      </c>
      <c r="C2510" s="248">
        <v>10</v>
      </c>
      <c r="D2510" s="742">
        <f t="shared" si="40"/>
        <v>1.24</v>
      </c>
      <c r="E2510" s="250" t="s">
        <v>3473</v>
      </c>
      <c r="F2510" s="257">
        <v>89</v>
      </c>
      <c r="G2510" s="1031">
        <f t="shared" si="37"/>
        <v>0.4018817204301075</v>
      </c>
      <c r="H2510" s="1030">
        <v>120</v>
      </c>
    </row>
    <row r="2511" spans="1:8">
      <c r="A2511" s="37" t="s">
        <v>3443</v>
      </c>
      <c r="B2511" s="37" t="s">
        <v>3428</v>
      </c>
      <c r="C2511" s="248">
        <v>10</v>
      </c>
      <c r="D2511" s="742">
        <f t="shared" si="40"/>
        <v>3.4099999999999997</v>
      </c>
      <c r="E2511" s="250" t="s">
        <v>3474</v>
      </c>
      <c r="F2511" s="257">
        <v>245</v>
      </c>
      <c r="G2511" s="1031">
        <f t="shared" si="37"/>
        <v>0.40127077223851415</v>
      </c>
      <c r="H2511" s="1030">
        <v>120</v>
      </c>
    </row>
    <row r="2512" spans="1:8">
      <c r="A2512" s="37" t="s">
        <v>3423</v>
      </c>
      <c r="B2512" s="37" t="s">
        <v>3429</v>
      </c>
      <c r="C2512" s="248">
        <v>10</v>
      </c>
      <c r="D2512" s="742">
        <f t="shared" si="40"/>
        <v>4.71</v>
      </c>
      <c r="E2512" s="250" t="s">
        <v>3467</v>
      </c>
      <c r="F2512" s="257">
        <v>339</v>
      </c>
      <c r="G2512" s="1031">
        <f t="shared" si="37"/>
        <v>0.40021231422505305</v>
      </c>
      <c r="H2512" s="1030">
        <v>120</v>
      </c>
    </row>
    <row r="2513" spans="1:23">
      <c r="A2513" s="37" t="s">
        <v>3423</v>
      </c>
      <c r="B2513" s="37" t="s">
        <v>3104</v>
      </c>
      <c r="C2513" s="248" t="s">
        <v>3264</v>
      </c>
      <c r="D2513" s="742">
        <f t="shared" si="40"/>
        <v>6.1</v>
      </c>
      <c r="E2513" s="942" t="s">
        <v>1822</v>
      </c>
      <c r="F2513" s="257">
        <f>339+100</f>
        <v>439</v>
      </c>
      <c r="G2513" s="1031">
        <f t="shared" si="37"/>
        <v>0.40027322404371585</v>
      </c>
      <c r="H2513" s="1030">
        <v>120</v>
      </c>
    </row>
    <row r="2514" spans="1:23">
      <c r="A2514" s="37" t="s">
        <v>3424</v>
      </c>
      <c r="B2514" s="37" t="s">
        <v>3436</v>
      </c>
      <c r="C2514" s="248">
        <v>10</v>
      </c>
      <c r="D2514" s="742">
        <f t="shared" si="40"/>
        <v>3.44</v>
      </c>
      <c r="E2514" s="250" t="s">
        <v>3460</v>
      </c>
      <c r="F2514" s="257">
        <v>247</v>
      </c>
      <c r="G2514" s="1031">
        <f t="shared" si="37"/>
        <v>0.40164728682170547</v>
      </c>
      <c r="H2514" s="1030">
        <v>120</v>
      </c>
    </row>
    <row r="2515" spans="1:23">
      <c r="A2515" s="37" t="s">
        <v>3425</v>
      </c>
      <c r="B2515" s="37" t="s">
        <v>3430</v>
      </c>
      <c r="C2515" s="248">
        <v>10</v>
      </c>
      <c r="D2515" s="742">
        <f t="shared" si="40"/>
        <v>0.96</v>
      </c>
      <c r="E2515" s="250" t="s">
        <v>3475</v>
      </c>
      <c r="F2515" s="257">
        <v>69</v>
      </c>
      <c r="G2515" s="1031">
        <f t="shared" si="37"/>
        <v>0.40104166666666669</v>
      </c>
      <c r="H2515" s="1030">
        <v>120</v>
      </c>
    </row>
    <row r="2517" spans="1:23">
      <c r="A2517" s="831" t="s">
        <v>3476</v>
      </c>
    </row>
    <row r="2518" spans="1:23" s="7" customFormat="1" ht="18" customHeight="1">
      <c r="B2518" s="11"/>
      <c r="C2518" s="6" t="s">
        <v>3403</v>
      </c>
      <c r="D2518" s="12" t="s">
        <v>2017</v>
      </c>
      <c r="E2518" s="17" t="s">
        <v>1955</v>
      </c>
      <c r="F2518" s="22"/>
      <c r="G2518" s="20"/>
      <c r="H2518" s="57"/>
      <c r="I2518" s="58"/>
      <c r="J2518" s="57"/>
      <c r="K2518" s="14" t="s">
        <v>5</v>
      </c>
      <c r="L2518" s="126"/>
      <c r="M2518" s="31"/>
      <c r="N2518" s="31"/>
      <c r="O2518" s="30"/>
      <c r="P2518" s="6" t="s">
        <v>3</v>
      </c>
      <c r="Q2518" s="249"/>
      <c r="S2518" s="962"/>
      <c r="U2518" s="115"/>
      <c r="V2518" s="204">
        <v>120</v>
      </c>
    </row>
    <row r="2519" spans="1:23" s="7" customFormat="1" ht="18" customHeight="1">
      <c r="B2519" s="11" t="s">
        <v>251</v>
      </c>
      <c r="C2519" s="6" t="s">
        <v>3403</v>
      </c>
      <c r="D2519" s="12" t="s">
        <v>2017</v>
      </c>
      <c r="E2519" s="78" t="s">
        <v>3404</v>
      </c>
      <c r="F2519" s="22"/>
      <c r="G2519" s="20" t="s">
        <v>3094</v>
      </c>
      <c r="H2519" s="103"/>
      <c r="I2519" s="104"/>
      <c r="J2519" s="8">
        <v>2</v>
      </c>
      <c r="K2519" s="36">
        <f t="shared" ref="K2519:K2527" si="41">ROUNDUP(S2519/0.6/120,2)</f>
        <v>2.8899999999999997</v>
      </c>
      <c r="L2519" s="36">
        <f t="shared" ref="L2519:L2544" si="42">K2519*J2519</f>
        <v>5.7799999999999994</v>
      </c>
      <c r="M2519" s="112" t="s">
        <v>271</v>
      </c>
      <c r="N2519" s="130"/>
      <c r="O2519" s="30"/>
      <c r="P2519" s="260" t="e">
        <f t="shared" ref="P2519:P2544" si="43">ROUNDUP(S2519/V2519/VLOOKUP(B2519,$C$2:$F$6,3,FALSE),2)</f>
        <v>#N/A</v>
      </c>
      <c r="Q2519" s="232">
        <v>2.48</v>
      </c>
      <c r="R2519" s="232">
        <f t="shared" ref="R2519:R2544" si="44">Q2519*J2519</f>
        <v>4.96</v>
      </c>
      <c r="S2519" s="7">
        <v>208</v>
      </c>
      <c r="T2519" s="7">
        <f t="shared" ref="T2519:T2544" si="45">S2519*J2519</f>
        <v>416</v>
      </c>
      <c r="U2519" s="257"/>
      <c r="V2519" s="204">
        <v>120</v>
      </c>
      <c r="W2519" s="760">
        <f t="shared" ref="W2519:W2544" si="46">(((K2519*V2519)-S2519)/(K2519*V2519))</f>
        <v>0.40023068050749705</v>
      </c>
    </row>
    <row r="2520" spans="1:23" s="7" customFormat="1" ht="18" customHeight="1">
      <c r="B2520" s="11" t="s">
        <v>251</v>
      </c>
      <c r="C2520" s="6" t="s">
        <v>3403</v>
      </c>
      <c r="D2520" s="12" t="s">
        <v>2017</v>
      </c>
      <c r="E2520" s="78" t="s">
        <v>3405</v>
      </c>
      <c r="F2520" s="22"/>
      <c r="G2520" s="20" t="s">
        <v>3094</v>
      </c>
      <c r="H2520" s="103"/>
      <c r="I2520" s="104"/>
      <c r="J2520" s="8">
        <v>2</v>
      </c>
      <c r="K2520" s="36">
        <f t="shared" si="41"/>
        <v>1.71</v>
      </c>
      <c r="L2520" s="36">
        <f t="shared" si="42"/>
        <v>3.42</v>
      </c>
      <c r="M2520" s="112" t="s">
        <v>271</v>
      </c>
      <c r="N2520" s="130"/>
      <c r="O2520" s="30"/>
      <c r="P2520" s="260" t="e">
        <f t="shared" si="43"/>
        <v>#N/A</v>
      </c>
      <c r="Q2520" s="232">
        <v>1.47</v>
      </c>
      <c r="R2520" s="232">
        <f t="shared" si="44"/>
        <v>2.94</v>
      </c>
      <c r="S2520" s="7">
        <v>123</v>
      </c>
      <c r="T2520" s="7">
        <f t="shared" si="45"/>
        <v>246</v>
      </c>
      <c r="U2520" s="257"/>
      <c r="V2520" s="204">
        <v>120</v>
      </c>
      <c r="W2520" s="760">
        <f t="shared" si="46"/>
        <v>0.40058479532163738</v>
      </c>
    </row>
    <row r="2521" spans="1:23" s="7" customFormat="1" ht="18" customHeight="1">
      <c r="B2521" s="11" t="s">
        <v>251</v>
      </c>
      <c r="C2521" s="6" t="s">
        <v>3403</v>
      </c>
      <c r="D2521" s="12" t="s">
        <v>2017</v>
      </c>
      <c r="E2521" s="78" t="s">
        <v>3406</v>
      </c>
      <c r="F2521" s="22"/>
      <c r="G2521" s="20" t="s">
        <v>3094</v>
      </c>
      <c r="H2521" s="103"/>
      <c r="I2521" s="104"/>
      <c r="J2521" s="8">
        <v>2</v>
      </c>
      <c r="K2521" s="36">
        <f t="shared" si="41"/>
        <v>3.48</v>
      </c>
      <c r="L2521" s="36">
        <f t="shared" si="42"/>
        <v>6.96</v>
      </c>
      <c r="M2521" s="112" t="s">
        <v>271</v>
      </c>
      <c r="N2521" s="130"/>
      <c r="O2521" s="30"/>
      <c r="P2521" s="260" t="e">
        <f t="shared" si="43"/>
        <v>#N/A</v>
      </c>
      <c r="Q2521" s="232">
        <v>2.98</v>
      </c>
      <c r="R2521" s="232">
        <f t="shared" si="44"/>
        <v>5.96</v>
      </c>
      <c r="S2521" s="7">
        <v>250</v>
      </c>
      <c r="T2521" s="7">
        <f t="shared" si="45"/>
        <v>500</v>
      </c>
      <c r="U2521" s="257"/>
      <c r="V2521" s="204">
        <v>120</v>
      </c>
      <c r="W2521" s="760">
        <f t="shared" si="46"/>
        <v>0.40134099616858243</v>
      </c>
    </row>
    <row r="2522" spans="1:23" s="7" customFormat="1" ht="18" customHeight="1">
      <c r="B2522" s="11" t="s">
        <v>251</v>
      </c>
      <c r="C2522" s="6" t="s">
        <v>3403</v>
      </c>
      <c r="D2522" s="12" t="s">
        <v>2017</v>
      </c>
      <c r="E2522" s="78" t="s">
        <v>3407</v>
      </c>
      <c r="F2522" s="22"/>
      <c r="G2522" s="20" t="s">
        <v>3094</v>
      </c>
      <c r="H2522" s="103"/>
      <c r="I2522" s="104"/>
      <c r="J2522" s="8">
        <v>2</v>
      </c>
      <c r="K2522" s="36">
        <f t="shared" si="41"/>
        <v>3.17</v>
      </c>
      <c r="L2522" s="36">
        <f t="shared" si="42"/>
        <v>6.34</v>
      </c>
      <c r="M2522" s="112" t="s">
        <v>271</v>
      </c>
      <c r="N2522" s="130"/>
      <c r="O2522" s="30"/>
      <c r="P2522" s="260" t="e">
        <f t="shared" si="43"/>
        <v>#N/A</v>
      </c>
      <c r="Q2522" s="232">
        <v>2.72</v>
      </c>
      <c r="R2522" s="232">
        <f t="shared" si="44"/>
        <v>5.44</v>
      </c>
      <c r="S2522" s="7">
        <v>228</v>
      </c>
      <c r="T2522" s="7">
        <f t="shared" si="45"/>
        <v>456</v>
      </c>
      <c r="U2522" s="257"/>
      <c r="V2522" s="204">
        <v>120</v>
      </c>
      <c r="W2522" s="760">
        <f t="shared" si="46"/>
        <v>0.40063091482649837</v>
      </c>
    </row>
    <row r="2523" spans="1:23" s="7" customFormat="1" ht="18" customHeight="1">
      <c r="B2523" s="11" t="s">
        <v>251</v>
      </c>
      <c r="C2523" s="6" t="s">
        <v>3403</v>
      </c>
      <c r="D2523" s="12" t="s">
        <v>2017</v>
      </c>
      <c r="E2523" s="78" t="s">
        <v>3408</v>
      </c>
      <c r="F2523" s="22"/>
      <c r="G2523" s="20" t="s">
        <v>3094</v>
      </c>
      <c r="H2523" s="103"/>
      <c r="I2523" s="104"/>
      <c r="J2523" s="8">
        <v>2</v>
      </c>
      <c r="K2523" s="36">
        <f t="shared" si="41"/>
        <v>1.62</v>
      </c>
      <c r="L2523" s="36">
        <f t="shared" si="42"/>
        <v>3.24</v>
      </c>
      <c r="M2523" s="112" t="s">
        <v>271</v>
      </c>
      <c r="N2523" s="130"/>
      <c r="O2523" s="30"/>
      <c r="P2523" s="260" t="e">
        <f t="shared" si="43"/>
        <v>#N/A</v>
      </c>
      <c r="Q2523" s="232">
        <v>1.39</v>
      </c>
      <c r="R2523" s="232">
        <f t="shared" si="44"/>
        <v>2.78</v>
      </c>
      <c r="S2523" s="7">
        <v>116</v>
      </c>
      <c r="T2523" s="7">
        <f t="shared" si="45"/>
        <v>232</v>
      </c>
      <c r="U2523" s="257"/>
      <c r="V2523" s="204">
        <v>120</v>
      </c>
      <c r="W2523" s="760">
        <f t="shared" si="46"/>
        <v>0.40329218106995884</v>
      </c>
    </row>
    <row r="2524" spans="1:23" s="7" customFormat="1" ht="18" customHeight="1">
      <c r="B2524" s="11" t="s">
        <v>251</v>
      </c>
      <c r="C2524" s="6" t="s">
        <v>3403</v>
      </c>
      <c r="D2524" s="12" t="s">
        <v>2017</v>
      </c>
      <c r="E2524" s="78" t="s">
        <v>3409</v>
      </c>
      <c r="F2524" s="22"/>
      <c r="G2524" s="20" t="s">
        <v>3094</v>
      </c>
      <c r="H2524" s="103"/>
      <c r="I2524" s="104"/>
      <c r="J2524" s="8">
        <v>2</v>
      </c>
      <c r="K2524" s="36">
        <f t="shared" si="41"/>
        <v>1.07</v>
      </c>
      <c r="L2524" s="36">
        <f t="shared" si="42"/>
        <v>2.14</v>
      </c>
      <c r="M2524" s="112" t="s">
        <v>271</v>
      </c>
      <c r="N2524" s="130"/>
      <c r="O2524" s="30"/>
      <c r="P2524" s="260" t="e">
        <f t="shared" si="43"/>
        <v>#N/A</v>
      </c>
      <c r="Q2524" s="232">
        <v>0.92</v>
      </c>
      <c r="R2524" s="232">
        <f t="shared" si="44"/>
        <v>1.84</v>
      </c>
      <c r="S2524" s="7">
        <v>77</v>
      </c>
      <c r="T2524" s="7">
        <f t="shared" si="45"/>
        <v>154</v>
      </c>
      <c r="U2524" s="257"/>
      <c r="V2524" s="204">
        <v>120</v>
      </c>
      <c r="W2524" s="760">
        <f t="shared" si="46"/>
        <v>0.40031152647975082</v>
      </c>
    </row>
    <row r="2525" spans="1:23" s="7" customFormat="1" ht="18" customHeight="1">
      <c r="B2525" s="11" t="s">
        <v>251</v>
      </c>
      <c r="C2525" s="6" t="s">
        <v>3403</v>
      </c>
      <c r="D2525" s="12" t="s">
        <v>2017</v>
      </c>
      <c r="E2525" s="78" t="s">
        <v>3410</v>
      </c>
      <c r="F2525" s="22"/>
      <c r="G2525" s="20" t="s">
        <v>3094</v>
      </c>
      <c r="H2525" s="103"/>
      <c r="I2525" s="104"/>
      <c r="J2525" s="8">
        <v>2</v>
      </c>
      <c r="K2525" s="36">
        <f t="shared" si="41"/>
        <v>4.49</v>
      </c>
      <c r="L2525" s="36">
        <f t="shared" si="42"/>
        <v>8.98</v>
      </c>
      <c r="M2525" s="112" t="s">
        <v>271</v>
      </c>
      <c r="N2525" s="130"/>
      <c r="O2525" s="30"/>
      <c r="P2525" s="260" t="e">
        <f t="shared" si="43"/>
        <v>#N/A</v>
      </c>
      <c r="Q2525" s="232">
        <v>3.85</v>
      </c>
      <c r="R2525" s="232">
        <f t="shared" si="44"/>
        <v>7.7</v>
      </c>
      <c r="S2525" s="7">
        <v>323</v>
      </c>
      <c r="T2525" s="7">
        <f t="shared" si="45"/>
        <v>646</v>
      </c>
      <c r="U2525" s="257"/>
      <c r="V2525" s="204">
        <v>120</v>
      </c>
      <c r="W2525" s="760">
        <f t="shared" si="46"/>
        <v>0.40051967334818123</v>
      </c>
    </row>
    <row r="2526" spans="1:23" s="7" customFormat="1" ht="18" customHeight="1">
      <c r="B2526" s="11" t="s">
        <v>251</v>
      </c>
      <c r="C2526" s="6" t="s">
        <v>3403</v>
      </c>
      <c r="D2526" s="12" t="s">
        <v>2017</v>
      </c>
      <c r="E2526" s="78" t="s">
        <v>3411</v>
      </c>
      <c r="F2526" s="22"/>
      <c r="G2526" s="20" t="s">
        <v>3094</v>
      </c>
      <c r="H2526" s="103"/>
      <c r="I2526" s="104"/>
      <c r="J2526" s="8">
        <v>2</v>
      </c>
      <c r="K2526" s="36">
        <f t="shared" si="41"/>
        <v>5.77</v>
      </c>
      <c r="L2526" s="36">
        <f t="shared" si="42"/>
        <v>11.54</v>
      </c>
      <c r="M2526" s="112" t="s">
        <v>271</v>
      </c>
      <c r="N2526" s="130"/>
      <c r="O2526" s="30"/>
      <c r="P2526" s="260" t="e">
        <f t="shared" si="43"/>
        <v>#N/A</v>
      </c>
      <c r="Q2526" s="232">
        <v>4.95</v>
      </c>
      <c r="R2526" s="232">
        <f t="shared" si="44"/>
        <v>9.9</v>
      </c>
      <c r="S2526" s="7">
        <v>415</v>
      </c>
      <c r="T2526" s="7">
        <f t="shared" si="45"/>
        <v>830</v>
      </c>
      <c r="U2526" s="257"/>
      <c r="V2526" s="204">
        <v>120</v>
      </c>
      <c r="W2526" s="760">
        <f t="shared" si="46"/>
        <v>0.40063547082611206</v>
      </c>
    </row>
    <row r="2527" spans="1:23" s="7" customFormat="1" ht="18" customHeight="1">
      <c r="B2527" s="11" t="s">
        <v>251</v>
      </c>
      <c r="C2527" s="6" t="s">
        <v>3403</v>
      </c>
      <c r="D2527" s="12" t="s">
        <v>2017</v>
      </c>
      <c r="E2527" s="78" t="s">
        <v>3412</v>
      </c>
      <c r="F2527" s="22"/>
      <c r="G2527" s="20" t="s">
        <v>3094</v>
      </c>
      <c r="H2527" s="103"/>
      <c r="I2527" s="104"/>
      <c r="J2527" s="8">
        <v>2</v>
      </c>
      <c r="K2527" s="36">
        <f t="shared" si="41"/>
        <v>2.2999999999999998</v>
      </c>
      <c r="L2527" s="36">
        <f t="shared" si="42"/>
        <v>4.5999999999999996</v>
      </c>
      <c r="M2527" s="112" t="s">
        <v>271</v>
      </c>
      <c r="N2527" s="130"/>
      <c r="O2527" s="30"/>
      <c r="P2527" s="260" t="e">
        <f t="shared" si="43"/>
        <v>#N/A</v>
      </c>
      <c r="Q2527" s="232">
        <v>1.97</v>
      </c>
      <c r="R2527" s="232">
        <f t="shared" si="44"/>
        <v>3.94</v>
      </c>
      <c r="S2527" s="7">
        <v>165</v>
      </c>
      <c r="T2527" s="7">
        <f t="shared" si="45"/>
        <v>330</v>
      </c>
      <c r="U2527" s="257"/>
      <c r="V2527" s="204">
        <v>120</v>
      </c>
      <c r="W2527" s="760">
        <f t="shared" si="46"/>
        <v>0.40217391304347827</v>
      </c>
    </row>
    <row r="2528" spans="1:23" s="7" customFormat="1" ht="18" customHeight="1">
      <c r="B2528" s="11"/>
      <c r="C2528" s="6" t="s">
        <v>3403</v>
      </c>
      <c r="D2528" s="12" t="s">
        <v>2017</v>
      </c>
      <c r="E2528" s="17" t="s">
        <v>3431</v>
      </c>
      <c r="F2528" s="22"/>
      <c r="G2528" s="20"/>
      <c r="H2528" s="57"/>
      <c r="I2528" s="58"/>
      <c r="J2528" s="57"/>
      <c r="K2528" s="14"/>
      <c r="L2528" s="126"/>
      <c r="M2528" s="31"/>
      <c r="N2528" s="31"/>
      <c r="O2528" s="30"/>
      <c r="P2528" s="6" t="s">
        <v>3</v>
      </c>
      <c r="Q2528" s="249"/>
      <c r="S2528" s="962"/>
      <c r="U2528" s="115"/>
      <c r="V2528" s="204">
        <v>120</v>
      </c>
    </row>
    <row r="2529" spans="2:23" s="7" customFormat="1" ht="18" customHeight="1">
      <c r="B2529" s="11" t="s">
        <v>251</v>
      </c>
      <c r="C2529" s="6" t="s">
        <v>3403</v>
      </c>
      <c r="D2529" s="12" t="s">
        <v>2017</v>
      </c>
      <c r="E2529" s="78" t="s">
        <v>3413</v>
      </c>
      <c r="F2529" s="22"/>
      <c r="G2529" s="20" t="s">
        <v>3094</v>
      </c>
      <c r="H2529" s="103"/>
      <c r="I2529" s="104"/>
      <c r="J2529" s="8">
        <v>2</v>
      </c>
      <c r="K2529" s="36">
        <f>ROUNDUP(S2529/0.6/120,2)</f>
        <v>6.31</v>
      </c>
      <c r="L2529" s="36">
        <f t="shared" si="42"/>
        <v>12.62</v>
      </c>
      <c r="M2529" s="112" t="s">
        <v>271</v>
      </c>
      <c r="N2529" s="130"/>
      <c r="O2529" s="30"/>
      <c r="P2529" s="260" t="e">
        <f t="shared" si="43"/>
        <v>#N/A</v>
      </c>
      <c r="Q2529" s="232">
        <v>5.41</v>
      </c>
      <c r="R2529" s="232">
        <f t="shared" si="44"/>
        <v>10.82</v>
      </c>
      <c r="S2529" s="7">
        <v>454</v>
      </c>
      <c r="T2529" s="7">
        <f t="shared" si="45"/>
        <v>908</v>
      </c>
      <c r="U2529" s="257"/>
      <c r="V2529" s="204">
        <v>120</v>
      </c>
      <c r="W2529" s="760">
        <f t="shared" si="46"/>
        <v>0.40042260961436865</v>
      </c>
    </row>
    <row r="2530" spans="2:23" s="7" customFormat="1" ht="18" customHeight="1">
      <c r="B2530" s="11"/>
      <c r="C2530" s="6" t="s">
        <v>3403</v>
      </c>
      <c r="D2530" s="12" t="s">
        <v>2017</v>
      </c>
      <c r="E2530" s="17" t="s">
        <v>1955</v>
      </c>
      <c r="F2530" s="22"/>
      <c r="G2530" s="20"/>
      <c r="H2530" s="57"/>
      <c r="I2530" s="58"/>
      <c r="J2530" s="57"/>
      <c r="K2530" s="36"/>
      <c r="L2530" s="126"/>
      <c r="M2530" s="31"/>
      <c r="N2530" s="31"/>
      <c r="O2530" s="30"/>
      <c r="P2530" s="6" t="s">
        <v>3</v>
      </c>
      <c r="Q2530" s="249"/>
      <c r="S2530" s="962"/>
      <c r="U2530" s="115"/>
      <c r="V2530" s="204">
        <v>120</v>
      </c>
    </row>
    <row r="2531" spans="2:23" s="7" customFormat="1" ht="18" customHeight="1">
      <c r="B2531" s="11" t="s">
        <v>251</v>
      </c>
      <c r="C2531" s="6" t="s">
        <v>3403</v>
      </c>
      <c r="D2531" s="12" t="s">
        <v>2017</v>
      </c>
      <c r="E2531" s="78" t="s">
        <v>3414</v>
      </c>
      <c r="F2531" s="22"/>
      <c r="G2531" s="20" t="s">
        <v>3094</v>
      </c>
      <c r="H2531" s="103"/>
      <c r="I2531" s="104"/>
      <c r="J2531" s="8">
        <v>2</v>
      </c>
      <c r="K2531" s="36">
        <f>ROUNDUP(S2531/0.6/120,2)</f>
        <v>1.37</v>
      </c>
      <c r="L2531" s="36">
        <f t="shared" si="42"/>
        <v>2.74</v>
      </c>
      <c r="M2531" s="112" t="s">
        <v>271</v>
      </c>
      <c r="N2531" s="130"/>
      <c r="O2531" s="30"/>
      <c r="P2531" s="260" t="e">
        <f t="shared" si="43"/>
        <v>#N/A</v>
      </c>
      <c r="Q2531" s="232">
        <v>1.17</v>
      </c>
      <c r="R2531" s="232">
        <f t="shared" si="44"/>
        <v>2.34</v>
      </c>
      <c r="S2531" s="7">
        <v>98</v>
      </c>
      <c r="T2531" s="7">
        <f t="shared" si="45"/>
        <v>196</v>
      </c>
      <c r="U2531" s="257"/>
      <c r="V2531" s="204">
        <v>120</v>
      </c>
      <c r="W2531" s="760">
        <f t="shared" si="46"/>
        <v>0.40389294403892945</v>
      </c>
    </row>
    <row r="2532" spans="2:23" s="7" customFormat="1" ht="18" customHeight="1">
      <c r="B2532" s="11" t="s">
        <v>251</v>
      </c>
      <c r="C2532" s="6" t="s">
        <v>3403</v>
      </c>
      <c r="D2532" s="12" t="s">
        <v>2017</v>
      </c>
      <c r="E2532" s="78" t="s">
        <v>3415</v>
      </c>
      <c r="F2532" s="22"/>
      <c r="G2532" s="20" t="s">
        <v>3094</v>
      </c>
      <c r="H2532" s="103"/>
      <c r="I2532" s="104"/>
      <c r="J2532" s="8">
        <v>2</v>
      </c>
      <c r="K2532" s="36">
        <f>ROUNDUP(S2532/0.6/120,2)</f>
        <v>2.7699999999999996</v>
      </c>
      <c r="L2532" s="36">
        <f t="shared" si="42"/>
        <v>5.5399999999999991</v>
      </c>
      <c r="M2532" s="112" t="s">
        <v>271</v>
      </c>
      <c r="N2532" s="130"/>
      <c r="O2532" s="30"/>
      <c r="P2532" s="260" t="e">
        <f t="shared" si="43"/>
        <v>#N/A</v>
      </c>
      <c r="Q2532" s="232">
        <v>2.37</v>
      </c>
      <c r="R2532" s="232">
        <f t="shared" si="44"/>
        <v>4.74</v>
      </c>
      <c r="S2532" s="7">
        <v>199</v>
      </c>
      <c r="T2532" s="7">
        <f t="shared" si="45"/>
        <v>398</v>
      </c>
      <c r="U2532" s="257"/>
      <c r="V2532" s="204">
        <v>120</v>
      </c>
      <c r="W2532" s="760">
        <f t="shared" si="46"/>
        <v>0.40132370637785797</v>
      </c>
    </row>
    <row r="2533" spans="2:23" s="7" customFormat="1" ht="18" customHeight="1">
      <c r="B2533" s="11"/>
      <c r="C2533" s="6" t="s">
        <v>3403</v>
      </c>
      <c r="D2533" s="12" t="s">
        <v>2017</v>
      </c>
      <c r="E2533" s="17" t="s">
        <v>3442</v>
      </c>
      <c r="F2533" s="22"/>
      <c r="G2533" s="20"/>
      <c r="H2533" s="103"/>
      <c r="I2533" s="104"/>
      <c r="J2533" s="8"/>
      <c r="K2533" s="36"/>
      <c r="L2533" s="36"/>
      <c r="M2533" s="112"/>
      <c r="N2533" s="130"/>
      <c r="O2533" s="30"/>
      <c r="P2533" s="260"/>
      <c r="Q2533" s="232"/>
      <c r="R2533" s="232"/>
      <c r="U2533" s="257"/>
      <c r="V2533" s="204"/>
      <c r="W2533" s="760"/>
    </row>
    <row r="2534" spans="2:23" s="7" customFormat="1" ht="18" customHeight="1">
      <c r="B2534" s="11" t="s">
        <v>251</v>
      </c>
      <c r="C2534" s="6" t="s">
        <v>3403</v>
      </c>
      <c r="D2534" s="12" t="s">
        <v>2017</v>
      </c>
      <c r="E2534" s="78" t="s">
        <v>3440</v>
      </c>
      <c r="F2534" s="22"/>
      <c r="G2534" s="20" t="s">
        <v>3426</v>
      </c>
      <c r="H2534" s="103"/>
      <c r="I2534" s="104"/>
      <c r="J2534" s="8">
        <v>2</v>
      </c>
      <c r="K2534" s="36">
        <f>ROUNDUP(S2534/0.6/120,2)</f>
        <v>0</v>
      </c>
      <c r="L2534" s="36">
        <f t="shared" si="42"/>
        <v>0</v>
      </c>
      <c r="M2534" s="112" t="s">
        <v>271</v>
      </c>
      <c r="N2534" s="130"/>
      <c r="O2534" s="30"/>
      <c r="P2534" s="260" t="e">
        <f t="shared" si="43"/>
        <v>#N/A</v>
      </c>
      <c r="Q2534" s="232"/>
      <c r="R2534" s="232">
        <f t="shared" si="44"/>
        <v>0</v>
      </c>
      <c r="T2534" s="7">
        <f t="shared" si="45"/>
        <v>0</v>
      </c>
      <c r="U2534" s="257"/>
      <c r="V2534" s="204">
        <v>120</v>
      </c>
      <c r="W2534" s="760" t="e">
        <f t="shared" si="46"/>
        <v>#DIV/0!</v>
      </c>
    </row>
    <row r="2535" spans="2:23" s="7" customFormat="1" ht="18" customHeight="1">
      <c r="B2535" s="11"/>
      <c r="C2535" s="6" t="s">
        <v>3403</v>
      </c>
      <c r="D2535" s="12" t="s">
        <v>2017</v>
      </c>
      <c r="E2535" s="17" t="s">
        <v>3441</v>
      </c>
      <c r="F2535" s="22"/>
      <c r="G2535" s="20"/>
      <c r="H2535" s="103"/>
      <c r="I2535" s="104"/>
      <c r="J2535" s="8"/>
      <c r="K2535" s="36"/>
      <c r="L2535" s="36"/>
      <c r="M2535" s="112"/>
      <c r="N2535" s="130"/>
      <c r="O2535" s="30"/>
      <c r="P2535" s="260"/>
      <c r="Q2535" s="232"/>
      <c r="R2535" s="232"/>
      <c r="U2535" s="257"/>
      <c r="V2535" s="204"/>
      <c r="W2535" s="760"/>
    </row>
    <row r="2536" spans="2:23" s="7" customFormat="1" ht="18" customHeight="1">
      <c r="B2536" s="11" t="s">
        <v>251</v>
      </c>
      <c r="C2536" s="6" t="s">
        <v>3403</v>
      </c>
      <c r="D2536" s="12" t="s">
        <v>2017</v>
      </c>
      <c r="E2536" s="78" t="s">
        <v>3416</v>
      </c>
      <c r="F2536" s="22"/>
      <c r="G2536" s="20" t="s">
        <v>3426</v>
      </c>
      <c r="H2536" s="103"/>
      <c r="I2536" s="104"/>
      <c r="J2536" s="8">
        <v>2</v>
      </c>
      <c r="K2536" s="36">
        <f>ROUNDUP(S2536/0.6/120,2)</f>
        <v>0</v>
      </c>
      <c r="L2536" s="36">
        <f t="shared" si="42"/>
        <v>0</v>
      </c>
      <c r="M2536" s="112" t="s">
        <v>271</v>
      </c>
      <c r="N2536" s="130"/>
      <c r="O2536" s="30"/>
      <c r="P2536" s="260" t="e">
        <f t="shared" si="43"/>
        <v>#N/A</v>
      </c>
      <c r="Q2536" s="232"/>
      <c r="R2536" s="232">
        <f t="shared" si="44"/>
        <v>0</v>
      </c>
      <c r="T2536" s="7">
        <f t="shared" si="45"/>
        <v>0</v>
      </c>
      <c r="U2536" s="257"/>
      <c r="V2536" s="204">
        <v>120</v>
      </c>
      <c r="W2536" s="760" t="e">
        <f t="shared" si="46"/>
        <v>#DIV/0!</v>
      </c>
    </row>
    <row r="2537" spans="2:23" s="7" customFormat="1" ht="18" customHeight="1">
      <c r="B2537" s="11"/>
      <c r="C2537" s="6" t="s">
        <v>3403</v>
      </c>
      <c r="D2537" s="12" t="s">
        <v>2017</v>
      </c>
      <c r="E2537" s="17" t="s">
        <v>3438</v>
      </c>
      <c r="F2537" s="22"/>
      <c r="G2537" s="20"/>
      <c r="H2537" s="103"/>
      <c r="I2537" s="104"/>
      <c r="J2537" s="8"/>
      <c r="K2537" s="36"/>
      <c r="L2537" s="36"/>
      <c r="M2537" s="112"/>
      <c r="N2537" s="130"/>
      <c r="O2537" s="30"/>
      <c r="P2537" s="260"/>
      <c r="Q2537" s="232"/>
      <c r="R2537" s="232"/>
      <c r="U2537" s="257"/>
      <c r="V2537" s="204"/>
      <c r="W2537" s="760"/>
    </row>
    <row r="2538" spans="2:23" s="7" customFormat="1" ht="18" customHeight="1">
      <c r="B2538" s="11" t="s">
        <v>251</v>
      </c>
      <c r="C2538" s="6" t="s">
        <v>3403</v>
      </c>
      <c r="D2538" s="12" t="s">
        <v>2017</v>
      </c>
      <c r="E2538" s="78" t="s">
        <v>2024</v>
      </c>
      <c r="F2538" s="22"/>
      <c r="G2538" s="20" t="s">
        <v>3094</v>
      </c>
      <c r="H2538" s="103"/>
      <c r="I2538" s="104"/>
      <c r="J2538" s="8">
        <v>2</v>
      </c>
      <c r="K2538" s="36">
        <f>ROUNDUP(S2538/0.6/120,2)</f>
        <v>3.34</v>
      </c>
      <c r="L2538" s="36">
        <f t="shared" si="42"/>
        <v>6.68</v>
      </c>
      <c r="M2538" s="112" t="s">
        <v>271</v>
      </c>
      <c r="N2538" s="130"/>
      <c r="O2538" s="30"/>
      <c r="P2538" s="260" t="e">
        <f t="shared" si="43"/>
        <v>#N/A</v>
      </c>
      <c r="Q2538" s="232">
        <v>2.86</v>
      </c>
      <c r="R2538" s="232">
        <f t="shared" si="44"/>
        <v>5.72</v>
      </c>
      <c r="S2538" s="7">
        <v>240</v>
      </c>
      <c r="T2538" s="7">
        <f t="shared" si="45"/>
        <v>480</v>
      </c>
      <c r="U2538" s="257"/>
      <c r="V2538" s="204">
        <v>120</v>
      </c>
      <c r="W2538" s="760">
        <f t="shared" si="46"/>
        <v>0.4011976047904191</v>
      </c>
    </row>
    <row r="2539" spans="2:23" s="7" customFormat="1" ht="18" customHeight="1">
      <c r="B2539" s="11" t="s">
        <v>251</v>
      </c>
      <c r="C2539" s="6" t="s">
        <v>3403</v>
      </c>
      <c r="D2539" s="12" t="s">
        <v>2017</v>
      </c>
      <c r="E2539" s="78" t="s">
        <v>3444</v>
      </c>
      <c r="F2539" s="22"/>
      <c r="G2539" s="20" t="s">
        <v>3094</v>
      </c>
      <c r="H2539" s="103"/>
      <c r="I2539" s="104"/>
      <c r="J2539" s="8">
        <v>2</v>
      </c>
      <c r="K2539" s="36">
        <f>ROUNDUP(S2539/0.6/120,2)</f>
        <v>1.67</v>
      </c>
      <c r="L2539" s="36">
        <f t="shared" si="42"/>
        <v>3.34</v>
      </c>
      <c r="M2539" s="112" t="s">
        <v>271</v>
      </c>
      <c r="N2539" s="130"/>
      <c r="O2539" s="30"/>
      <c r="P2539" s="260" t="e">
        <f t="shared" si="43"/>
        <v>#N/A</v>
      </c>
      <c r="Q2539" s="232">
        <v>1.43</v>
      </c>
      <c r="R2539" s="232">
        <f t="shared" si="44"/>
        <v>2.86</v>
      </c>
      <c r="S2539" s="7">
        <v>120</v>
      </c>
      <c r="T2539" s="7">
        <f t="shared" si="45"/>
        <v>240</v>
      </c>
      <c r="U2539" s="257"/>
      <c r="V2539" s="204">
        <v>120</v>
      </c>
      <c r="W2539" s="760">
        <f t="shared" si="46"/>
        <v>0.4011976047904191</v>
      </c>
    </row>
    <row r="2540" spans="2:23" s="7" customFormat="1" ht="18" customHeight="1">
      <c r="B2540" s="11"/>
      <c r="C2540" s="6" t="s">
        <v>3403</v>
      </c>
      <c r="D2540" s="12" t="s">
        <v>2017</v>
      </c>
      <c r="E2540" s="17" t="s">
        <v>2019</v>
      </c>
      <c r="F2540" s="22"/>
      <c r="G2540" s="20"/>
      <c r="H2540" s="103"/>
      <c r="I2540" s="104"/>
      <c r="J2540" s="8"/>
      <c r="K2540" s="36"/>
      <c r="L2540" s="36"/>
      <c r="M2540" s="112"/>
      <c r="N2540" s="130"/>
      <c r="O2540" s="30"/>
      <c r="P2540" s="260"/>
      <c r="Q2540" s="232"/>
      <c r="R2540" s="232"/>
      <c r="U2540" s="257"/>
      <c r="V2540" s="204"/>
      <c r="W2540" s="760"/>
    </row>
    <row r="2541" spans="2:23" s="7" customFormat="1" ht="18" customHeight="1">
      <c r="B2541" s="11" t="s">
        <v>251</v>
      </c>
      <c r="C2541" s="6" t="s">
        <v>3403</v>
      </c>
      <c r="D2541" s="12" t="s">
        <v>2017</v>
      </c>
      <c r="E2541" s="78" t="s">
        <v>3349</v>
      </c>
      <c r="F2541" s="22"/>
      <c r="G2541" s="20" t="s">
        <v>3094</v>
      </c>
      <c r="H2541" s="103"/>
      <c r="I2541" s="104"/>
      <c r="J2541" s="8">
        <v>2</v>
      </c>
      <c r="K2541" s="36">
        <f>ROUNDUP(S2541/0.6/120,2)</f>
        <v>2.23</v>
      </c>
      <c r="L2541" s="36">
        <f t="shared" si="42"/>
        <v>4.46</v>
      </c>
      <c r="M2541" s="112" t="s">
        <v>271</v>
      </c>
      <c r="N2541" s="130"/>
      <c r="O2541" s="30"/>
      <c r="P2541" s="260" t="e">
        <f t="shared" si="43"/>
        <v>#N/A</v>
      </c>
      <c r="Q2541" s="232">
        <v>1.91</v>
      </c>
      <c r="R2541" s="232">
        <f t="shared" si="44"/>
        <v>3.82</v>
      </c>
      <c r="S2541" s="7">
        <v>160</v>
      </c>
      <c r="T2541" s="7">
        <f t="shared" si="45"/>
        <v>320</v>
      </c>
      <c r="U2541" s="257"/>
      <c r="V2541" s="204">
        <v>120</v>
      </c>
      <c r="W2541" s="760">
        <f t="shared" si="46"/>
        <v>0.40209267563527656</v>
      </c>
    </row>
    <row r="2542" spans="2:23" s="7" customFormat="1" ht="18" customHeight="1">
      <c r="B2542" s="11"/>
      <c r="C2542" s="6" t="s">
        <v>3403</v>
      </c>
      <c r="D2542" s="12" t="s">
        <v>2017</v>
      </c>
      <c r="E2542" s="17" t="s">
        <v>1955</v>
      </c>
      <c r="F2542" s="22"/>
      <c r="G2542" s="20"/>
      <c r="H2542" s="103"/>
      <c r="I2542" s="104"/>
      <c r="J2542" s="8"/>
      <c r="K2542" s="36"/>
      <c r="L2542" s="36"/>
      <c r="M2542" s="112"/>
      <c r="N2542" s="130"/>
      <c r="O2542" s="30"/>
      <c r="P2542" s="260"/>
      <c r="Q2542" s="232"/>
      <c r="R2542" s="232"/>
      <c r="U2542" s="257"/>
      <c r="V2542" s="204"/>
      <c r="W2542" s="760"/>
    </row>
    <row r="2543" spans="2:23" s="7" customFormat="1" ht="18" customHeight="1">
      <c r="B2543" s="11" t="s">
        <v>251</v>
      </c>
      <c r="C2543" s="6" t="s">
        <v>3403</v>
      </c>
      <c r="D2543" s="12" t="s">
        <v>2017</v>
      </c>
      <c r="E2543" s="78" t="s">
        <v>2853</v>
      </c>
      <c r="F2543" s="22"/>
      <c r="G2543" s="20" t="s">
        <v>3094</v>
      </c>
      <c r="H2543" s="103"/>
      <c r="I2543" s="104"/>
      <c r="J2543" s="8">
        <v>2</v>
      </c>
      <c r="K2543" s="36">
        <f>ROUNDUP(S2543/0.6/120,2)</f>
        <v>2.1599999999999997</v>
      </c>
      <c r="L2543" s="36">
        <f t="shared" si="42"/>
        <v>4.3199999999999994</v>
      </c>
      <c r="M2543" s="112" t="s">
        <v>271</v>
      </c>
      <c r="N2543" s="130"/>
      <c r="O2543" s="30"/>
      <c r="P2543" s="260" t="e">
        <f t="shared" si="43"/>
        <v>#N/A</v>
      </c>
      <c r="Q2543" s="232">
        <v>1.85</v>
      </c>
      <c r="R2543" s="232">
        <f t="shared" si="44"/>
        <v>3.7</v>
      </c>
      <c r="S2543" s="7">
        <v>155</v>
      </c>
      <c r="T2543" s="7">
        <f t="shared" si="45"/>
        <v>310</v>
      </c>
      <c r="U2543" s="257"/>
      <c r="V2543" s="204">
        <v>120</v>
      </c>
      <c r="W2543" s="760">
        <f t="shared" si="46"/>
        <v>0.40200617283950613</v>
      </c>
    </row>
    <row r="2544" spans="2:23" s="7" customFormat="1" ht="18" customHeight="1">
      <c r="B2544" s="11" t="s">
        <v>251</v>
      </c>
      <c r="C2544" s="6" t="s">
        <v>3403</v>
      </c>
      <c r="D2544" s="12" t="s">
        <v>2017</v>
      </c>
      <c r="E2544" s="78" t="s">
        <v>3447</v>
      </c>
      <c r="F2544" s="22"/>
      <c r="G2544" s="20" t="s">
        <v>3094</v>
      </c>
      <c r="H2544" s="103"/>
      <c r="I2544" s="104"/>
      <c r="J2544" s="8">
        <v>2</v>
      </c>
      <c r="K2544" s="36">
        <f>ROUNDUP(S2544/0.6/120,2)</f>
        <v>2.3699999999999997</v>
      </c>
      <c r="L2544" s="36">
        <f t="shared" si="42"/>
        <v>4.7399999999999993</v>
      </c>
      <c r="M2544" s="112" t="s">
        <v>271</v>
      </c>
      <c r="N2544" s="130"/>
      <c r="O2544" s="30"/>
      <c r="P2544" s="260" t="e">
        <f t="shared" si="43"/>
        <v>#N/A</v>
      </c>
      <c r="Q2544" s="232">
        <v>2.0299999999999998</v>
      </c>
      <c r="R2544" s="232">
        <f t="shared" si="44"/>
        <v>4.0599999999999996</v>
      </c>
      <c r="S2544" s="7">
        <v>170</v>
      </c>
      <c r="T2544" s="7">
        <f t="shared" si="45"/>
        <v>340</v>
      </c>
      <c r="U2544" s="257"/>
      <c r="V2544" s="204">
        <v>120</v>
      </c>
      <c r="W2544" s="760">
        <f t="shared" si="46"/>
        <v>0.40225035161744016</v>
      </c>
    </row>
    <row r="2545" spans="2:23" s="7" customFormat="1" ht="18" customHeight="1">
      <c r="B2545" s="11"/>
      <c r="C2545" s="6" t="s">
        <v>3403</v>
      </c>
      <c r="D2545" s="12" t="s">
        <v>2017</v>
      </c>
      <c r="E2545" s="17" t="s">
        <v>3439</v>
      </c>
      <c r="F2545" s="22"/>
      <c r="G2545" s="20"/>
      <c r="H2545" s="103"/>
      <c r="I2545" s="104"/>
      <c r="J2545" s="8"/>
      <c r="K2545" s="36"/>
      <c r="L2545" s="36"/>
      <c r="M2545" s="112"/>
      <c r="N2545" s="130"/>
      <c r="O2545" s="30"/>
      <c r="P2545" s="260"/>
      <c r="Q2545" s="232"/>
      <c r="R2545" s="232"/>
      <c r="U2545" s="257"/>
      <c r="V2545" s="204"/>
      <c r="W2545" s="760"/>
    </row>
    <row r="2546" spans="2:23" s="7" customFormat="1" ht="18" customHeight="1">
      <c r="B2546" s="11" t="s">
        <v>251</v>
      </c>
      <c r="C2546" s="6" t="s">
        <v>3403</v>
      </c>
      <c r="D2546" s="12" t="s">
        <v>2017</v>
      </c>
      <c r="E2546" s="78" t="s">
        <v>3417</v>
      </c>
      <c r="F2546" s="22"/>
      <c r="G2546" s="20" t="s">
        <v>3094</v>
      </c>
      <c r="H2546" s="103"/>
      <c r="I2546" s="104"/>
      <c r="J2546" s="8">
        <v>2</v>
      </c>
      <c r="K2546" s="36">
        <f>ROUNDUP(S2546/0.6/120,2)</f>
        <v>0</v>
      </c>
      <c r="L2546" s="36">
        <f t="shared" ref="L2546:L2566" si="47">K2546*J2546</f>
        <v>0</v>
      </c>
      <c r="M2546" s="112" t="s">
        <v>271</v>
      </c>
      <c r="N2546" s="130"/>
      <c r="O2546" s="30"/>
      <c r="P2546" s="260" t="e">
        <f t="shared" ref="P2546:P2565" si="48">ROUNDUP(S2546/V2546/VLOOKUP(B2546,$C$2:$F$6,3,FALSE),2)</f>
        <v>#N/A</v>
      </c>
      <c r="Q2546" s="232"/>
      <c r="R2546" s="232">
        <f t="shared" ref="R2546:R2566" si="49">Q2546*J2546</f>
        <v>0</v>
      </c>
      <c r="T2546" s="7">
        <f t="shared" ref="T2546:T2566" si="50">S2546*J2546</f>
        <v>0</v>
      </c>
      <c r="U2546" s="257"/>
      <c r="V2546" s="204">
        <v>120</v>
      </c>
      <c r="W2546" s="760" t="e">
        <f t="shared" ref="W2546:W2566" si="51">(((K2546*V2546)-S2546)/(K2546*V2546))</f>
        <v>#DIV/0!</v>
      </c>
    </row>
    <row r="2547" spans="2:23" s="7" customFormat="1" ht="18" customHeight="1">
      <c r="B2547" s="11"/>
      <c r="C2547" s="6" t="s">
        <v>3403</v>
      </c>
      <c r="D2547" s="12" t="s">
        <v>2017</v>
      </c>
      <c r="E2547" s="17" t="s">
        <v>1955</v>
      </c>
      <c r="F2547" s="22"/>
      <c r="G2547" s="20"/>
      <c r="H2547" s="57"/>
      <c r="I2547" s="58"/>
      <c r="J2547" s="57"/>
      <c r="K2547" s="14"/>
      <c r="L2547" s="126"/>
      <c r="M2547" s="31"/>
      <c r="N2547" s="31"/>
      <c r="O2547" s="30"/>
      <c r="P2547" s="6" t="s">
        <v>3</v>
      </c>
      <c r="Q2547" s="249"/>
      <c r="S2547" s="962"/>
      <c r="U2547" s="115"/>
      <c r="V2547" s="204">
        <v>120</v>
      </c>
    </row>
    <row r="2548" spans="2:23" s="7" customFormat="1" ht="18" customHeight="1">
      <c r="B2548" s="11" t="s">
        <v>251</v>
      </c>
      <c r="C2548" s="6" t="s">
        <v>3403</v>
      </c>
      <c r="D2548" s="12" t="s">
        <v>2017</v>
      </c>
      <c r="E2548" s="78" t="s">
        <v>3418</v>
      </c>
      <c r="F2548" s="22"/>
      <c r="G2548" s="20" t="s">
        <v>3094</v>
      </c>
      <c r="H2548" s="103"/>
      <c r="I2548" s="104"/>
      <c r="J2548" s="8">
        <v>2</v>
      </c>
      <c r="K2548" s="36">
        <f>ROUNDUP(S2548/0.6/120,2)</f>
        <v>2.59</v>
      </c>
      <c r="L2548" s="36">
        <f t="shared" si="47"/>
        <v>5.18</v>
      </c>
      <c r="M2548" s="112" t="s">
        <v>271</v>
      </c>
      <c r="N2548" s="130"/>
      <c r="O2548" s="30"/>
      <c r="P2548" s="260" t="e">
        <f t="shared" si="48"/>
        <v>#N/A</v>
      </c>
      <c r="Q2548" s="232">
        <v>2.2200000000000002</v>
      </c>
      <c r="R2548" s="232">
        <f t="shared" si="49"/>
        <v>4.4400000000000004</v>
      </c>
      <c r="S2548" s="7">
        <v>186</v>
      </c>
      <c r="T2548" s="7">
        <f t="shared" si="50"/>
        <v>372</v>
      </c>
      <c r="U2548" s="257"/>
      <c r="V2548" s="204">
        <v>120</v>
      </c>
      <c r="W2548" s="760">
        <f t="shared" si="51"/>
        <v>0.40154440154440146</v>
      </c>
    </row>
    <row r="2549" spans="2:23" s="7" customFormat="1" ht="18" customHeight="1">
      <c r="B2549" s="11" t="s">
        <v>251</v>
      </c>
      <c r="C2549" s="6" t="s">
        <v>3403</v>
      </c>
      <c r="D2549" s="12" t="s">
        <v>2017</v>
      </c>
      <c r="E2549" s="78" t="s">
        <v>3419</v>
      </c>
      <c r="F2549" s="22"/>
      <c r="G2549" s="20" t="s">
        <v>3094</v>
      </c>
      <c r="H2549" s="103"/>
      <c r="I2549" s="104"/>
      <c r="J2549" s="8">
        <v>2</v>
      </c>
      <c r="K2549" s="36">
        <f>ROUNDUP(S2549/0.6/120,2)</f>
        <v>1.98</v>
      </c>
      <c r="L2549" s="36">
        <f t="shared" si="47"/>
        <v>3.96</v>
      </c>
      <c r="M2549" s="112" t="s">
        <v>271</v>
      </c>
      <c r="N2549" s="130"/>
      <c r="O2549" s="30"/>
      <c r="P2549" s="260" t="e">
        <f t="shared" si="48"/>
        <v>#N/A</v>
      </c>
      <c r="Q2549" s="232">
        <v>1.7</v>
      </c>
      <c r="R2549" s="232">
        <f t="shared" si="49"/>
        <v>3.4</v>
      </c>
      <c r="S2549" s="7">
        <v>142</v>
      </c>
      <c r="T2549" s="7">
        <f t="shared" si="50"/>
        <v>284</v>
      </c>
      <c r="U2549" s="257"/>
      <c r="V2549" s="204">
        <v>120</v>
      </c>
      <c r="W2549" s="760">
        <f t="shared" si="51"/>
        <v>0.40235690235690236</v>
      </c>
    </row>
    <row r="2550" spans="2:23" s="7" customFormat="1" ht="18" customHeight="1">
      <c r="B2550" s="11"/>
      <c r="C2550" s="6" t="s">
        <v>3403</v>
      </c>
      <c r="D2550" s="12" t="s">
        <v>2017</v>
      </c>
      <c r="E2550" s="17" t="s">
        <v>3432</v>
      </c>
      <c r="F2550" s="22"/>
      <c r="G2550" s="20"/>
      <c r="H2550" s="57"/>
      <c r="I2550" s="58"/>
      <c r="J2550" s="57"/>
      <c r="K2550" s="14"/>
      <c r="L2550" s="126"/>
      <c r="M2550" s="31"/>
      <c r="N2550" s="31"/>
      <c r="O2550" s="30"/>
      <c r="P2550" s="6" t="s">
        <v>3</v>
      </c>
      <c r="Q2550" s="249"/>
      <c r="S2550" s="962"/>
      <c r="U2550" s="115"/>
      <c r="V2550" s="204">
        <v>120</v>
      </c>
    </row>
    <row r="2551" spans="2:23" s="7" customFormat="1" ht="18" customHeight="1">
      <c r="B2551" s="11" t="s">
        <v>251</v>
      </c>
      <c r="C2551" s="6" t="s">
        <v>3403</v>
      </c>
      <c r="D2551" s="12" t="s">
        <v>2017</v>
      </c>
      <c r="E2551" s="78" t="s">
        <v>3420</v>
      </c>
      <c r="F2551" s="22"/>
      <c r="G2551" s="20" t="s">
        <v>3094</v>
      </c>
      <c r="H2551" s="103"/>
      <c r="I2551" s="104"/>
      <c r="J2551" s="8">
        <v>2</v>
      </c>
      <c r="K2551" s="36">
        <f>ROUNDUP(S2551/0.6/120,2)</f>
        <v>2.6199999999999997</v>
      </c>
      <c r="L2551" s="36">
        <f t="shared" si="47"/>
        <v>5.2399999999999993</v>
      </c>
      <c r="M2551" s="112" t="s">
        <v>271</v>
      </c>
      <c r="N2551" s="130"/>
      <c r="O2551" s="30"/>
      <c r="P2551" s="260" t="e">
        <f t="shared" si="48"/>
        <v>#N/A</v>
      </c>
      <c r="Q2551" s="232">
        <v>2.2400000000000002</v>
      </c>
      <c r="R2551" s="232">
        <f t="shared" si="49"/>
        <v>4.4800000000000004</v>
      </c>
      <c r="S2551" s="7">
        <v>188</v>
      </c>
      <c r="T2551" s="7">
        <f t="shared" si="50"/>
        <v>376</v>
      </c>
      <c r="U2551" s="257"/>
      <c r="V2551" s="204">
        <v>120</v>
      </c>
      <c r="W2551" s="760">
        <f t="shared" si="51"/>
        <v>0.40203562340966914</v>
      </c>
    </row>
    <row r="2552" spans="2:23" s="7" customFormat="1" ht="18" customHeight="1">
      <c r="B2552" s="11"/>
      <c r="C2552" s="6" t="s">
        <v>3403</v>
      </c>
      <c r="D2552" s="12" t="s">
        <v>2017</v>
      </c>
      <c r="E2552" s="17" t="s">
        <v>3356</v>
      </c>
      <c r="F2552" s="22"/>
      <c r="G2552" s="20"/>
      <c r="H2552" s="103"/>
      <c r="I2552" s="104"/>
      <c r="J2552" s="8"/>
      <c r="K2552" s="36"/>
      <c r="L2552" s="36"/>
      <c r="M2552" s="112"/>
      <c r="N2552" s="31"/>
      <c r="O2552" s="30"/>
      <c r="P2552" s="260"/>
      <c r="Q2552" s="232"/>
      <c r="R2552" s="232"/>
      <c r="U2552" s="257"/>
      <c r="V2552" s="204"/>
      <c r="W2552" s="760"/>
    </row>
    <row r="2553" spans="2:23" s="7" customFormat="1" ht="18" customHeight="1">
      <c r="B2553" s="11" t="s">
        <v>251</v>
      </c>
      <c r="C2553" s="6" t="s">
        <v>3403</v>
      </c>
      <c r="D2553" s="12" t="s">
        <v>2017</v>
      </c>
      <c r="E2553" s="78" t="s">
        <v>3343</v>
      </c>
      <c r="F2553" s="22"/>
      <c r="G2553" s="20" t="s">
        <v>3094</v>
      </c>
      <c r="H2553" s="103"/>
      <c r="I2553" s="104"/>
      <c r="J2553" s="8">
        <v>2</v>
      </c>
      <c r="K2553" s="36">
        <f>ROUNDUP(S2553/0.6/120,2)</f>
        <v>1.17</v>
      </c>
      <c r="L2553" s="36">
        <f>K2553*J2553</f>
        <v>2.34</v>
      </c>
      <c r="M2553" s="112" t="s">
        <v>271</v>
      </c>
      <c r="N2553" s="130"/>
      <c r="O2553" s="30"/>
      <c r="P2553" s="260" t="e">
        <f>ROUNDUP(S2553/V2553/VLOOKUP(B2553,$C$2:$F$6,3,FALSE),2)</f>
        <v>#N/A</v>
      </c>
      <c r="Q2553" s="232">
        <v>1</v>
      </c>
      <c r="R2553" s="232">
        <f>Q2553*J2553</f>
        <v>2</v>
      </c>
      <c r="S2553" s="7">
        <v>84</v>
      </c>
      <c r="T2553" s="7">
        <f>S2553*J2553</f>
        <v>168</v>
      </c>
      <c r="U2553" s="257"/>
      <c r="V2553" s="204">
        <v>120</v>
      </c>
      <c r="W2553" s="760">
        <f>(((K2553*V2553)-S2553)/(K2553*V2553))</f>
        <v>0.40170940170940161</v>
      </c>
    </row>
    <row r="2554" spans="2:23" s="7" customFormat="1" ht="18" customHeight="1">
      <c r="B2554" s="11"/>
      <c r="C2554" s="6" t="s">
        <v>3403</v>
      </c>
      <c r="D2554" s="12" t="s">
        <v>2017</v>
      </c>
      <c r="E2554" s="17" t="s">
        <v>1955</v>
      </c>
      <c r="F2554" s="22"/>
      <c r="G2554" s="20"/>
      <c r="H2554" s="57"/>
      <c r="I2554" s="58"/>
      <c r="J2554" s="57"/>
      <c r="K2554" s="14"/>
      <c r="L2554" s="126"/>
      <c r="M2554" s="31"/>
      <c r="N2554" s="31"/>
      <c r="O2554" s="30"/>
      <c r="P2554" s="6" t="s">
        <v>3</v>
      </c>
      <c r="Q2554" s="249"/>
      <c r="S2554" s="962"/>
      <c r="U2554" s="115"/>
      <c r="V2554" s="204">
        <v>120</v>
      </c>
    </row>
    <row r="2555" spans="2:23" s="7" customFormat="1" ht="18" customHeight="1">
      <c r="B2555" s="11" t="s">
        <v>251</v>
      </c>
      <c r="C2555" s="6" t="s">
        <v>3403</v>
      </c>
      <c r="D2555" s="12" t="s">
        <v>2017</v>
      </c>
      <c r="E2555" s="78" t="s">
        <v>3421</v>
      </c>
      <c r="F2555" s="22"/>
      <c r="G2555" s="20" t="s">
        <v>3094</v>
      </c>
      <c r="H2555" s="103"/>
      <c r="I2555" s="104"/>
      <c r="J2555" s="8">
        <v>2</v>
      </c>
      <c r="K2555" s="36">
        <f>ROUNDUP(S2555/0.6/120,2)</f>
        <v>0.91</v>
      </c>
      <c r="L2555" s="36">
        <f t="shared" si="47"/>
        <v>1.82</v>
      </c>
      <c r="M2555" s="112" t="s">
        <v>271</v>
      </c>
      <c r="N2555" s="130"/>
      <c r="O2555" s="30"/>
      <c r="P2555" s="260" t="e">
        <f t="shared" si="48"/>
        <v>#N/A</v>
      </c>
      <c r="Q2555" s="232">
        <v>0.78</v>
      </c>
      <c r="R2555" s="232">
        <f t="shared" si="49"/>
        <v>1.56</v>
      </c>
      <c r="S2555" s="7">
        <v>65</v>
      </c>
      <c r="T2555" s="7">
        <f t="shared" si="50"/>
        <v>130</v>
      </c>
      <c r="U2555" s="257"/>
      <c r="V2555" s="204">
        <v>120</v>
      </c>
      <c r="W2555" s="760">
        <f t="shared" si="51"/>
        <v>0.40476190476190477</v>
      </c>
    </row>
    <row r="2556" spans="2:23" s="7" customFormat="1" ht="18" customHeight="1">
      <c r="B2556" s="11"/>
      <c r="C2556" s="6" t="s">
        <v>3403</v>
      </c>
      <c r="D2556" s="12" t="s">
        <v>2017</v>
      </c>
      <c r="E2556" s="17" t="s">
        <v>3433</v>
      </c>
      <c r="F2556" s="22"/>
      <c r="G2556" s="20"/>
      <c r="H2556" s="103"/>
      <c r="I2556" s="104"/>
      <c r="J2556" s="8"/>
      <c r="K2556" s="36"/>
      <c r="L2556" s="36"/>
      <c r="M2556" s="112"/>
      <c r="N2556" s="31"/>
      <c r="O2556" s="30"/>
      <c r="P2556" s="260"/>
      <c r="Q2556" s="232"/>
      <c r="R2556" s="232"/>
      <c r="U2556" s="257"/>
      <c r="V2556" s="204"/>
      <c r="W2556" s="760"/>
    </row>
    <row r="2557" spans="2:23" s="7" customFormat="1" ht="18" customHeight="1">
      <c r="B2557" s="11" t="s">
        <v>251</v>
      </c>
      <c r="C2557" s="6" t="s">
        <v>3403</v>
      </c>
      <c r="D2557" s="12" t="s">
        <v>2017</v>
      </c>
      <c r="E2557" s="78" t="s">
        <v>3422</v>
      </c>
      <c r="F2557" s="22"/>
      <c r="G2557" s="20" t="s">
        <v>3427</v>
      </c>
      <c r="H2557" s="103"/>
      <c r="I2557" s="104"/>
      <c r="J2557" s="8">
        <v>2</v>
      </c>
      <c r="K2557" s="36">
        <f>ROUNDUP(S2557/0.6/120,2)</f>
        <v>1.24</v>
      </c>
      <c r="L2557" s="36">
        <f t="shared" si="47"/>
        <v>2.48</v>
      </c>
      <c r="M2557" s="112" t="s">
        <v>271</v>
      </c>
      <c r="N2557" s="130"/>
      <c r="O2557" s="30"/>
      <c r="P2557" s="260" t="e">
        <f t="shared" si="48"/>
        <v>#N/A</v>
      </c>
      <c r="Q2557" s="232">
        <v>1.06</v>
      </c>
      <c r="R2557" s="232">
        <f t="shared" si="49"/>
        <v>2.12</v>
      </c>
      <c r="S2557" s="7">
        <v>89</v>
      </c>
      <c r="T2557" s="7">
        <f t="shared" si="50"/>
        <v>178</v>
      </c>
      <c r="U2557" s="257"/>
      <c r="V2557" s="204">
        <v>120</v>
      </c>
      <c r="W2557" s="760">
        <f t="shared" si="51"/>
        <v>0.40188172043010756</v>
      </c>
    </row>
    <row r="2558" spans="2:23" s="7" customFormat="1" ht="18" customHeight="1">
      <c r="B2558" s="11"/>
      <c r="C2558" s="6" t="s">
        <v>3403</v>
      </c>
      <c r="D2558" s="12" t="s">
        <v>2017</v>
      </c>
      <c r="E2558" s="17" t="s">
        <v>3434</v>
      </c>
      <c r="F2558" s="22"/>
      <c r="G2558" s="20"/>
      <c r="H2558" s="103"/>
      <c r="I2558" s="104"/>
      <c r="J2558" s="8"/>
      <c r="K2558" s="36"/>
      <c r="L2558" s="36"/>
      <c r="M2558" s="112"/>
      <c r="N2558" s="31"/>
      <c r="O2558" s="30"/>
      <c r="P2558" s="260"/>
      <c r="Q2558" s="232"/>
      <c r="R2558" s="232"/>
      <c r="U2558" s="257"/>
      <c r="V2558" s="204"/>
      <c r="W2558" s="760"/>
    </row>
    <row r="2559" spans="2:23" s="7" customFormat="1" ht="18" customHeight="1">
      <c r="B2559" s="11" t="s">
        <v>251</v>
      </c>
      <c r="C2559" s="6" t="s">
        <v>3403</v>
      </c>
      <c r="D2559" s="12" t="s">
        <v>2017</v>
      </c>
      <c r="E2559" s="78" t="s">
        <v>3443</v>
      </c>
      <c r="F2559" s="22"/>
      <c r="G2559" s="20" t="s">
        <v>3428</v>
      </c>
      <c r="H2559" s="103"/>
      <c r="I2559" s="104"/>
      <c r="J2559" s="8">
        <v>2</v>
      </c>
      <c r="K2559" s="36">
        <f>ROUNDUP(S2559/0.6/120,2)</f>
        <v>3.4099999999999997</v>
      </c>
      <c r="L2559" s="36">
        <f t="shared" si="47"/>
        <v>6.8199999999999994</v>
      </c>
      <c r="M2559" s="112" t="s">
        <v>271</v>
      </c>
      <c r="N2559" s="130"/>
      <c r="O2559" s="30"/>
      <c r="P2559" s="260" t="e">
        <f t="shared" si="48"/>
        <v>#N/A</v>
      </c>
      <c r="Q2559" s="232">
        <v>2.92</v>
      </c>
      <c r="R2559" s="232">
        <f t="shared" si="49"/>
        <v>5.84</v>
      </c>
      <c r="S2559" s="7">
        <v>245</v>
      </c>
      <c r="T2559" s="7">
        <f t="shared" si="50"/>
        <v>490</v>
      </c>
      <c r="U2559" s="257"/>
      <c r="V2559" s="204">
        <v>120</v>
      </c>
      <c r="W2559" s="760">
        <f t="shared" si="51"/>
        <v>0.40127077223851415</v>
      </c>
    </row>
    <row r="2560" spans="2:23" s="7" customFormat="1" ht="18" customHeight="1">
      <c r="B2560" s="11"/>
      <c r="C2560" s="6" t="s">
        <v>3403</v>
      </c>
      <c r="D2560" s="12" t="s">
        <v>2017</v>
      </c>
      <c r="E2560" s="17" t="s">
        <v>3435</v>
      </c>
      <c r="F2560" s="22"/>
      <c r="G2560" s="20"/>
      <c r="H2560" s="57"/>
      <c r="I2560" s="58"/>
      <c r="J2560" s="57"/>
      <c r="K2560" s="14"/>
      <c r="L2560" s="126"/>
      <c r="M2560" s="31"/>
      <c r="N2560" s="31"/>
      <c r="O2560" s="30"/>
      <c r="P2560" s="6" t="s">
        <v>3</v>
      </c>
      <c r="Q2560" s="249"/>
      <c r="S2560" s="962"/>
      <c r="U2560" s="115"/>
      <c r="V2560" s="204">
        <v>120</v>
      </c>
    </row>
    <row r="2561" spans="1:23" s="7" customFormat="1" ht="18" customHeight="1">
      <c r="B2561" s="11" t="s">
        <v>251</v>
      </c>
      <c r="C2561" s="6" t="s">
        <v>3403</v>
      </c>
      <c r="D2561" s="12" t="s">
        <v>2017</v>
      </c>
      <c r="E2561" s="78" t="s">
        <v>3423</v>
      </c>
      <c r="F2561" s="22"/>
      <c r="G2561" s="20" t="s">
        <v>3429</v>
      </c>
      <c r="H2561" s="103"/>
      <c r="I2561" s="104"/>
      <c r="J2561" s="8">
        <v>2</v>
      </c>
      <c r="K2561" s="36">
        <f>ROUNDUP(S2561/0.6/120,2)</f>
        <v>4.71</v>
      </c>
      <c r="L2561" s="36">
        <f t="shared" si="47"/>
        <v>9.42</v>
      </c>
      <c r="M2561" s="112" t="s">
        <v>271</v>
      </c>
      <c r="N2561" s="130"/>
      <c r="O2561" s="30"/>
      <c r="P2561" s="260" t="e">
        <f t="shared" si="48"/>
        <v>#N/A</v>
      </c>
      <c r="Q2561" s="232">
        <v>4.04</v>
      </c>
      <c r="R2561" s="232">
        <f t="shared" si="49"/>
        <v>8.08</v>
      </c>
      <c r="S2561" s="7">
        <v>339</v>
      </c>
      <c r="T2561" s="7">
        <f t="shared" si="50"/>
        <v>678</v>
      </c>
      <c r="U2561" s="257"/>
      <c r="V2561" s="204">
        <v>120</v>
      </c>
      <c r="W2561" s="760">
        <f t="shared" si="51"/>
        <v>0.4002123142250531</v>
      </c>
    </row>
    <row r="2562" spans="1:23" s="7" customFormat="1" ht="18" customHeight="1">
      <c r="B2562" s="11"/>
      <c r="C2562" s="6" t="s">
        <v>3403</v>
      </c>
      <c r="D2562" s="12" t="s">
        <v>2017</v>
      </c>
      <c r="E2562" s="17" t="s">
        <v>3437</v>
      </c>
      <c r="F2562" s="22"/>
      <c r="G2562" s="20"/>
      <c r="H2562" s="103"/>
      <c r="I2562" s="104"/>
      <c r="J2562" s="8"/>
      <c r="K2562" s="36"/>
      <c r="L2562" s="36"/>
      <c r="M2562" s="112"/>
      <c r="N2562" s="31"/>
      <c r="O2562" s="30"/>
      <c r="P2562" s="260"/>
      <c r="Q2562" s="232"/>
      <c r="R2562" s="232"/>
      <c r="U2562" s="257"/>
      <c r="V2562" s="204"/>
      <c r="W2562" s="760"/>
    </row>
    <row r="2563" spans="1:23" s="7" customFormat="1" ht="18" customHeight="1">
      <c r="B2563" s="11" t="s">
        <v>251</v>
      </c>
      <c r="C2563" s="6" t="s">
        <v>3403</v>
      </c>
      <c r="D2563" s="12" t="s">
        <v>2017</v>
      </c>
      <c r="E2563" s="78" t="s">
        <v>3424</v>
      </c>
      <c r="F2563" s="22"/>
      <c r="G2563" s="20" t="s">
        <v>3436</v>
      </c>
      <c r="H2563" s="103"/>
      <c r="I2563" s="104"/>
      <c r="J2563" s="8">
        <v>2</v>
      </c>
      <c r="K2563" s="36">
        <f>ROUNDUP(S2563/0.6/120,2)</f>
        <v>3.44</v>
      </c>
      <c r="L2563" s="36">
        <f t="shared" si="47"/>
        <v>6.88</v>
      </c>
      <c r="M2563" s="112" t="s">
        <v>271</v>
      </c>
      <c r="N2563" s="130"/>
      <c r="O2563" s="30"/>
      <c r="P2563" s="260" t="e">
        <f t="shared" si="48"/>
        <v>#N/A</v>
      </c>
      <c r="Q2563" s="232">
        <v>2.95</v>
      </c>
      <c r="R2563" s="232">
        <f t="shared" si="49"/>
        <v>5.9</v>
      </c>
      <c r="S2563" s="7">
        <v>247</v>
      </c>
      <c r="T2563" s="7">
        <f t="shared" si="50"/>
        <v>494</v>
      </c>
      <c r="U2563" s="257"/>
      <c r="V2563" s="204">
        <v>120</v>
      </c>
      <c r="W2563" s="760">
        <f t="shared" si="51"/>
        <v>0.40164728682170542</v>
      </c>
    </row>
    <row r="2564" spans="1:23" s="7" customFormat="1" ht="18" customHeight="1">
      <c r="B2564" s="11"/>
      <c r="C2564" s="6" t="s">
        <v>3403</v>
      </c>
      <c r="D2564" s="12" t="s">
        <v>2017</v>
      </c>
      <c r="E2564" s="17" t="s">
        <v>3457</v>
      </c>
      <c r="F2564" s="22"/>
      <c r="G2564" s="20"/>
      <c r="H2564" s="103"/>
      <c r="I2564" s="104"/>
      <c r="J2564" s="8"/>
      <c r="K2564" s="36"/>
      <c r="L2564" s="36"/>
      <c r="M2564" s="112"/>
      <c r="N2564" s="130"/>
      <c r="O2564" s="30"/>
      <c r="P2564" s="260"/>
      <c r="Q2564" s="232"/>
      <c r="R2564" s="232"/>
      <c r="U2564" s="257"/>
      <c r="V2564" s="204"/>
      <c r="W2564" s="760"/>
    </row>
    <row r="2565" spans="1:23" s="7" customFormat="1" ht="18" customHeight="1">
      <c r="B2565" s="11" t="s">
        <v>251</v>
      </c>
      <c r="C2565" s="6" t="s">
        <v>3403</v>
      </c>
      <c r="D2565" s="12" t="s">
        <v>2017</v>
      </c>
      <c r="E2565" s="78" t="s">
        <v>3425</v>
      </c>
      <c r="F2565" s="22"/>
      <c r="G2565" s="20" t="s">
        <v>3430</v>
      </c>
      <c r="H2565" s="103"/>
      <c r="I2565" s="104"/>
      <c r="J2565" s="8">
        <v>2</v>
      </c>
      <c r="K2565" s="36">
        <f>ROUNDUP(S2565/0.6/120,2)</f>
        <v>0.96</v>
      </c>
      <c r="L2565" s="36">
        <f t="shared" si="47"/>
        <v>1.92</v>
      </c>
      <c r="M2565" s="112" t="s">
        <v>271</v>
      </c>
      <c r="N2565" s="130"/>
      <c r="O2565" s="30"/>
      <c r="P2565" s="260" t="e">
        <f t="shared" si="48"/>
        <v>#N/A</v>
      </c>
      <c r="Q2565" s="232">
        <v>0.83</v>
      </c>
      <c r="R2565" s="232">
        <f t="shared" si="49"/>
        <v>1.66</v>
      </c>
      <c r="S2565" s="7">
        <v>69</v>
      </c>
      <c r="T2565" s="7">
        <f t="shared" si="50"/>
        <v>138</v>
      </c>
      <c r="U2565" s="257"/>
      <c r="V2565" s="204">
        <v>120</v>
      </c>
      <c r="W2565" s="760">
        <f t="shared" si="51"/>
        <v>0.40104166666666663</v>
      </c>
    </row>
    <row r="2566" spans="1:23" s="7" customFormat="1" ht="18" customHeight="1">
      <c r="B2566" s="11"/>
      <c r="C2566" s="6" t="s">
        <v>3403</v>
      </c>
      <c r="D2566" s="12" t="s">
        <v>2017</v>
      </c>
      <c r="E2566" s="46"/>
      <c r="F2566" s="97"/>
      <c r="G2566" s="20" t="s">
        <v>266</v>
      </c>
      <c r="H2566" s="8"/>
      <c r="I2566" s="33"/>
      <c r="J2566" s="35">
        <v>1</v>
      </c>
      <c r="K2566" s="36">
        <v>20</v>
      </c>
      <c r="L2566" s="36">
        <f t="shared" si="47"/>
        <v>20</v>
      </c>
      <c r="M2566" s="86"/>
      <c r="N2566" s="31"/>
      <c r="O2566" s="30"/>
      <c r="P2566" s="6" t="s">
        <v>3</v>
      </c>
      <c r="Q2566" s="36">
        <v>20</v>
      </c>
      <c r="R2566" s="232">
        <f t="shared" si="49"/>
        <v>20</v>
      </c>
      <c r="S2566" s="587">
        <f>900+900</f>
        <v>1800</v>
      </c>
      <c r="T2566" s="587">
        <f t="shared" si="50"/>
        <v>1800</v>
      </c>
      <c r="U2566" s="19"/>
      <c r="V2566" s="204">
        <v>120</v>
      </c>
      <c r="W2566" s="760">
        <f t="shared" si="51"/>
        <v>0.25</v>
      </c>
    </row>
    <row r="2573" spans="1:23">
      <c r="A2573" s="37" t="s">
        <v>3419</v>
      </c>
      <c r="B2573" s="37" t="s">
        <v>3094</v>
      </c>
      <c r="C2573" s="248">
        <v>15</v>
      </c>
    </row>
    <row r="2574" spans="1:23">
      <c r="A2574" s="37" t="s">
        <v>3421</v>
      </c>
      <c r="B2574" s="37" t="s">
        <v>3094</v>
      </c>
      <c r="C2574" s="248">
        <v>15</v>
      </c>
    </row>
    <row r="2575" spans="1:23">
      <c r="A2575" s="37" t="s">
        <v>3477</v>
      </c>
      <c r="B2575" s="37" t="s">
        <v>3094</v>
      </c>
      <c r="C2575" s="248">
        <v>15</v>
      </c>
    </row>
    <row r="2576" spans="1:23">
      <c r="A2576" s="37"/>
      <c r="B2576" s="37"/>
      <c r="C2576" s="248"/>
    </row>
    <row r="2577" spans="1:8">
      <c r="A2577" s="37" t="s">
        <v>3419</v>
      </c>
      <c r="B2577" s="37" t="s">
        <v>3094</v>
      </c>
      <c r="C2577" s="248">
        <v>5</v>
      </c>
    </row>
    <row r="2578" spans="1:8">
      <c r="A2578" s="37" t="s">
        <v>3421</v>
      </c>
      <c r="B2578" s="37" t="s">
        <v>3094</v>
      </c>
      <c r="C2578" s="248">
        <v>5</v>
      </c>
    </row>
    <row r="2579" spans="1:8">
      <c r="A2579" s="37" t="s">
        <v>3425</v>
      </c>
      <c r="B2579" s="37" t="s">
        <v>3430</v>
      </c>
      <c r="C2579" s="248">
        <v>10</v>
      </c>
    </row>
    <row r="2580" spans="1:8">
      <c r="A2580" s="37" t="s">
        <v>3477</v>
      </c>
      <c r="B2580" s="37" t="s">
        <v>3094</v>
      </c>
      <c r="C2580" s="248">
        <v>5</v>
      </c>
    </row>
    <row r="2581" spans="1:8">
      <c r="A2581" s="37" t="s">
        <v>3422</v>
      </c>
      <c r="B2581" s="37" t="s">
        <v>3427</v>
      </c>
      <c r="C2581" s="248">
        <v>2</v>
      </c>
    </row>
    <row r="2584" spans="1:8" ht="25.5">
      <c r="A2584" s="762" t="s">
        <v>166</v>
      </c>
      <c r="B2584" s="762" t="s">
        <v>95</v>
      </c>
      <c r="C2584" s="762" t="s">
        <v>3103</v>
      </c>
      <c r="D2584" s="936" t="s">
        <v>2855</v>
      </c>
      <c r="E2584" s="936" t="s">
        <v>3479</v>
      </c>
      <c r="F2584" s="762" t="s">
        <v>3227</v>
      </c>
      <c r="G2584" s="879" t="s">
        <v>2821</v>
      </c>
      <c r="H2584" s="1030" t="s">
        <v>2822</v>
      </c>
    </row>
    <row r="2585" spans="1:8">
      <c r="A2585" s="37" t="s">
        <v>3478</v>
      </c>
      <c r="B2585" s="37" t="s">
        <v>3094</v>
      </c>
      <c r="C2585" s="248">
        <v>10</v>
      </c>
      <c r="D2585" s="742">
        <f>ROUNDUP(F2585/0.6/120,2)</f>
        <v>2.23</v>
      </c>
      <c r="E2585" s="250" t="s">
        <v>3117</v>
      </c>
      <c r="F2585" s="257">
        <v>160</v>
      </c>
      <c r="G2585" s="1031">
        <f>(D2585-(F2585/H2585))/D2585</f>
        <v>0.40209267563527656</v>
      </c>
      <c r="H2585" s="1030">
        <v>120</v>
      </c>
    </row>
    <row r="2586" spans="1:8">
      <c r="A2586" s="37" t="s">
        <v>3478</v>
      </c>
      <c r="B2586" s="37" t="s">
        <v>3104</v>
      </c>
      <c r="C2586" s="248" t="s">
        <v>3264</v>
      </c>
      <c r="D2586" s="742">
        <f>ROUNDUP(F2586/0.6/120,2)</f>
        <v>3.34</v>
      </c>
      <c r="E2586" s="942" t="s">
        <v>1822</v>
      </c>
      <c r="F2586" s="257">
        <f>160+80</f>
        <v>240</v>
      </c>
      <c r="G2586" s="1031">
        <f>(D2586-(F2586/H2586))/D2586</f>
        <v>0.40119760479041916</v>
      </c>
      <c r="H2586" s="1030">
        <v>120</v>
      </c>
    </row>
    <row r="2590" spans="1:8" s="243" customFormat="1" ht="12.75">
      <c r="A2590" s="735" t="s">
        <v>9</v>
      </c>
      <c r="B2590" s="1033"/>
      <c r="C2590" s="246"/>
      <c r="D2590" s="247"/>
      <c r="E2590" s="246"/>
      <c r="F2590" s="936" t="s">
        <v>2855</v>
      </c>
      <c r="G2590" s="936" t="s">
        <v>3224</v>
      </c>
    </row>
    <row r="2591" spans="1:8" s="243" customFormat="1" ht="12.75">
      <c r="A2591" s="37" t="s">
        <v>175</v>
      </c>
      <c r="B2591" s="37" t="s">
        <v>3309</v>
      </c>
      <c r="C2591" s="1034">
        <v>50</v>
      </c>
      <c r="D2591" s="247">
        <v>1</v>
      </c>
      <c r="E2591" s="248">
        <f t="shared" ref="E2591:E2596" si="52">D2591*C2591</f>
        <v>50</v>
      </c>
      <c r="F2591" s="742">
        <v>5.56</v>
      </c>
      <c r="G2591" s="742">
        <f t="shared" ref="G2591:G2597" si="53">F2591*E2591</f>
        <v>278</v>
      </c>
    </row>
    <row r="2592" spans="1:8" s="243" customFormat="1" ht="12.75">
      <c r="A2592" s="37" t="s">
        <v>187</v>
      </c>
      <c r="B2592" s="37" t="s">
        <v>3309</v>
      </c>
      <c r="C2592" s="1034">
        <v>50</v>
      </c>
      <c r="D2592" s="247">
        <v>1</v>
      </c>
      <c r="E2592" s="248">
        <f t="shared" si="52"/>
        <v>50</v>
      </c>
      <c r="F2592" s="742">
        <v>4.7300000000000004</v>
      </c>
      <c r="G2592" s="742">
        <f t="shared" si="53"/>
        <v>236.50000000000003</v>
      </c>
    </row>
    <row r="2593" spans="1:7" s="243" customFormat="1" ht="12.75">
      <c r="A2593" s="37" t="s">
        <v>187</v>
      </c>
      <c r="B2593" s="37" t="s">
        <v>3309</v>
      </c>
      <c r="C2593" s="1034">
        <v>54</v>
      </c>
      <c r="D2593" s="247">
        <v>1</v>
      </c>
      <c r="E2593" s="248">
        <f t="shared" si="52"/>
        <v>54</v>
      </c>
      <c r="F2593" s="742">
        <v>4.7300000000000004</v>
      </c>
      <c r="G2593" s="742">
        <f t="shared" si="53"/>
        <v>255.42000000000002</v>
      </c>
    </row>
    <row r="2594" spans="1:7" s="243" customFormat="1" ht="12.75">
      <c r="A2594" s="37" t="s">
        <v>187</v>
      </c>
      <c r="B2594" s="37" t="s">
        <v>3310</v>
      </c>
      <c r="C2594" s="1034">
        <v>50</v>
      </c>
      <c r="D2594" s="247">
        <v>3</v>
      </c>
      <c r="E2594" s="248">
        <f>D2594*C2594</f>
        <v>150</v>
      </c>
      <c r="F2594" s="742">
        <v>4.7300000000000004</v>
      </c>
      <c r="G2594" s="742">
        <f>F2594*E2594</f>
        <v>709.50000000000011</v>
      </c>
    </row>
    <row r="2595" spans="1:7" s="243" customFormat="1" ht="12.75">
      <c r="A2595" s="37" t="s">
        <v>187</v>
      </c>
      <c r="B2595" s="37" t="s">
        <v>3316</v>
      </c>
      <c r="C2595" s="1034">
        <v>50</v>
      </c>
      <c r="D2595" s="247">
        <v>4</v>
      </c>
      <c r="E2595" s="248">
        <f t="shared" si="52"/>
        <v>200</v>
      </c>
      <c r="F2595" s="742">
        <v>4.7300000000000004</v>
      </c>
      <c r="G2595" s="742">
        <f t="shared" si="53"/>
        <v>946.00000000000011</v>
      </c>
    </row>
    <row r="2596" spans="1:7" s="243" customFormat="1" ht="12.75">
      <c r="A2596" s="37" t="s">
        <v>187</v>
      </c>
      <c r="B2596" s="37" t="s">
        <v>3311</v>
      </c>
      <c r="C2596" s="1034">
        <v>50</v>
      </c>
      <c r="D2596" s="247">
        <v>2</v>
      </c>
      <c r="E2596" s="248">
        <f t="shared" si="52"/>
        <v>100</v>
      </c>
      <c r="F2596" s="742">
        <v>4.7300000000000004</v>
      </c>
      <c r="G2596" s="742">
        <f t="shared" si="53"/>
        <v>473.00000000000006</v>
      </c>
    </row>
    <row r="2597" spans="1:7" s="243" customFormat="1" ht="12.75">
      <c r="A2597" s="37"/>
      <c r="B2597" s="37" t="s">
        <v>266</v>
      </c>
      <c r="C2597" s="248"/>
      <c r="D2597" s="736"/>
      <c r="E2597" s="244">
        <v>1</v>
      </c>
      <c r="F2597" s="742">
        <v>25</v>
      </c>
      <c r="G2597" s="742">
        <f t="shared" si="53"/>
        <v>25</v>
      </c>
    </row>
    <row r="2598" spans="1:7" s="243" customFormat="1" ht="12.75">
      <c r="A2598" s="37"/>
      <c r="B2598" s="1035" t="s">
        <v>272</v>
      </c>
      <c r="C2598" s="244" t="s">
        <v>216</v>
      </c>
      <c r="D2598" s="247"/>
      <c r="E2598" s="246"/>
      <c r="F2598" s="256">
        <v>1850</v>
      </c>
      <c r="G2598" s="256">
        <v>1850</v>
      </c>
    </row>
    <row r="2599" spans="1:7" s="243" customFormat="1" ht="12.75">
      <c r="A2599" s="37"/>
      <c r="B2599" s="1035"/>
      <c r="C2599" s="244"/>
      <c r="D2599" s="247"/>
      <c r="E2599" s="246"/>
      <c r="F2599" s="1036" t="s">
        <v>3480</v>
      </c>
      <c r="G2599" s="1036">
        <f>SUM(G2591:G2598)</f>
        <v>4773.42</v>
      </c>
    </row>
    <row r="2603" spans="1:7" ht="14.25">
      <c r="A2603" s="925" t="s">
        <v>3481</v>
      </c>
    </row>
    <row r="2604" spans="1:7" s="239" customFormat="1" ht="14.25">
      <c r="A2604" s="242" t="s">
        <v>222</v>
      </c>
      <c r="B2604" s="931" t="s">
        <v>283</v>
      </c>
      <c r="C2604" s="926" t="s">
        <v>3068</v>
      </c>
      <c r="D2604" s="818" t="s">
        <v>2821</v>
      </c>
      <c r="E2604" s="927" t="s">
        <v>2822</v>
      </c>
    </row>
    <row r="2605" spans="1:7" s="239" customFormat="1" ht="24" customHeight="1">
      <c r="A2605" s="253" t="s">
        <v>3483</v>
      </c>
      <c r="B2605" s="254">
        <v>3.88</v>
      </c>
      <c r="C2605" s="928">
        <f>310+30</f>
        <v>340</v>
      </c>
      <c r="D2605" s="929">
        <f>(B2605-(C2605/E2605))/B2605</f>
        <v>0.26975945017182124</v>
      </c>
      <c r="E2605" s="930">
        <v>120</v>
      </c>
    </row>
    <row r="2606" spans="1:7" s="239" customFormat="1" ht="24" customHeight="1">
      <c r="A2606" s="253" t="s">
        <v>3482</v>
      </c>
      <c r="B2606" s="254">
        <v>5.73</v>
      </c>
      <c r="C2606" s="928">
        <f>520+30</f>
        <v>550</v>
      </c>
      <c r="D2606" s="929">
        <f>(B2606-(C2606/E2606))/B2606</f>
        <v>0.20011634671320547</v>
      </c>
      <c r="E2606" s="930">
        <v>120</v>
      </c>
    </row>
    <row r="2609" spans="1:6">
      <c r="A2609" s="878" t="s">
        <v>3484</v>
      </c>
      <c r="C2609" s="161" t="s">
        <v>2989</v>
      </c>
      <c r="D2609" s="766" t="s">
        <v>2821</v>
      </c>
      <c r="E2609" s="766" t="s">
        <v>2822</v>
      </c>
    </row>
    <row r="2610" spans="1:6" ht="27">
      <c r="A2610" s="762" t="s">
        <v>2986</v>
      </c>
      <c r="B2610" s="785" t="s">
        <v>2855</v>
      </c>
      <c r="C2610" s="926" t="s">
        <v>3129</v>
      </c>
      <c r="D2610" s="879"/>
      <c r="E2610" s="879"/>
    </row>
    <row r="2611" spans="1:6" ht="38.25">
      <c r="A2611" s="884" t="s">
        <v>3485</v>
      </c>
      <c r="B2611" s="250">
        <f>ROUNDUP(C2611/0.8/120,2)</f>
        <v>20.94</v>
      </c>
      <c r="C2611" s="129">
        <f>1610+400</f>
        <v>2010</v>
      </c>
      <c r="D2611" s="883">
        <f>(((B2611*E2611)-C2611)/(B2611*E2611))</f>
        <v>0.20009551098376319</v>
      </c>
      <c r="E2611" s="132">
        <v>120</v>
      </c>
    </row>
    <row r="2612" spans="1:6" ht="38.25">
      <c r="A2612" s="884" t="s">
        <v>3486</v>
      </c>
      <c r="B2612" s="250">
        <f>ROUNDUP(C2612/0.8/120,2)</f>
        <v>17.09</v>
      </c>
      <c r="C2612" s="129">
        <f>1610+30</f>
        <v>1640</v>
      </c>
      <c r="D2612" s="881">
        <f>(((B2612*E2612)-C2612)/(B2612*E2612))</f>
        <v>0.20031207333723433</v>
      </c>
      <c r="E2612" s="882">
        <v>120</v>
      </c>
    </row>
    <row r="2616" spans="1:6">
      <c r="A2616" s="1039" t="s">
        <v>222</v>
      </c>
      <c r="B2616" s="1040" t="s">
        <v>158</v>
      </c>
      <c r="C2616" s="1040" t="s">
        <v>34</v>
      </c>
      <c r="D2616" s="1040" t="s">
        <v>35</v>
      </c>
      <c r="E2616" s="936" t="s">
        <v>2855</v>
      </c>
    </row>
    <row r="2617" spans="1:6">
      <c r="A2617" s="909" t="s">
        <v>3487</v>
      </c>
      <c r="B2617" s="1041" t="s">
        <v>3488</v>
      </c>
      <c r="C2617" s="740" t="s">
        <v>3489</v>
      </c>
      <c r="D2617" s="1042">
        <v>46</v>
      </c>
      <c r="E2617" s="856">
        <v>17.09</v>
      </c>
    </row>
    <row r="2620" spans="1:6">
      <c r="A2620" s="878" t="s">
        <v>3490</v>
      </c>
      <c r="C2620" s="161" t="s">
        <v>2989</v>
      </c>
      <c r="D2620" s="766" t="s">
        <v>2821</v>
      </c>
      <c r="E2620" s="766" t="s">
        <v>2822</v>
      </c>
    </row>
    <row r="2621" spans="1:6" ht="27">
      <c r="A2621" s="762" t="s">
        <v>2986</v>
      </c>
      <c r="B2621" s="785" t="s">
        <v>2855</v>
      </c>
      <c r="C2621" s="785" t="s">
        <v>3505</v>
      </c>
      <c r="D2621" s="926" t="s">
        <v>3129</v>
      </c>
      <c r="E2621" s="879"/>
      <c r="F2621" s="879"/>
    </row>
    <row r="2622" spans="1:6" ht="38.25">
      <c r="A2622" s="884" t="s">
        <v>3491</v>
      </c>
      <c r="B2622" s="250">
        <f>ROUNDUP(D2622/0.8/120,2)</f>
        <v>21.150000000000002</v>
      </c>
      <c r="C2622" s="250"/>
      <c r="D2622" s="129">
        <f>1630+400</f>
        <v>2030</v>
      </c>
      <c r="E2622" s="883">
        <f>(((B2622*F2622)-D2622)/(B2622*F2622))</f>
        <v>0.20015760441292371</v>
      </c>
      <c r="F2622" s="132">
        <v>120</v>
      </c>
    </row>
    <row r="2623" spans="1:6" ht="38.25">
      <c r="A2623" s="884" t="s">
        <v>3492</v>
      </c>
      <c r="B2623" s="250">
        <f>ROUNDUP(D2623/0.8/120,2)</f>
        <v>17.3</v>
      </c>
      <c r="C2623" s="250"/>
      <c r="D2623" s="129">
        <f>1630+30</f>
        <v>1660</v>
      </c>
      <c r="E2623" s="881">
        <f>(((B2623*F2623)-D2623)/(B2623*F2623))</f>
        <v>0.20038535645472061</v>
      </c>
      <c r="F2623" s="882">
        <v>120</v>
      </c>
    </row>
    <row r="2624" spans="1:6">
      <c r="A2624" s="884"/>
      <c r="B2624" s="250"/>
      <c r="C2624" s="250"/>
      <c r="D2624" s="129"/>
      <c r="E2624" s="881"/>
      <c r="F2624" s="882"/>
    </row>
    <row r="2625" spans="1:6" ht="38.25">
      <c r="A2625" s="884" t="s">
        <v>3504</v>
      </c>
      <c r="B2625" s="250">
        <f>ROUNDUP(D2625/0.8/120,2)</f>
        <v>20.630000000000003</v>
      </c>
      <c r="C2625" s="250"/>
      <c r="D2625" s="129">
        <v>1980</v>
      </c>
      <c r="E2625" s="881">
        <f>(((B2625*F2625)-D2625)/(B2625*F2625))</f>
        <v>0.20019389238972382</v>
      </c>
      <c r="F2625" s="882">
        <v>120</v>
      </c>
    </row>
    <row r="2626" spans="1:6" ht="38.25">
      <c r="A2626" s="884" t="s">
        <v>3493</v>
      </c>
      <c r="B2626" s="250">
        <f>ROUNDUP(D2626/0.8/120,2)</f>
        <v>18.860000000000003</v>
      </c>
      <c r="C2626" s="250" t="s">
        <v>3506</v>
      </c>
      <c r="D2626" s="129">
        <f>1780+30</f>
        <v>1810</v>
      </c>
      <c r="E2626" s="881">
        <f>(((B2626*F2626)-D2626)/(B2626*F2626))</f>
        <v>0.20024743725698135</v>
      </c>
      <c r="F2626" s="882">
        <v>120</v>
      </c>
    </row>
    <row r="2627" spans="1:6" ht="38.25">
      <c r="A2627" s="884" t="s">
        <v>3494</v>
      </c>
      <c r="B2627" s="250">
        <f>ROUNDUP(D2627/0.8/120,2)</f>
        <v>17.82</v>
      </c>
      <c r="C2627" s="250" t="s">
        <v>3506</v>
      </c>
      <c r="D2627" s="129">
        <f>1680+30</f>
        <v>1710</v>
      </c>
      <c r="E2627" s="881">
        <f>(((B2627*F2627)-D2627)/(B2627*F2627))</f>
        <v>0.20033670033670037</v>
      </c>
      <c r="F2627" s="882">
        <v>120</v>
      </c>
    </row>
    <row r="2631" spans="1:6">
      <c r="A2631" s="1043" t="s">
        <v>3495</v>
      </c>
    </row>
    <row r="2632" spans="1:6" ht="17.25">
      <c r="A2632" s="984"/>
    </row>
    <row r="2633" spans="1:6" ht="17.25">
      <c r="A2633" s="984" t="s">
        <v>3496</v>
      </c>
    </row>
    <row r="2634" spans="1:6" ht="17.25">
      <c r="A2634" s="984" t="s">
        <v>3497</v>
      </c>
    </row>
    <row r="2635" spans="1:6" ht="17.25">
      <c r="A2635" s="984" t="s">
        <v>3498</v>
      </c>
    </row>
    <row r="2636" spans="1:6" ht="17.25">
      <c r="A2636" s="984"/>
    </row>
    <row r="2637" spans="1:6" ht="17.25">
      <c r="A2637" s="984" t="s">
        <v>3499</v>
      </c>
    </row>
    <row r="2638" spans="1:6" ht="17.25">
      <c r="A2638" s="984" t="s">
        <v>3500</v>
      </c>
    </row>
    <row r="2639" spans="1:6" ht="17.25">
      <c r="A2639" s="984" t="s">
        <v>3501</v>
      </c>
    </row>
    <row r="2640" spans="1:6" ht="17.25">
      <c r="A2640" s="984"/>
    </row>
    <row r="2641" spans="1:6" ht="17.25">
      <c r="A2641" s="984" t="s">
        <v>3502</v>
      </c>
    </row>
    <row r="2642" spans="1:6" ht="17.25">
      <c r="A2642" s="984" t="s">
        <v>3503</v>
      </c>
    </row>
    <row r="2643" spans="1:6" ht="17.25">
      <c r="A2643" s="984" t="s">
        <v>3501</v>
      </c>
    </row>
    <row r="2646" spans="1:6">
      <c r="A2646" s="878" t="s">
        <v>3490</v>
      </c>
      <c r="C2646" s="161" t="s">
        <v>2989</v>
      </c>
      <c r="D2646" s="766" t="s">
        <v>2821</v>
      </c>
      <c r="E2646" s="766" t="s">
        <v>2822</v>
      </c>
    </row>
    <row r="2647" spans="1:6" ht="27">
      <c r="A2647" s="762" t="s">
        <v>2986</v>
      </c>
      <c r="B2647" s="785" t="s">
        <v>2855</v>
      </c>
      <c r="C2647" s="785" t="s">
        <v>3505</v>
      </c>
      <c r="D2647" s="926" t="s">
        <v>3129</v>
      </c>
      <c r="E2647" s="879"/>
      <c r="F2647" s="879"/>
    </row>
    <row r="2648" spans="1:6" ht="51">
      <c r="A2648" s="884" t="s">
        <v>3507</v>
      </c>
      <c r="B2648" s="250">
        <f>ROUNDUP(D2648/0.8/120,2)</f>
        <v>13.65</v>
      </c>
      <c r="C2648" s="250"/>
      <c r="D2648" s="129">
        <f>910+400</f>
        <v>1310</v>
      </c>
      <c r="E2648" s="883">
        <f>(((B2648*F2648)-D2648)/(B2648*F2648))</f>
        <v>0.20024420024420025</v>
      </c>
      <c r="F2648" s="132">
        <v>120</v>
      </c>
    </row>
    <row r="2649" spans="1:6" ht="51">
      <c r="A2649" s="884" t="s">
        <v>3508</v>
      </c>
      <c r="B2649" s="250">
        <f>ROUNDUP(D2649/0.8/120,2)</f>
        <v>9.7999999999999989</v>
      </c>
      <c r="C2649" s="250"/>
      <c r="D2649" s="129">
        <f>910+30</f>
        <v>940</v>
      </c>
      <c r="E2649" s="881">
        <f>(((B2649*F2649)-D2649)/(B2649*F2649))</f>
        <v>0.20068027210884337</v>
      </c>
      <c r="F2649" s="882">
        <v>120</v>
      </c>
    </row>
    <row r="2650" spans="1:6">
      <c r="A2650" s="884"/>
      <c r="B2650" s="250"/>
      <c r="C2650" s="250"/>
      <c r="D2650" s="129"/>
      <c r="E2650" s="881"/>
      <c r="F2650" s="882"/>
    </row>
    <row r="2651" spans="1:6" ht="38.25">
      <c r="A2651" s="884" t="s">
        <v>3504</v>
      </c>
      <c r="B2651" s="250">
        <f>ROUNDUP(D2651/0.8/120,2)</f>
        <v>20.630000000000003</v>
      </c>
      <c r="C2651" s="250"/>
      <c r="D2651" s="129">
        <v>1980</v>
      </c>
      <c r="E2651" s="881">
        <f>(((B2651*F2651)-D2651)/(B2651*F2651))</f>
        <v>0.20019389238972382</v>
      </c>
      <c r="F2651" s="882">
        <v>120</v>
      </c>
    </row>
    <row r="2652" spans="1:6" ht="38.25">
      <c r="A2652" s="884" t="s">
        <v>3493</v>
      </c>
      <c r="B2652" s="250">
        <f>ROUNDUP(D2652/0.8/120,2)</f>
        <v>18.860000000000003</v>
      </c>
      <c r="C2652" s="250" t="s">
        <v>3506</v>
      </c>
      <c r="D2652" s="129">
        <f>1780+30</f>
        <v>1810</v>
      </c>
      <c r="E2652" s="881">
        <f>(((B2652*F2652)-D2652)/(B2652*F2652))</f>
        <v>0.20024743725698135</v>
      </c>
      <c r="F2652" s="882">
        <v>120</v>
      </c>
    </row>
    <row r="2653" spans="1:6" ht="38.25">
      <c r="A2653" s="884" t="s">
        <v>3494</v>
      </c>
      <c r="B2653" s="250">
        <f>ROUNDUP(D2653/0.8/120,2)</f>
        <v>17.82</v>
      </c>
      <c r="C2653" s="250" t="s">
        <v>3506</v>
      </c>
      <c r="D2653" s="129">
        <f>1680+30</f>
        <v>1710</v>
      </c>
      <c r="E2653" s="881">
        <f>(((B2653*F2653)-D2653)/(B2653*F2653))</f>
        <v>0.20033670033670037</v>
      </c>
      <c r="F2653" s="882">
        <v>120</v>
      </c>
    </row>
    <row r="2655" spans="1:6">
      <c r="A2655" s="1044" t="s">
        <v>3513</v>
      </c>
    </row>
    <row r="2657" spans="1:8" ht="25.5">
      <c r="A2657" s="762" t="s">
        <v>166</v>
      </c>
      <c r="B2657" s="762" t="s">
        <v>95</v>
      </c>
      <c r="C2657" s="762" t="s">
        <v>3103</v>
      </c>
      <c r="D2657" s="936" t="s">
        <v>2855</v>
      </c>
      <c r="E2657" s="936" t="s">
        <v>3514</v>
      </c>
      <c r="F2657" s="762" t="s">
        <v>3227</v>
      </c>
      <c r="G2657" s="879" t="s">
        <v>2821</v>
      </c>
      <c r="H2657" s="1030" t="s">
        <v>2822</v>
      </c>
    </row>
    <row r="2658" spans="1:8" s="243" customFormat="1">
      <c r="A2658" s="37" t="s">
        <v>3340</v>
      </c>
      <c r="B2658" s="37" t="s">
        <v>3368</v>
      </c>
      <c r="C2658" s="248">
        <v>10</v>
      </c>
      <c r="D2658" s="742">
        <f t="shared" ref="D2658:D2675" si="54">ROUNDUP(F2658/0.6/120,2)</f>
        <v>0.6</v>
      </c>
      <c r="E2658" s="942" t="s">
        <v>3392</v>
      </c>
      <c r="F2658" s="257">
        <v>43</v>
      </c>
      <c r="G2658" s="1031">
        <f t="shared" ref="G2658:G2665" si="55">(D2658-(F2658/H2658))/D2658</f>
        <v>0.40277777777777773</v>
      </c>
      <c r="H2658" s="1030">
        <v>120</v>
      </c>
    </row>
    <row r="2659" spans="1:8" s="243" customFormat="1">
      <c r="A2659" s="37" t="s">
        <v>3340</v>
      </c>
      <c r="B2659" s="37" t="s">
        <v>3104</v>
      </c>
      <c r="C2659" s="248" t="s">
        <v>3264</v>
      </c>
      <c r="D2659" s="742">
        <f t="shared" si="54"/>
        <v>1.71</v>
      </c>
      <c r="E2659" s="942" t="s">
        <v>1822</v>
      </c>
      <c r="F2659" s="257">
        <f>43+80</f>
        <v>123</v>
      </c>
      <c r="G2659" s="1031">
        <f t="shared" si="55"/>
        <v>0.40058479532163749</v>
      </c>
      <c r="H2659" s="1030">
        <v>120</v>
      </c>
    </row>
    <row r="2660" spans="1:8" s="243" customFormat="1">
      <c r="A2660" s="875" t="s">
        <v>3402</v>
      </c>
      <c r="B2660" s="37" t="s">
        <v>3368</v>
      </c>
      <c r="C2660" s="248">
        <v>10</v>
      </c>
      <c r="D2660" s="742">
        <f t="shared" si="54"/>
        <v>0.6</v>
      </c>
      <c r="E2660" s="942" t="s">
        <v>3277</v>
      </c>
      <c r="F2660" s="257">
        <v>43</v>
      </c>
      <c r="G2660" s="1031">
        <f t="shared" si="55"/>
        <v>0.40277777777777773</v>
      </c>
      <c r="H2660" s="1030">
        <v>120</v>
      </c>
    </row>
    <row r="2661" spans="1:8" s="243" customFormat="1">
      <c r="A2661" s="744" t="s">
        <v>3391</v>
      </c>
      <c r="B2661" s="37" t="s">
        <v>3104</v>
      </c>
      <c r="C2661" s="248" t="s">
        <v>3264</v>
      </c>
      <c r="D2661" s="742">
        <f t="shared" si="54"/>
        <v>1.71</v>
      </c>
      <c r="E2661" s="942" t="s">
        <v>1822</v>
      </c>
      <c r="F2661" s="257">
        <f>43+80</f>
        <v>123</v>
      </c>
      <c r="G2661" s="1031">
        <f t="shared" si="55"/>
        <v>0.40058479532163749</v>
      </c>
      <c r="H2661" s="1030">
        <v>120</v>
      </c>
    </row>
    <row r="2662" spans="1:8" s="243" customFormat="1">
      <c r="A2662" s="37" t="s">
        <v>3341</v>
      </c>
      <c r="B2662" s="37" t="s">
        <v>3368</v>
      </c>
      <c r="C2662" s="248">
        <v>10</v>
      </c>
      <c r="D2662" s="742">
        <f t="shared" si="54"/>
        <v>0.7</v>
      </c>
      <c r="E2662" s="942" t="s">
        <v>3118</v>
      </c>
      <c r="F2662" s="257">
        <v>50</v>
      </c>
      <c r="G2662" s="1031">
        <f t="shared" si="55"/>
        <v>0.40476190476190471</v>
      </c>
      <c r="H2662" s="1030">
        <v>120</v>
      </c>
    </row>
    <row r="2663" spans="1:8" s="243" customFormat="1">
      <c r="A2663" s="37" t="s">
        <v>3341</v>
      </c>
      <c r="B2663" s="37" t="s">
        <v>3104</v>
      </c>
      <c r="C2663" s="248" t="s">
        <v>3264</v>
      </c>
      <c r="D2663" s="742">
        <f t="shared" si="54"/>
        <v>1.81</v>
      </c>
      <c r="E2663" s="942" t="s">
        <v>1822</v>
      </c>
      <c r="F2663" s="257">
        <f>50+80</f>
        <v>130</v>
      </c>
      <c r="G2663" s="1031">
        <f t="shared" si="55"/>
        <v>0.4014732965009209</v>
      </c>
      <c r="H2663" s="1030">
        <v>120</v>
      </c>
    </row>
    <row r="2664" spans="1:8">
      <c r="A2664" s="37" t="s">
        <v>3419</v>
      </c>
      <c r="B2664" s="37" t="s">
        <v>3094</v>
      </c>
      <c r="C2664" s="248">
        <v>10</v>
      </c>
      <c r="D2664" s="742">
        <f t="shared" si="54"/>
        <v>1.98</v>
      </c>
      <c r="E2664" s="250" t="s">
        <v>3469</v>
      </c>
      <c r="F2664" s="1045">
        <v>142</v>
      </c>
      <c r="G2664" s="1031">
        <f t="shared" si="55"/>
        <v>0.40235690235690236</v>
      </c>
      <c r="H2664" s="1030">
        <v>120</v>
      </c>
    </row>
    <row r="2665" spans="1:8">
      <c r="A2665" s="37" t="s">
        <v>3419</v>
      </c>
      <c r="B2665" s="37" t="s">
        <v>3104</v>
      </c>
      <c r="C2665" s="248" t="s">
        <v>3264</v>
      </c>
      <c r="D2665" s="742">
        <f t="shared" si="54"/>
        <v>3.09</v>
      </c>
      <c r="E2665" s="942" t="s">
        <v>1822</v>
      </c>
      <c r="F2665" s="1045">
        <f>142+80</f>
        <v>222</v>
      </c>
      <c r="G2665" s="1031">
        <f t="shared" si="55"/>
        <v>0.40129449838187697</v>
      </c>
      <c r="H2665" s="1030">
        <v>120</v>
      </c>
    </row>
    <row r="2666" spans="1:8">
      <c r="A2666" s="37" t="s">
        <v>3477</v>
      </c>
      <c r="B2666" s="37" t="s">
        <v>3094</v>
      </c>
      <c r="C2666" s="248">
        <v>10</v>
      </c>
      <c r="D2666" s="742">
        <f t="shared" si="54"/>
        <v>2.23</v>
      </c>
      <c r="E2666" s="250" t="s">
        <v>3515</v>
      </c>
      <c r="F2666" s="1045">
        <v>160</v>
      </c>
      <c r="G2666" s="1031">
        <f t="shared" ref="G2666:G2675" si="56">(D2666-(F2666/H2666))/D2666</f>
        <v>0.40209267563527656</v>
      </c>
      <c r="H2666" s="1030">
        <v>120</v>
      </c>
    </row>
    <row r="2667" spans="1:8">
      <c r="A2667" s="37" t="s">
        <v>3477</v>
      </c>
      <c r="B2667" s="37" t="s">
        <v>3104</v>
      </c>
      <c r="C2667" s="248" t="s">
        <v>3264</v>
      </c>
      <c r="D2667" s="742">
        <f t="shared" si="54"/>
        <v>3.34</v>
      </c>
      <c r="E2667" s="942" t="s">
        <v>1822</v>
      </c>
      <c r="F2667" s="1045">
        <f>160+80</f>
        <v>240</v>
      </c>
      <c r="G2667" s="1031">
        <f t="shared" si="56"/>
        <v>0.40119760479041916</v>
      </c>
      <c r="H2667" s="1030">
        <v>120</v>
      </c>
    </row>
    <row r="2668" spans="1:8">
      <c r="A2668" s="37" t="s">
        <v>3509</v>
      </c>
      <c r="B2668" s="37" t="s">
        <v>3368</v>
      </c>
      <c r="C2668" s="248">
        <v>10</v>
      </c>
      <c r="D2668" s="742">
        <f t="shared" si="54"/>
        <v>0.89</v>
      </c>
      <c r="E2668" s="250" t="s">
        <v>3118</v>
      </c>
      <c r="F2668" s="1045">
        <v>64</v>
      </c>
      <c r="G2668" s="1031">
        <f t="shared" si="56"/>
        <v>0.40074906367041202</v>
      </c>
      <c r="H2668" s="1030">
        <v>120</v>
      </c>
    </row>
    <row r="2669" spans="1:8">
      <c r="A2669" s="37" t="s">
        <v>3509</v>
      </c>
      <c r="B2669" s="37" t="s">
        <v>3104</v>
      </c>
      <c r="C2669" s="248" t="s">
        <v>3264</v>
      </c>
      <c r="D2669" s="742">
        <f t="shared" si="54"/>
        <v>2.1399999999999997</v>
      </c>
      <c r="E2669" s="942" t="s">
        <v>1822</v>
      </c>
      <c r="F2669" s="1045">
        <f>64+90</f>
        <v>154</v>
      </c>
      <c r="G2669" s="1031">
        <f t="shared" si="56"/>
        <v>0.40031152647975066</v>
      </c>
      <c r="H2669" s="1030">
        <v>120</v>
      </c>
    </row>
    <row r="2670" spans="1:8">
      <c r="A2670" s="37" t="s">
        <v>3510</v>
      </c>
      <c r="B2670" s="37" t="s">
        <v>3094</v>
      </c>
      <c r="C2670" s="248">
        <v>10</v>
      </c>
      <c r="D2670" s="742">
        <f t="shared" si="54"/>
        <v>1.48</v>
      </c>
      <c r="E2670" s="250" t="s">
        <v>3247</v>
      </c>
      <c r="F2670" s="1045">
        <v>106</v>
      </c>
      <c r="G2670" s="1031">
        <f t="shared" si="56"/>
        <v>0.40315315315315314</v>
      </c>
      <c r="H2670" s="1030">
        <v>120</v>
      </c>
    </row>
    <row r="2671" spans="1:8">
      <c r="A2671" s="37" t="s">
        <v>3510</v>
      </c>
      <c r="B2671" s="37" t="s">
        <v>3104</v>
      </c>
      <c r="C2671" s="248" t="s">
        <v>3264</v>
      </c>
      <c r="D2671" s="742">
        <f t="shared" si="54"/>
        <v>2.73</v>
      </c>
      <c r="E2671" s="942" t="s">
        <v>1822</v>
      </c>
      <c r="F2671" s="1045">
        <f>106+90</f>
        <v>196</v>
      </c>
      <c r="G2671" s="1031">
        <f t="shared" si="56"/>
        <v>0.40170940170940173</v>
      </c>
      <c r="H2671" s="1030">
        <v>120</v>
      </c>
    </row>
    <row r="2672" spans="1:8">
      <c r="A2672" s="37" t="s">
        <v>3511</v>
      </c>
      <c r="B2672" s="37" t="s">
        <v>3094</v>
      </c>
      <c r="C2672" s="248">
        <v>10</v>
      </c>
      <c r="D2672" s="742">
        <f t="shared" si="54"/>
        <v>1.64</v>
      </c>
      <c r="E2672" s="250" t="s">
        <v>3466</v>
      </c>
      <c r="F2672" s="1045">
        <v>118</v>
      </c>
      <c r="G2672" s="1031">
        <f t="shared" si="56"/>
        <v>0.40040650406504064</v>
      </c>
      <c r="H2672" s="1030">
        <v>120</v>
      </c>
    </row>
    <row r="2673" spans="1:8">
      <c r="A2673" s="37" t="s">
        <v>3511</v>
      </c>
      <c r="B2673" s="37" t="s">
        <v>3104</v>
      </c>
      <c r="C2673" s="248" t="s">
        <v>3264</v>
      </c>
      <c r="D2673" s="742">
        <f t="shared" si="54"/>
        <v>2.8899999999999997</v>
      </c>
      <c r="E2673" s="942" t="s">
        <v>1822</v>
      </c>
      <c r="F2673" s="1045">
        <f>118+90</f>
        <v>208</v>
      </c>
      <c r="G2673" s="1031">
        <f t="shared" si="56"/>
        <v>0.40023068050749705</v>
      </c>
      <c r="H2673" s="1030">
        <v>120</v>
      </c>
    </row>
    <row r="2674" spans="1:8">
      <c r="A2674" s="37" t="s">
        <v>3512</v>
      </c>
      <c r="B2674" s="37" t="s">
        <v>3094</v>
      </c>
      <c r="C2674" s="248">
        <v>10</v>
      </c>
      <c r="D2674" s="742">
        <f t="shared" si="54"/>
        <v>2.5499999999999998</v>
      </c>
      <c r="E2674" s="250" t="s">
        <v>3247</v>
      </c>
      <c r="F2674" s="1045">
        <v>183</v>
      </c>
      <c r="G2674" s="1031">
        <f t="shared" si="56"/>
        <v>0.40196078431372551</v>
      </c>
      <c r="H2674" s="1030">
        <v>120</v>
      </c>
    </row>
    <row r="2675" spans="1:8">
      <c r="A2675" s="37" t="s">
        <v>3512</v>
      </c>
      <c r="B2675" s="37" t="s">
        <v>3104</v>
      </c>
      <c r="C2675" s="248" t="s">
        <v>3264</v>
      </c>
      <c r="D2675" s="742">
        <f t="shared" si="54"/>
        <v>3.8</v>
      </c>
      <c r="E2675" s="942" t="s">
        <v>1822</v>
      </c>
      <c r="F2675" s="1045">
        <f>183+90</f>
        <v>273</v>
      </c>
      <c r="G2675" s="1031">
        <f t="shared" si="56"/>
        <v>0.40131578947368418</v>
      </c>
      <c r="H2675" s="1030">
        <v>120</v>
      </c>
    </row>
    <row r="2678" spans="1:8">
      <c r="A2678" s="878" t="s">
        <v>3516</v>
      </c>
      <c r="C2678" s="161" t="s">
        <v>2989</v>
      </c>
      <c r="D2678" s="766" t="s">
        <v>2821</v>
      </c>
      <c r="E2678" s="766" t="s">
        <v>2822</v>
      </c>
    </row>
    <row r="2679" spans="1:8" ht="27">
      <c r="A2679" s="762" t="s">
        <v>2986</v>
      </c>
      <c r="B2679" s="762" t="s">
        <v>3520</v>
      </c>
      <c r="C2679" s="785" t="s">
        <v>2855</v>
      </c>
      <c r="D2679" s="785" t="s">
        <v>3505</v>
      </c>
      <c r="E2679" s="926" t="s">
        <v>3129</v>
      </c>
      <c r="F2679" s="879"/>
      <c r="G2679" s="879"/>
    </row>
    <row r="2680" spans="1:8" ht="38.25">
      <c r="A2680" s="884" t="s">
        <v>3523</v>
      </c>
      <c r="B2680" s="884" t="s">
        <v>3524</v>
      </c>
      <c r="C2680" s="250">
        <f>ROUNDUP(E2680/0.8/120,2)</f>
        <v>57.5</v>
      </c>
      <c r="D2680" s="250"/>
      <c r="E2680" s="129">
        <f>5120+400</f>
        <v>5520</v>
      </c>
      <c r="F2680" s="883">
        <f>(((C2680*G2680)-E2680)/(C2680*G2680))</f>
        <v>0.2</v>
      </c>
      <c r="G2680" s="132">
        <v>120</v>
      </c>
    </row>
    <row r="2681" spans="1:8" ht="38.25">
      <c r="A2681" s="884" t="s">
        <v>3525</v>
      </c>
      <c r="B2681" s="884" t="s">
        <v>3524</v>
      </c>
      <c r="C2681" s="250">
        <f>ROUNDUP(E2681/0.8/120,2)</f>
        <v>53.65</v>
      </c>
      <c r="D2681" s="250"/>
      <c r="E2681" s="129">
        <f>5120+30</f>
        <v>5150</v>
      </c>
      <c r="F2681" s="881">
        <f>(((C2681*G2681)-E2681)/(C2681*G2681))</f>
        <v>0.20006213109661386</v>
      </c>
      <c r="G2681" s="882">
        <v>120</v>
      </c>
    </row>
    <row r="2682" spans="1:8">
      <c r="A2682" s="884"/>
      <c r="B2682" s="884"/>
      <c r="C2682" s="250"/>
      <c r="D2682" s="250"/>
      <c r="E2682" s="129"/>
      <c r="F2682" s="1046"/>
      <c r="G2682" s="132"/>
    </row>
    <row r="2683" spans="1:8" ht="38.25">
      <c r="A2683" s="884" t="s">
        <v>3517</v>
      </c>
      <c r="B2683" s="884" t="s">
        <v>3521</v>
      </c>
      <c r="C2683" s="250">
        <f>ROUNDUP(E2683/0.8/120,2)</f>
        <v>13.65</v>
      </c>
      <c r="D2683" s="250"/>
      <c r="E2683" s="129">
        <f>910+400</f>
        <v>1310</v>
      </c>
      <c r="F2683" s="883">
        <f>(((C2683*G2683)-E2683)/(C2683*G2683))</f>
        <v>0.20024420024420025</v>
      </c>
      <c r="G2683" s="132">
        <v>120</v>
      </c>
    </row>
    <row r="2684" spans="1:8" ht="38.25">
      <c r="A2684" s="884" t="s">
        <v>3518</v>
      </c>
      <c r="B2684" s="884" t="s">
        <v>3521</v>
      </c>
      <c r="C2684" s="250">
        <f>ROUNDUP(E2684/0.8/120,2)</f>
        <v>9.7999999999999989</v>
      </c>
      <c r="D2684" s="250"/>
      <c r="E2684" s="129">
        <f>910+30</f>
        <v>940</v>
      </c>
      <c r="F2684" s="881">
        <f>(((C2684*G2684)-E2684)/(C2684*G2684))</f>
        <v>0.20068027210884337</v>
      </c>
      <c r="G2684" s="882">
        <v>120</v>
      </c>
    </row>
    <row r="2685" spans="1:8">
      <c r="A2685" s="884"/>
      <c r="B2685" s="884"/>
      <c r="C2685" s="250"/>
      <c r="D2685" s="250"/>
      <c r="E2685" s="129"/>
      <c r="F2685" s="1046"/>
      <c r="G2685" s="132"/>
    </row>
    <row r="2686" spans="1:8" ht="38.25">
      <c r="A2686" s="884" t="s">
        <v>3519</v>
      </c>
      <c r="B2686" s="884" t="s">
        <v>3522</v>
      </c>
      <c r="C2686" s="250">
        <f>ROUNDUP(E2686/0.8/120,2)</f>
        <v>14.59</v>
      </c>
      <c r="D2686" s="250"/>
      <c r="E2686" s="129">
        <f>1000+400</f>
        <v>1400</v>
      </c>
      <c r="F2686" s="883">
        <f>(((C2686*G2686)-E2686)/(C2686*G2686))</f>
        <v>0.20036554717843269</v>
      </c>
      <c r="G2686" s="132">
        <v>120</v>
      </c>
    </row>
    <row r="2687" spans="1:8" ht="38.25">
      <c r="A2687" s="884" t="s">
        <v>3526</v>
      </c>
      <c r="B2687" s="884" t="s">
        <v>3522</v>
      </c>
      <c r="C2687" s="250">
        <f>ROUNDUP(E2687/0.8/120,2)</f>
        <v>10.73</v>
      </c>
      <c r="D2687" s="250"/>
      <c r="E2687" s="129">
        <f>1000+30</f>
        <v>1030</v>
      </c>
      <c r="F2687" s="881">
        <f>(((C2687*G2687)-E2687)/(C2687*G2687))</f>
        <v>0.20006213109661394</v>
      </c>
      <c r="G2687" s="882">
        <v>120</v>
      </c>
    </row>
    <row r="2690" spans="1:3">
      <c r="A2690" t="s">
        <v>3535</v>
      </c>
    </row>
    <row r="2691" spans="1:3">
      <c r="A2691" s="1048" t="s">
        <v>3538</v>
      </c>
      <c r="B2691" s="875" t="s">
        <v>3536</v>
      </c>
      <c r="C2691" s="875" t="s">
        <v>3537</v>
      </c>
    </row>
    <row r="2692" spans="1:3">
      <c r="A2692" s="744">
        <v>21034</v>
      </c>
      <c r="B2692" s="1047">
        <v>161</v>
      </c>
      <c r="C2692" s="1047">
        <f t="shared" ref="C2692:C2702" si="57">B2692*2</f>
        <v>322</v>
      </c>
    </row>
    <row r="2693" spans="1:3">
      <c r="A2693" s="744">
        <v>21079</v>
      </c>
      <c r="B2693" s="1047">
        <v>112</v>
      </c>
      <c r="C2693" s="1047">
        <f t="shared" si="57"/>
        <v>224</v>
      </c>
    </row>
    <row r="2694" spans="1:3">
      <c r="A2694" s="744">
        <v>24121</v>
      </c>
      <c r="B2694" s="1047">
        <v>105</v>
      </c>
      <c r="C2694" s="1047">
        <f t="shared" si="57"/>
        <v>210</v>
      </c>
    </row>
    <row r="2695" spans="1:3">
      <c r="A2695" s="744">
        <v>2709</v>
      </c>
      <c r="B2695" s="1047">
        <v>188</v>
      </c>
      <c r="C2695" s="1047">
        <f t="shared" si="57"/>
        <v>376</v>
      </c>
    </row>
    <row r="2696" spans="1:3">
      <c r="A2696" s="744">
        <v>22435</v>
      </c>
      <c r="B2696" s="1047">
        <v>230</v>
      </c>
      <c r="C2696" s="1047">
        <f t="shared" si="57"/>
        <v>460</v>
      </c>
    </row>
    <row r="2697" spans="1:3">
      <c r="A2697" s="744">
        <v>21332</v>
      </c>
      <c r="B2697" s="1047">
        <v>139</v>
      </c>
      <c r="C2697" s="1047">
        <f t="shared" si="57"/>
        <v>278</v>
      </c>
    </row>
    <row r="2698" spans="1:3">
      <c r="A2698" s="744">
        <v>22090</v>
      </c>
      <c r="B2698" s="1047">
        <v>95</v>
      </c>
      <c r="C2698" s="1047">
        <f t="shared" si="57"/>
        <v>190</v>
      </c>
    </row>
    <row r="2699" spans="1:3">
      <c r="A2699" s="744">
        <v>24131</v>
      </c>
      <c r="B2699" s="1047">
        <v>100</v>
      </c>
      <c r="C2699" s="1047">
        <f t="shared" si="57"/>
        <v>200</v>
      </c>
    </row>
    <row r="2700" spans="1:3">
      <c r="A2700" s="744">
        <v>22425</v>
      </c>
      <c r="B2700" s="1047">
        <v>207</v>
      </c>
      <c r="C2700" s="1047">
        <f t="shared" si="57"/>
        <v>414</v>
      </c>
    </row>
    <row r="2701" spans="1:3">
      <c r="A2701" s="744">
        <v>22073</v>
      </c>
      <c r="B2701" s="1047">
        <v>112</v>
      </c>
      <c r="C2701" s="1047">
        <f t="shared" si="57"/>
        <v>224</v>
      </c>
    </row>
    <row r="2702" spans="1:3">
      <c r="A2702" s="744">
        <v>22060</v>
      </c>
      <c r="B2702" s="1047">
        <v>199</v>
      </c>
      <c r="C2702" s="1047">
        <f t="shared" si="57"/>
        <v>398</v>
      </c>
    </row>
    <row r="2703" spans="1:3">
      <c r="A2703" s="744"/>
      <c r="B2703" s="1047"/>
      <c r="C2703" s="1047"/>
    </row>
    <row r="2704" spans="1:3">
      <c r="A2704" s="744" t="s">
        <v>3527</v>
      </c>
      <c r="B2704" s="1047">
        <v>188</v>
      </c>
      <c r="C2704" s="1047">
        <f t="shared" ref="C2704:C2711" si="58">B2704*2</f>
        <v>376</v>
      </c>
    </row>
    <row r="2705" spans="1:3">
      <c r="A2705" s="744" t="s">
        <v>3528</v>
      </c>
      <c r="B2705" s="1047">
        <v>223</v>
      </c>
      <c r="C2705" s="1047">
        <f t="shared" si="58"/>
        <v>446</v>
      </c>
    </row>
    <row r="2706" spans="1:3">
      <c r="A2706" s="744" t="s">
        <v>3529</v>
      </c>
      <c r="B2706" s="1047">
        <v>129</v>
      </c>
      <c r="C2706" s="1047">
        <f t="shared" si="58"/>
        <v>258</v>
      </c>
    </row>
    <row r="2707" spans="1:3">
      <c r="A2707" s="744" t="s">
        <v>3530</v>
      </c>
      <c r="B2707" s="1047">
        <v>183</v>
      </c>
      <c r="C2707" s="1047">
        <f t="shared" si="58"/>
        <v>366</v>
      </c>
    </row>
    <row r="2708" spans="1:3">
      <c r="A2708" s="744" t="s">
        <v>3531</v>
      </c>
      <c r="B2708" s="1047">
        <v>193</v>
      </c>
      <c r="C2708" s="1047">
        <f t="shared" si="58"/>
        <v>386</v>
      </c>
    </row>
    <row r="2709" spans="1:3">
      <c r="A2709" s="744" t="s">
        <v>3532</v>
      </c>
      <c r="B2709" s="1047">
        <v>178</v>
      </c>
      <c r="C2709" s="1047">
        <f t="shared" si="58"/>
        <v>356</v>
      </c>
    </row>
    <row r="2710" spans="1:3">
      <c r="A2710" s="744" t="s">
        <v>3533</v>
      </c>
      <c r="B2710" s="1047">
        <v>200</v>
      </c>
      <c r="C2710" s="1047">
        <f t="shared" si="58"/>
        <v>400</v>
      </c>
    </row>
    <row r="2711" spans="1:3">
      <c r="A2711" s="744" t="s">
        <v>3534</v>
      </c>
      <c r="B2711" s="1047">
        <v>276</v>
      </c>
      <c r="C2711" s="1047">
        <f t="shared" si="58"/>
        <v>552</v>
      </c>
    </row>
    <row r="2712" spans="1:3">
      <c r="A2712" s="744"/>
      <c r="B2712" s="1047"/>
      <c r="C2712" s="1047"/>
    </row>
    <row r="2713" spans="1:3">
      <c r="A2713" s="744">
        <v>22483</v>
      </c>
      <c r="B2713" s="1047">
        <v>330</v>
      </c>
      <c r="C2713" s="1047">
        <f>B2713*2</f>
        <v>660</v>
      </c>
    </row>
    <row r="2714" spans="1:3">
      <c r="A2714" s="744">
        <v>22690</v>
      </c>
      <c r="B2714" s="1047">
        <v>215</v>
      </c>
      <c r="C2714" s="1047">
        <f>B2714*2</f>
        <v>430</v>
      </c>
    </row>
    <row r="2715" spans="1:3">
      <c r="A2715" s="744">
        <v>22692</v>
      </c>
      <c r="B2715" s="1047">
        <v>219</v>
      </c>
      <c r="C2715" s="1047">
        <f>B2715*2</f>
        <v>438</v>
      </c>
    </row>
    <row r="2716" spans="1:3">
      <c r="A2716" s="744">
        <v>22819</v>
      </c>
      <c r="B2716" s="1047">
        <v>170</v>
      </c>
      <c r="C2716" s="1047">
        <f>B2716*2</f>
        <v>340</v>
      </c>
    </row>
    <row r="2719" spans="1:3">
      <c r="A2719" s="875" t="s">
        <v>3546</v>
      </c>
      <c r="B2719" s="744" t="s">
        <v>3536</v>
      </c>
      <c r="C2719" s="744" t="s">
        <v>3547</v>
      </c>
    </row>
    <row r="2720" spans="1:3">
      <c r="A2720" s="744" t="s">
        <v>3539</v>
      </c>
      <c r="B2720" s="744">
        <v>75</v>
      </c>
      <c r="C2720" s="744">
        <f>B2720*2</f>
        <v>150</v>
      </c>
    </row>
    <row r="2721" spans="1:5">
      <c r="A2721" s="744" t="s">
        <v>3540</v>
      </c>
      <c r="B2721" s="744">
        <v>100</v>
      </c>
      <c r="C2721" s="744">
        <f>B2721*2</f>
        <v>200</v>
      </c>
    </row>
    <row r="2722" spans="1:5">
      <c r="A2722" s="744" t="s">
        <v>3541</v>
      </c>
      <c r="B2722" s="744">
        <v>140</v>
      </c>
      <c r="C2722" s="744">
        <f>B2722*2</f>
        <v>280</v>
      </c>
    </row>
    <row r="2723" spans="1:5">
      <c r="A2723" s="744" t="s">
        <v>3542</v>
      </c>
      <c r="B2723" s="744">
        <v>165</v>
      </c>
      <c r="C2723" s="744">
        <f>B2723*2</f>
        <v>330</v>
      </c>
    </row>
    <row r="2724" spans="1:5">
      <c r="A2724" s="838"/>
      <c r="B2724" s="838"/>
      <c r="C2724" s="838"/>
    </row>
    <row r="2725" spans="1:5">
      <c r="A2725" s="838"/>
      <c r="B2725" s="838"/>
      <c r="C2725" s="838"/>
    </row>
    <row r="2726" spans="1:5">
      <c r="A2726" s="875" t="s">
        <v>3548</v>
      </c>
      <c r="B2726" s="744" t="s">
        <v>3536</v>
      </c>
      <c r="C2726" s="744" t="s">
        <v>3547</v>
      </c>
    </row>
    <row r="2727" spans="1:5">
      <c r="A2727" s="744">
        <v>69025</v>
      </c>
      <c r="B2727" s="744"/>
      <c r="C2727" s="744"/>
    </row>
    <row r="2728" spans="1:5">
      <c r="A2728" s="1049" t="s">
        <v>3545</v>
      </c>
      <c r="B2728" s="744">
        <v>87</v>
      </c>
      <c r="C2728" s="744">
        <f>B2728*2</f>
        <v>174</v>
      </c>
    </row>
    <row r="2729" spans="1:5">
      <c r="A2729" s="744">
        <v>67003</v>
      </c>
      <c r="B2729" s="744"/>
      <c r="C2729" s="744"/>
    </row>
    <row r="2730" spans="1:5">
      <c r="A2730" s="744" t="s">
        <v>3543</v>
      </c>
      <c r="B2730" s="744">
        <v>126</v>
      </c>
      <c r="C2730" s="744">
        <f>B2730*2</f>
        <v>252</v>
      </c>
    </row>
    <row r="2731" spans="1:5">
      <c r="A2731" s="744" t="s">
        <v>3544</v>
      </c>
      <c r="B2731" s="744">
        <v>123</v>
      </c>
      <c r="C2731" s="744">
        <f>B2731*2</f>
        <v>246</v>
      </c>
    </row>
    <row r="2734" spans="1:5" ht="14.25">
      <c r="A2734" s="925" t="s">
        <v>3549</v>
      </c>
    </row>
    <row r="2735" spans="1:5" s="239" customFormat="1" ht="14.25">
      <c r="A2735" s="242" t="s">
        <v>222</v>
      </c>
      <c r="B2735" s="931" t="s">
        <v>283</v>
      </c>
      <c r="C2735" s="926" t="s">
        <v>3068</v>
      </c>
      <c r="D2735" s="818" t="s">
        <v>2821</v>
      </c>
      <c r="E2735" s="927" t="s">
        <v>2822</v>
      </c>
    </row>
    <row r="2736" spans="1:5" s="239" customFormat="1" ht="24" customHeight="1">
      <c r="A2736" s="253" t="s">
        <v>3550</v>
      </c>
      <c r="B2736" s="254">
        <f>ROUNDUP(C2736/0.8/120,2)</f>
        <v>4.38</v>
      </c>
      <c r="C2736" s="928">
        <f>390+30</f>
        <v>420</v>
      </c>
      <c r="D2736" s="929">
        <f>(B2736-(C2736/E2736))/B2736</f>
        <v>0.20091324200913241</v>
      </c>
      <c r="E2736" s="930">
        <v>120</v>
      </c>
    </row>
    <row r="2737" spans="1:8" s="239" customFormat="1" ht="24" customHeight="1">
      <c r="A2737" s="253" t="s">
        <v>187</v>
      </c>
      <c r="B2737" s="254">
        <f>ROUNDUP(C2737/0.8/120,2)</f>
        <v>4.0699999999999994</v>
      </c>
      <c r="C2737" s="928">
        <f>360+30</f>
        <v>390</v>
      </c>
      <c r="D2737" s="929">
        <f>(B2737-(C2737/E2737))/B2737</f>
        <v>0.20147420147420136</v>
      </c>
      <c r="E2737" s="930">
        <v>120</v>
      </c>
    </row>
    <row r="2738" spans="1:8" s="239" customFormat="1" ht="24" customHeight="1">
      <c r="A2738" s="253" t="s">
        <v>6</v>
      </c>
      <c r="B2738" s="254">
        <v>5</v>
      </c>
      <c r="C2738" s="928">
        <f>420+30</f>
        <v>450</v>
      </c>
      <c r="D2738" s="929">
        <f>(B2738-(C2738/E2738))/B2738</f>
        <v>0.25</v>
      </c>
      <c r="E2738" s="930">
        <v>120</v>
      </c>
    </row>
    <row r="2739" spans="1:8" s="239" customFormat="1" ht="24" customHeight="1">
      <c r="A2739" s="253" t="s">
        <v>3551</v>
      </c>
      <c r="B2739" s="254">
        <f>ROUNDUP(C2739/0.8/120,2)</f>
        <v>5.1099999999999994</v>
      </c>
      <c r="C2739" s="928">
        <f>460+30</f>
        <v>490</v>
      </c>
      <c r="D2739" s="929">
        <f>(B2739-(C2739/E2739))/B2739</f>
        <v>0.20091324200913238</v>
      </c>
      <c r="E2739" s="930">
        <v>120</v>
      </c>
    </row>
    <row r="2743" spans="1:8" ht="14.25">
      <c r="A2743" s="925" t="s">
        <v>3552</v>
      </c>
    </row>
    <row r="2744" spans="1:8" s="239" customFormat="1" ht="14.25">
      <c r="A2744" s="242" t="s">
        <v>222</v>
      </c>
      <c r="B2744" s="931" t="s">
        <v>283</v>
      </c>
      <c r="C2744" s="926" t="s">
        <v>3553</v>
      </c>
      <c r="D2744" s="818" t="s">
        <v>2821</v>
      </c>
      <c r="E2744" s="927" t="s">
        <v>2822</v>
      </c>
    </row>
    <row r="2745" spans="1:8" s="239" customFormat="1" ht="24" customHeight="1">
      <c r="A2745" s="253" t="s">
        <v>3554</v>
      </c>
      <c r="B2745" s="254">
        <v>5</v>
      </c>
      <c r="C2745" s="928">
        <f>420+15</f>
        <v>435</v>
      </c>
      <c r="D2745" s="929">
        <f>(B2745-(C2745/E2745))/B2745</f>
        <v>0.27500000000000002</v>
      </c>
      <c r="E2745" s="930">
        <v>120</v>
      </c>
    </row>
    <row r="2746" spans="1:8" s="239" customFormat="1" ht="24" customHeight="1">
      <c r="A2746" s="253" t="s">
        <v>3555</v>
      </c>
      <c r="B2746" s="254">
        <v>4.2300000000000004</v>
      </c>
      <c r="C2746" s="928">
        <f>350+15</f>
        <v>365</v>
      </c>
      <c r="D2746" s="929">
        <f>(B2746-(C2746/E2746))/B2746</f>
        <v>0.28092986603624914</v>
      </c>
      <c r="E2746" s="930">
        <v>120</v>
      </c>
    </row>
    <row r="2751" spans="1:8" ht="25.5">
      <c r="A2751" s="762" t="s">
        <v>166</v>
      </c>
      <c r="B2751" s="762" t="s">
        <v>95</v>
      </c>
      <c r="C2751" s="762" t="s">
        <v>3103</v>
      </c>
      <c r="D2751" s="936" t="s">
        <v>2855</v>
      </c>
      <c r="E2751" s="936" t="s">
        <v>3558</v>
      </c>
      <c r="F2751" s="762" t="s">
        <v>3227</v>
      </c>
      <c r="G2751" s="1051" t="s">
        <v>2821</v>
      </c>
      <c r="H2751" s="1030" t="s">
        <v>2822</v>
      </c>
    </row>
    <row r="2752" spans="1:8">
      <c r="A2752" s="37" t="s">
        <v>3556</v>
      </c>
      <c r="B2752" s="37" t="s">
        <v>3094</v>
      </c>
      <c r="C2752" s="248">
        <v>10</v>
      </c>
      <c r="D2752" s="742">
        <f>ROUNDUP(F2752/0.6/120,2)</f>
        <v>2.5499999999999998</v>
      </c>
      <c r="E2752" s="250" t="s">
        <v>3247</v>
      </c>
      <c r="F2752" s="1045">
        <v>183</v>
      </c>
      <c r="G2752" s="1052">
        <f>(D2752-(F2752/H2752))/D2752</f>
        <v>0.40196078431372551</v>
      </c>
      <c r="H2752" s="1030">
        <v>120</v>
      </c>
    </row>
    <row r="2753" spans="1:8">
      <c r="A2753" s="37" t="s">
        <v>3512</v>
      </c>
      <c r="B2753" s="37" t="s">
        <v>3562</v>
      </c>
      <c r="C2753" s="248" t="s">
        <v>3264</v>
      </c>
      <c r="D2753" s="742">
        <f>ROUNDUP(F2753/0.6/120,2)</f>
        <v>3.8</v>
      </c>
      <c r="E2753" s="942" t="s">
        <v>1822</v>
      </c>
      <c r="F2753" s="1045">
        <f>183+90</f>
        <v>273</v>
      </c>
      <c r="G2753" s="1052">
        <f>(D2753-(F2753/H2753))/D2753</f>
        <v>0.40131578947368418</v>
      </c>
      <c r="H2753" s="1030">
        <v>120</v>
      </c>
    </row>
    <row r="2754" spans="1:8">
      <c r="A2754" s="37" t="s">
        <v>3556</v>
      </c>
      <c r="B2754" s="37" t="s">
        <v>3563</v>
      </c>
      <c r="C2754" s="248" t="s">
        <v>3557</v>
      </c>
      <c r="D2754" s="742">
        <f>ROUNDUP(F2754/0.6/120,2)</f>
        <v>3.5199999999999996</v>
      </c>
      <c r="E2754" s="942" t="s">
        <v>1822</v>
      </c>
      <c r="F2754" s="1045">
        <v>253</v>
      </c>
      <c r="G2754" s="1052">
        <f>(D2754-(F2754/H2754))/D2754</f>
        <v>0.40104166666666657</v>
      </c>
      <c r="H2754" s="1030">
        <v>120</v>
      </c>
    </row>
    <row r="2755" spans="1:8">
      <c r="A2755" s="37"/>
      <c r="B2755" s="37"/>
      <c r="C2755" s="248"/>
      <c r="D2755" s="742"/>
      <c r="E2755" s="942"/>
      <c r="F2755" s="1045"/>
      <c r="G2755" s="1050"/>
      <c r="H2755" s="161"/>
    </row>
    <row r="2756" spans="1:8" s="243" customFormat="1">
      <c r="A2756" s="37" t="s">
        <v>3559</v>
      </c>
      <c r="B2756" s="37" t="s">
        <v>3094</v>
      </c>
      <c r="C2756" s="248">
        <v>10</v>
      </c>
      <c r="D2756" s="742">
        <f>ROUNDUP(F2756/0.6/120,2)</f>
        <v>2.4499999999999997</v>
      </c>
      <c r="E2756" s="942" t="s">
        <v>3277</v>
      </c>
      <c r="F2756" s="257">
        <v>176</v>
      </c>
      <c r="G2756" s="789">
        <f>(D2756-(F2756/H2756))/D2756</f>
        <v>0.40136054421768708</v>
      </c>
      <c r="H2756" s="161">
        <v>120</v>
      </c>
    </row>
    <row r="2757" spans="1:8" s="243" customFormat="1">
      <c r="A2757" s="37" t="s">
        <v>3342</v>
      </c>
      <c r="B2757" s="37" t="s">
        <v>3562</v>
      </c>
      <c r="C2757" s="248" t="s">
        <v>3264</v>
      </c>
      <c r="D2757" s="742">
        <f>ROUNDUP(F2757/0.6/120,2)</f>
        <v>3.6999999999999997</v>
      </c>
      <c r="E2757" s="942" t="s">
        <v>1822</v>
      </c>
      <c r="F2757" s="257">
        <f>176+90</f>
        <v>266</v>
      </c>
      <c r="G2757" s="789">
        <f>(D2757-(F2757/H2757))/D2757</f>
        <v>0.4009009009009008</v>
      </c>
      <c r="H2757" s="161">
        <v>120</v>
      </c>
    </row>
    <row r="2758" spans="1:8">
      <c r="A2758" s="37" t="s">
        <v>3342</v>
      </c>
      <c r="B2758" s="37" t="s">
        <v>3563</v>
      </c>
      <c r="C2758" s="248" t="s">
        <v>3557</v>
      </c>
      <c r="D2758" s="742">
        <f>ROUNDUP(F2758/0.6/120,2)</f>
        <v>3.5599999999999996</v>
      </c>
      <c r="E2758" s="942" t="s">
        <v>1822</v>
      </c>
      <c r="F2758" s="1045">
        <v>256</v>
      </c>
      <c r="G2758" s="1052">
        <f>(D2758-(F2758/H2758))/D2758</f>
        <v>0.40074906367041191</v>
      </c>
      <c r="H2758" s="1030">
        <v>120</v>
      </c>
    </row>
    <row r="2759" spans="1:8">
      <c r="A2759" s="37"/>
      <c r="B2759" s="37"/>
      <c r="C2759" s="248"/>
      <c r="D2759" s="742"/>
      <c r="E2759" s="942"/>
      <c r="F2759" s="1045"/>
      <c r="G2759" s="1052"/>
      <c r="H2759" s="1030"/>
    </row>
    <row r="2760" spans="1:8">
      <c r="A2760" s="37" t="s">
        <v>3560</v>
      </c>
      <c r="B2760" s="37" t="s">
        <v>3094</v>
      </c>
      <c r="C2760" s="248">
        <v>10</v>
      </c>
      <c r="D2760" s="742">
        <f>ROUNDUP(F2760/0.6/120,2)</f>
        <v>1.98</v>
      </c>
      <c r="E2760" s="250" t="s">
        <v>1927</v>
      </c>
      <c r="F2760" s="1045">
        <v>142</v>
      </c>
      <c r="G2760" s="1052">
        <f>(D2760-(F2760/H2760))/D2760</f>
        <v>0.40235690235690236</v>
      </c>
      <c r="H2760" s="1030">
        <v>120</v>
      </c>
    </row>
    <row r="2761" spans="1:8">
      <c r="A2761" s="37" t="s">
        <v>3419</v>
      </c>
      <c r="B2761" s="37" t="s">
        <v>3562</v>
      </c>
      <c r="C2761" s="248" t="s">
        <v>3264</v>
      </c>
      <c r="D2761" s="742">
        <f>ROUNDUP(F2761/0.6/120,2)</f>
        <v>3.09</v>
      </c>
      <c r="E2761" s="942" t="s">
        <v>1822</v>
      </c>
      <c r="F2761" s="1045">
        <f>142+80</f>
        <v>222</v>
      </c>
      <c r="G2761" s="1052">
        <f>(D2761-(F2761/H2761))/D2761</f>
        <v>0.40129449838187697</v>
      </c>
      <c r="H2761" s="1030">
        <v>120</v>
      </c>
    </row>
    <row r="2762" spans="1:8">
      <c r="A2762" s="37" t="s">
        <v>3419</v>
      </c>
      <c r="B2762" s="37" t="s">
        <v>3563</v>
      </c>
      <c r="C2762" s="248" t="s">
        <v>3557</v>
      </c>
      <c r="D2762" s="742">
        <f>ROUNDUP(F2762/0.6/120,2)</f>
        <v>2.9499999999999997</v>
      </c>
      <c r="E2762" s="942" t="s">
        <v>1822</v>
      </c>
      <c r="F2762" s="1045">
        <v>212</v>
      </c>
      <c r="G2762" s="1052">
        <f>(D2762-(F2762/H2762))/D2762</f>
        <v>0.40112994350282483</v>
      </c>
      <c r="H2762" s="1030">
        <v>120</v>
      </c>
    </row>
    <row r="2763" spans="1:8">
      <c r="A2763" s="37"/>
      <c r="B2763" s="37"/>
      <c r="C2763" s="248"/>
      <c r="D2763" s="742"/>
      <c r="E2763" s="942"/>
      <c r="F2763" s="1045"/>
      <c r="G2763" s="1052"/>
      <c r="H2763" s="1030"/>
    </row>
    <row r="2764" spans="1:8">
      <c r="A2764" s="37" t="s">
        <v>3566</v>
      </c>
      <c r="B2764" s="37" t="s">
        <v>3564</v>
      </c>
      <c r="C2764" s="248" t="s">
        <v>3561</v>
      </c>
      <c r="D2764" s="742">
        <v>65</v>
      </c>
      <c r="E2764" s="250" t="s">
        <v>1822</v>
      </c>
      <c r="F2764" s="1045">
        <v>6000</v>
      </c>
      <c r="G2764" s="1052">
        <f>(D2764-(F2764/H2764))/D2764</f>
        <v>0.23076923076923078</v>
      </c>
      <c r="H2764" s="1030">
        <v>120</v>
      </c>
    </row>
    <row r="2765" spans="1:8">
      <c r="A2765" s="37" t="s">
        <v>3566</v>
      </c>
      <c r="B2765" s="37" t="s">
        <v>3094</v>
      </c>
      <c r="C2765" s="248" t="s">
        <v>3557</v>
      </c>
      <c r="D2765" s="742">
        <f>ROUNDUP(F2765/0.6/120,2)</f>
        <v>2.5</v>
      </c>
      <c r="E2765" s="250" t="s">
        <v>1822</v>
      </c>
      <c r="F2765" s="1045">
        <v>180</v>
      </c>
      <c r="G2765" s="1052">
        <f>(D2765-(F2765/H2765))/D2765</f>
        <v>0.4</v>
      </c>
      <c r="H2765" s="1030">
        <v>120</v>
      </c>
    </row>
    <row r="2766" spans="1:8">
      <c r="A2766" s="37" t="s">
        <v>3566</v>
      </c>
      <c r="B2766" s="37" t="s">
        <v>3563</v>
      </c>
      <c r="C2766" s="248" t="s">
        <v>3557</v>
      </c>
      <c r="D2766" s="742">
        <f>ROUNDUP(F2766/0.6/120,2)</f>
        <v>3.48</v>
      </c>
      <c r="E2766" s="942" t="s">
        <v>1822</v>
      </c>
      <c r="F2766" s="1045">
        <v>250</v>
      </c>
      <c r="G2766" s="1052">
        <f>(D2766-(F2766/H2766))/D2766</f>
        <v>0.40134099616858232</v>
      </c>
      <c r="H2766" s="1030">
        <v>120</v>
      </c>
    </row>
    <row r="2770" spans="1:6" ht="15.75">
      <c r="A2770" s="72" t="s">
        <v>3568</v>
      </c>
      <c r="B2770" s="762" t="s">
        <v>166</v>
      </c>
      <c r="C2770" s="762" t="s">
        <v>95</v>
      </c>
      <c r="D2770" s="762" t="s">
        <v>35</v>
      </c>
      <c r="E2770" s="936" t="s">
        <v>2855</v>
      </c>
      <c r="F2770" s="936" t="s">
        <v>3224</v>
      </c>
    </row>
    <row r="2771" spans="1:6" ht="15.75">
      <c r="A2771" s="72"/>
      <c r="B2771" s="762"/>
      <c r="C2771" s="762"/>
      <c r="D2771" s="762"/>
      <c r="E2771" s="1060" t="s">
        <v>5</v>
      </c>
      <c r="F2771" s="936"/>
    </row>
    <row r="2772" spans="1:6" ht="15.75">
      <c r="A2772" s="26" t="s">
        <v>3569</v>
      </c>
      <c r="B2772" s="20" t="s">
        <v>3559</v>
      </c>
      <c r="C2772" s="20" t="s">
        <v>3563</v>
      </c>
      <c r="D2772" s="89">
        <v>10</v>
      </c>
      <c r="E2772" s="124">
        <v>3.56</v>
      </c>
      <c r="F2772" s="124">
        <f>E2772*D2772</f>
        <v>35.6</v>
      </c>
    </row>
    <row r="2773" spans="1:6" ht="15.75">
      <c r="A2773" s="26" t="s">
        <v>3569</v>
      </c>
      <c r="B2773" s="20"/>
      <c r="C2773" s="20"/>
      <c r="D2773" s="25"/>
      <c r="E2773" s="1057"/>
      <c r="F2773" s="1058"/>
    </row>
    <row r="2774" spans="1:6" ht="15.75">
      <c r="A2774" s="26" t="s">
        <v>3569</v>
      </c>
      <c r="B2774" s="20" t="s">
        <v>3419</v>
      </c>
      <c r="C2774" s="20" t="s">
        <v>3563</v>
      </c>
      <c r="D2774" s="89">
        <v>20</v>
      </c>
      <c r="E2774" s="124">
        <v>2.9499999999999997</v>
      </c>
      <c r="F2774" s="124">
        <f>E2774*D2774</f>
        <v>58.999999999999993</v>
      </c>
    </row>
    <row r="2775" spans="1:6" ht="15.75">
      <c r="A2775" s="26" t="s">
        <v>3569</v>
      </c>
      <c r="B2775" s="20"/>
      <c r="C2775" s="46"/>
      <c r="D2775" s="25"/>
      <c r="E2775" s="1059"/>
      <c r="F2775" s="1058"/>
    </row>
    <row r="2776" spans="1:6" ht="15.75">
      <c r="A2776" s="26" t="s">
        <v>3569</v>
      </c>
      <c r="B2776" s="20" t="s">
        <v>3556</v>
      </c>
      <c r="C2776" s="20" t="s">
        <v>3563</v>
      </c>
      <c r="D2776" s="89">
        <v>10</v>
      </c>
      <c r="E2776" s="124">
        <v>3.5199999999999996</v>
      </c>
      <c r="F2776" s="124">
        <f>E2776*D2776</f>
        <v>35.199999999999996</v>
      </c>
    </row>
    <row r="2777" spans="1:6" ht="15.75">
      <c r="A2777" s="26" t="s">
        <v>3569</v>
      </c>
      <c r="B2777" s="37" t="s">
        <v>3566</v>
      </c>
      <c r="C2777" s="20" t="s">
        <v>3563</v>
      </c>
      <c r="D2777" s="89">
        <v>20</v>
      </c>
      <c r="E2777" s="124">
        <v>3.48</v>
      </c>
      <c r="F2777" s="124">
        <f>E2777*D2777</f>
        <v>69.599999999999994</v>
      </c>
    </row>
    <row r="2778" spans="1:6" ht="15.75">
      <c r="A2778" s="26" t="s">
        <v>3569</v>
      </c>
      <c r="B2778" s="20"/>
      <c r="C2778" s="20" t="s">
        <v>3567</v>
      </c>
      <c r="D2778" s="1056">
        <v>4</v>
      </c>
      <c r="E2778" s="124">
        <v>65</v>
      </c>
      <c r="F2778" s="124">
        <f>E2778*D2778</f>
        <v>260</v>
      </c>
    </row>
    <row r="2779" spans="1:6" ht="15.75">
      <c r="A2779" s="26" t="s">
        <v>3569</v>
      </c>
      <c r="B2779" s="20"/>
      <c r="C2779" s="20" t="s">
        <v>266</v>
      </c>
      <c r="D2779" s="1056">
        <v>1</v>
      </c>
      <c r="E2779" s="124">
        <v>12</v>
      </c>
      <c r="F2779" s="124">
        <f>E2779*D2779</f>
        <v>12</v>
      </c>
    </row>
    <row r="2780" spans="1:6" ht="15.75">
      <c r="A2780" s="72" t="s">
        <v>3568</v>
      </c>
      <c r="B2780" s="762" t="s">
        <v>166</v>
      </c>
      <c r="C2780" s="762" t="s">
        <v>95</v>
      </c>
      <c r="D2780" s="762" t="s">
        <v>35</v>
      </c>
      <c r="E2780" s="936" t="s">
        <v>2855</v>
      </c>
      <c r="F2780" s="936" t="s">
        <v>3224</v>
      </c>
    </row>
    <row r="2781" spans="1:6" ht="15.75">
      <c r="A2781" s="26" t="s">
        <v>3570</v>
      </c>
      <c r="B2781" s="20"/>
      <c r="C2781" s="20"/>
      <c r="D2781" s="89"/>
      <c r="E2781" s="1060" t="s">
        <v>5</v>
      </c>
      <c r="F2781" s="124"/>
    </row>
    <row r="2782" spans="1:6" ht="15.75">
      <c r="A2782" s="26" t="s">
        <v>3570</v>
      </c>
      <c r="B2782" s="20" t="s">
        <v>3559</v>
      </c>
      <c r="C2782" s="20" t="s">
        <v>3563</v>
      </c>
      <c r="D2782" s="89">
        <v>50</v>
      </c>
      <c r="E2782" s="124">
        <v>3.56</v>
      </c>
      <c r="F2782" s="124">
        <f>E2782*D2782</f>
        <v>178</v>
      </c>
    </row>
    <row r="2783" spans="1:6" ht="15.75">
      <c r="A2783" s="26" t="s">
        <v>3570</v>
      </c>
      <c r="B2783" s="20"/>
      <c r="C2783" s="20"/>
      <c r="D2783" s="25"/>
      <c r="E2783" s="1057"/>
      <c r="F2783" s="1058"/>
    </row>
    <row r="2784" spans="1:6" ht="15.75">
      <c r="A2784" s="26" t="s">
        <v>3570</v>
      </c>
      <c r="B2784" s="20" t="s">
        <v>3419</v>
      </c>
      <c r="C2784" s="20" t="s">
        <v>3563</v>
      </c>
      <c r="D2784" s="89">
        <v>80</v>
      </c>
      <c r="E2784" s="124">
        <v>2.9499999999999997</v>
      </c>
      <c r="F2784" s="124">
        <f>E2784*D2784</f>
        <v>235.99999999999997</v>
      </c>
    </row>
    <row r="2785" spans="1:6" ht="15.75">
      <c r="A2785" s="26" t="s">
        <v>3570</v>
      </c>
      <c r="B2785" s="20"/>
      <c r="C2785" s="46"/>
      <c r="D2785" s="25"/>
      <c r="E2785" s="1059"/>
      <c r="F2785" s="1058"/>
    </row>
    <row r="2786" spans="1:6" ht="15.75">
      <c r="A2786" s="26" t="s">
        <v>3570</v>
      </c>
      <c r="B2786" s="20" t="s">
        <v>3556</v>
      </c>
      <c r="C2786" s="20" t="s">
        <v>3563</v>
      </c>
      <c r="D2786" s="89">
        <v>50</v>
      </c>
      <c r="E2786" s="124">
        <v>3.5199999999999996</v>
      </c>
      <c r="F2786" s="124">
        <f>E2786*D2786</f>
        <v>175.99999999999997</v>
      </c>
    </row>
    <row r="2787" spans="1:6" ht="15.75">
      <c r="A2787" s="26" t="s">
        <v>3570</v>
      </c>
      <c r="B2787" s="37" t="s">
        <v>3566</v>
      </c>
      <c r="C2787" s="20" t="s">
        <v>3563</v>
      </c>
      <c r="D2787" s="89">
        <v>180</v>
      </c>
      <c r="E2787" s="124">
        <v>3.48</v>
      </c>
      <c r="F2787" s="124">
        <f>E2787*D2787</f>
        <v>626.4</v>
      </c>
    </row>
    <row r="2790" spans="1:6">
      <c r="B2790" s="762" t="s">
        <v>166</v>
      </c>
      <c r="C2790" s="762" t="s">
        <v>95</v>
      </c>
      <c r="D2790" s="762" t="s">
        <v>35</v>
      </c>
      <c r="E2790" s="936" t="s">
        <v>2855</v>
      </c>
      <c r="F2790" s="936" t="s">
        <v>3224</v>
      </c>
    </row>
    <row r="2791" spans="1:6" ht="15">
      <c r="B2791" s="762"/>
      <c r="C2791" s="762"/>
      <c r="D2791" s="762"/>
      <c r="E2791" s="1060" t="s">
        <v>5</v>
      </c>
      <c r="F2791" s="936"/>
    </row>
    <row r="2792" spans="1:6" ht="15">
      <c r="A2792" s="6" t="s">
        <v>3571</v>
      </c>
      <c r="B2792" s="735" t="s">
        <v>3566</v>
      </c>
      <c r="C2792" s="37" t="s">
        <v>3094</v>
      </c>
      <c r="D2792" s="248">
        <v>20</v>
      </c>
      <c r="E2792" s="742">
        <v>2.5</v>
      </c>
      <c r="F2792" s="742">
        <f>E2792*D2792</f>
        <v>50</v>
      </c>
    </row>
    <row r="2793" spans="1:6" ht="15">
      <c r="A2793" s="6" t="s">
        <v>3571</v>
      </c>
      <c r="B2793" s="735" t="s">
        <v>3566</v>
      </c>
      <c r="C2793" s="37" t="s">
        <v>3565</v>
      </c>
      <c r="D2793" s="248">
        <v>20</v>
      </c>
      <c r="E2793" s="742">
        <v>3.48</v>
      </c>
      <c r="F2793" s="742">
        <f>E2793*D2793</f>
        <v>69.599999999999994</v>
      </c>
    </row>
    <row r="2794" spans="1:6" ht="15">
      <c r="A2794" s="6"/>
      <c r="B2794" s="735"/>
      <c r="C2794" s="37"/>
      <c r="D2794" s="248"/>
      <c r="E2794" s="742"/>
      <c r="F2794" s="742"/>
    </row>
    <row r="2795" spans="1:6" ht="15">
      <c r="A2795" s="6" t="s">
        <v>3571</v>
      </c>
      <c r="B2795" s="735" t="s">
        <v>3572</v>
      </c>
      <c r="C2795" s="37"/>
      <c r="D2795" s="248"/>
      <c r="E2795" s="1061" t="s">
        <v>98</v>
      </c>
      <c r="F2795" s="742"/>
    </row>
    <row r="2796" spans="1:6" ht="15">
      <c r="A2796" s="6" t="s">
        <v>3571</v>
      </c>
      <c r="B2796" s="735" t="s">
        <v>3566</v>
      </c>
      <c r="C2796" s="37" t="s">
        <v>3094</v>
      </c>
      <c r="D2796" s="244">
        <v>1</v>
      </c>
      <c r="E2796" s="742">
        <v>65</v>
      </c>
      <c r="F2796" s="742">
        <f>E2796*D2796</f>
        <v>65</v>
      </c>
    </row>
    <row r="2797" spans="1:6" ht="15">
      <c r="A2797" s="6" t="s">
        <v>3571</v>
      </c>
      <c r="B2797" s="735" t="s">
        <v>3566</v>
      </c>
      <c r="C2797" s="37" t="s">
        <v>3565</v>
      </c>
      <c r="D2797" s="244">
        <v>1</v>
      </c>
      <c r="E2797" s="742">
        <v>65</v>
      </c>
      <c r="F2797" s="742">
        <f>E2797*D2797</f>
        <v>65</v>
      </c>
    </row>
    <row r="2802" spans="1:7">
      <c r="A2802" s="762" t="s">
        <v>166</v>
      </c>
      <c r="B2802" s="762" t="s">
        <v>158</v>
      </c>
      <c r="C2802" s="762" t="s">
        <v>95</v>
      </c>
      <c r="D2802" s="245" t="s">
        <v>211</v>
      </c>
      <c r="E2802" s="245" t="s">
        <v>227</v>
      </c>
      <c r="F2802" s="245" t="s">
        <v>228</v>
      </c>
      <c r="G2802" s="936" t="s">
        <v>2855</v>
      </c>
    </row>
    <row r="2803" spans="1:7">
      <c r="A2803" s="37">
        <v>14552</v>
      </c>
      <c r="B2803" s="38">
        <v>10</v>
      </c>
      <c r="C2803" s="37" t="s">
        <v>3574</v>
      </c>
      <c r="D2803" s="246">
        <v>30</v>
      </c>
      <c r="E2803" s="247">
        <v>2</v>
      </c>
      <c r="F2803" s="248">
        <f>D2803*E2803</f>
        <v>60</v>
      </c>
      <c r="G2803" s="742">
        <v>0.77</v>
      </c>
    </row>
    <row r="2804" spans="1:7">
      <c r="A2804" s="37">
        <v>14552</v>
      </c>
      <c r="B2804" s="38">
        <v>10</v>
      </c>
      <c r="C2804" s="37" t="s">
        <v>3573</v>
      </c>
      <c r="D2804" s="246">
        <v>30</v>
      </c>
      <c r="E2804" s="247">
        <v>2</v>
      </c>
      <c r="F2804" s="248">
        <f>D2804*E2804</f>
        <v>60</v>
      </c>
      <c r="G2804" s="742">
        <v>0.77</v>
      </c>
    </row>
    <row r="2805" spans="1:7">
      <c r="A2805" s="37"/>
      <c r="B2805" s="795"/>
      <c r="C2805" s="135" t="s">
        <v>266</v>
      </c>
      <c r="D2805" s="248"/>
      <c r="E2805" s="736"/>
      <c r="F2805" s="244">
        <v>1</v>
      </c>
      <c r="G2805" s="742">
        <v>12</v>
      </c>
    </row>
    <row r="2811" spans="1:7">
      <c r="A2811" s="1062" t="s">
        <v>3576</v>
      </c>
    </row>
    <row r="2812" spans="1:7">
      <c r="A2812" s="1063" t="s">
        <v>3577</v>
      </c>
    </row>
    <row r="2813" spans="1:7">
      <c r="A2813" s="1063" t="s">
        <v>3578</v>
      </c>
    </row>
    <row r="2814" spans="1:7">
      <c r="A2814" s="1063" t="s">
        <v>3579</v>
      </c>
    </row>
    <row r="2815" spans="1:7">
      <c r="A2815" s="1063" t="s">
        <v>3580</v>
      </c>
    </row>
    <row r="2816" spans="1:7">
      <c r="A2816" s="1063" t="s">
        <v>3581</v>
      </c>
    </row>
    <row r="2817" spans="1:1">
      <c r="A2817" s="1063"/>
    </row>
    <row r="2818" spans="1:1">
      <c r="A2818" s="1064" t="s">
        <v>3582</v>
      </c>
    </row>
    <row r="2819" spans="1:1">
      <c r="A2819" s="1063" t="s">
        <v>3583</v>
      </c>
    </row>
    <row r="2820" spans="1:1">
      <c r="A2820" s="1063" t="s">
        <v>3584</v>
      </c>
    </row>
    <row r="2821" spans="1:1">
      <c r="A2821" s="1063" t="s">
        <v>3585</v>
      </c>
    </row>
    <row r="2822" spans="1:1">
      <c r="A2822" s="1063" t="s">
        <v>3586</v>
      </c>
    </row>
    <row r="2823" spans="1:1">
      <c r="A2823" s="1063"/>
    </row>
    <row r="2824" spans="1:1">
      <c r="A2824" s="1064" t="s">
        <v>3587</v>
      </c>
    </row>
    <row r="2825" spans="1:1">
      <c r="A2825" s="1063" t="s">
        <v>3588</v>
      </c>
    </row>
    <row r="2826" spans="1:1">
      <c r="A2826" s="1063" t="s">
        <v>3575</v>
      </c>
    </row>
    <row r="2827" spans="1:1">
      <c r="A2827" s="1063" t="s">
        <v>3589</v>
      </c>
    </row>
    <row r="2828" spans="1:1">
      <c r="A2828" s="1063" t="s">
        <v>3590</v>
      </c>
    </row>
    <row r="2832" spans="1:1">
      <c r="A2832" t="s">
        <v>3596</v>
      </c>
    </row>
    <row r="2833" spans="1:18" s="778" customFormat="1" ht="17.100000000000001" customHeight="1">
      <c r="A2833" s="1290" t="s">
        <v>3160</v>
      </c>
      <c r="B2833" s="1291" t="s">
        <v>3591</v>
      </c>
      <c r="C2833" s="1065" t="s">
        <v>3642</v>
      </c>
      <c r="D2833" s="1065"/>
      <c r="E2833" s="1065"/>
      <c r="F2833" s="1065"/>
      <c r="G2833" s="1296" t="s">
        <v>3592</v>
      </c>
      <c r="H2833" s="1076"/>
      <c r="I2833" s="1076"/>
      <c r="J2833" s="1297" t="s">
        <v>3593</v>
      </c>
      <c r="K2833" s="1297" t="s">
        <v>2661</v>
      </c>
      <c r="L2833" s="1294" t="s">
        <v>3161</v>
      </c>
      <c r="M2833" s="1295" t="s">
        <v>308</v>
      </c>
    </row>
    <row r="2834" spans="1:18" s="778" customFormat="1" ht="17.100000000000001" customHeight="1">
      <c r="A2834" s="1290"/>
      <c r="B2834" s="1291"/>
      <c r="C2834" s="1067" t="s">
        <v>3643</v>
      </c>
      <c r="D2834" s="1067" t="s">
        <v>3644</v>
      </c>
      <c r="E2834" s="1067" t="s">
        <v>3645</v>
      </c>
      <c r="F2834" s="1067" t="s">
        <v>3646</v>
      </c>
      <c r="G2834" s="1296"/>
      <c r="H2834" s="1077" t="s">
        <v>3594</v>
      </c>
      <c r="I2834" s="1077" t="s">
        <v>3595</v>
      </c>
      <c r="J2834" s="1297"/>
      <c r="K2834" s="1297"/>
      <c r="L2834" s="1294"/>
      <c r="M2834" s="1295"/>
    </row>
    <row r="2835" spans="1:18" s="778" customFormat="1" ht="17.100000000000001" customHeight="1">
      <c r="A2835" s="1073" t="s">
        <v>3647</v>
      </c>
      <c r="B2835" s="1066"/>
      <c r="C2835" s="1067"/>
      <c r="D2835" s="1067"/>
      <c r="E2835" s="1067"/>
      <c r="F2835" s="1067"/>
      <c r="G2835" s="1075"/>
      <c r="H2835" s="1077"/>
      <c r="I2835" s="1077"/>
      <c r="J2835" s="1077"/>
      <c r="K2835" s="1077"/>
      <c r="L2835" s="1078"/>
      <c r="M2835" s="1072"/>
    </row>
    <row r="2836" spans="1:18" s="778" customFormat="1" ht="17.100000000000001" customHeight="1">
      <c r="A2836" s="1068" t="s">
        <v>3597</v>
      </c>
      <c r="B2836" s="1068" t="s">
        <v>3598</v>
      </c>
      <c r="C2836" s="1069">
        <v>42.836327999999995</v>
      </c>
      <c r="D2836" s="1069">
        <v>41.996399999999994</v>
      </c>
      <c r="E2836" s="1069">
        <v>38.636687999999999</v>
      </c>
      <c r="F2836" s="1069">
        <v>36.956831999999999</v>
      </c>
      <c r="G2836" s="1079">
        <v>5.8</v>
      </c>
      <c r="H2836" s="1079"/>
      <c r="I2836" s="1079"/>
      <c r="J2836" s="1079">
        <v>406</v>
      </c>
      <c r="K2836" s="1079">
        <v>34.799999999999997</v>
      </c>
      <c r="L2836" s="1079">
        <v>116.10000000000001</v>
      </c>
      <c r="M2836" s="1085" t="s">
        <v>3599</v>
      </c>
    </row>
    <row r="2837" spans="1:18" s="778" customFormat="1" ht="17.100000000000001" customHeight="1">
      <c r="A2837" s="1070" t="s">
        <v>3600</v>
      </c>
      <c r="B2837" s="1063" t="s">
        <v>3601</v>
      </c>
      <c r="C2837" s="1069">
        <v>43.138502999999993</v>
      </c>
      <c r="D2837" s="1069">
        <v>42.292649999999995</v>
      </c>
      <c r="E2837" s="1069">
        <v>38.909237999999995</v>
      </c>
      <c r="F2837" s="1069">
        <v>37.217531999999999</v>
      </c>
      <c r="G2837" s="1080">
        <v>5.8</v>
      </c>
      <c r="H2837" s="1080">
        <v>5.8</v>
      </c>
      <c r="I2837" s="1080">
        <v>34.799999999999997</v>
      </c>
      <c r="J2837" s="1080">
        <v>348</v>
      </c>
      <c r="K2837" s="1080">
        <v>34.799999999999997</v>
      </c>
      <c r="L2837" s="1081">
        <v>117.10000000000001</v>
      </c>
      <c r="M2837" s="1086" t="s">
        <v>3602</v>
      </c>
    </row>
    <row r="2838" spans="1:18" s="778" customFormat="1" ht="17.100000000000001" customHeight="1">
      <c r="A2838" s="1071" t="s">
        <v>3603</v>
      </c>
      <c r="B2838" s="1063" t="s">
        <v>3604</v>
      </c>
      <c r="C2838" s="1069">
        <v>17.143394999999998</v>
      </c>
      <c r="D2838" s="1069">
        <v>15.503591999999999</v>
      </c>
      <c r="E2838" s="1069">
        <v>15.205446</v>
      </c>
      <c r="F2838" s="1069">
        <v>14.907299999999999</v>
      </c>
      <c r="G2838" s="1082">
        <v>5.2</v>
      </c>
      <c r="H2838" s="1083">
        <v>873.6</v>
      </c>
      <c r="I2838" s="1083">
        <v>93.6</v>
      </c>
      <c r="J2838" s="1083">
        <v>873.6</v>
      </c>
      <c r="K2838" s="1083">
        <v>93.6</v>
      </c>
      <c r="L2838" s="1084">
        <v>39</v>
      </c>
      <c r="M2838" s="1087" t="s">
        <v>3605</v>
      </c>
    </row>
    <row r="2839" spans="1:18" s="778" customFormat="1" ht="17.100000000000001" customHeight="1">
      <c r="A2839" s="1070" t="s">
        <v>3606</v>
      </c>
      <c r="B2839" s="1063"/>
      <c r="C2839" s="1069">
        <v>14.020919999999998</v>
      </c>
      <c r="D2839" s="1069">
        <v>12.852510000000001</v>
      </c>
      <c r="E2839" s="1069">
        <v>11.917781999999999</v>
      </c>
      <c r="F2839" s="1069">
        <v>11.800941</v>
      </c>
      <c r="G2839" s="1080"/>
      <c r="H2839" s="1080"/>
      <c r="I2839" s="1080"/>
      <c r="J2839" s="1080">
        <v>1500</v>
      </c>
      <c r="K2839" s="1080">
        <v>146</v>
      </c>
      <c r="L2839" s="1081">
        <v>28</v>
      </c>
      <c r="M2839" s="1086" t="s">
        <v>3164</v>
      </c>
    </row>
    <row r="2840" spans="1:18" s="778" customFormat="1" ht="17.100000000000001" customHeight="1">
      <c r="A2840" s="1068" t="s">
        <v>3607</v>
      </c>
      <c r="B2840" s="1068"/>
      <c r="C2840" s="1069">
        <v>57.473684999999996</v>
      </c>
      <c r="D2840" s="1069">
        <v>56.346749999999993</v>
      </c>
      <c r="E2840" s="1069">
        <v>51.839009999999995</v>
      </c>
      <c r="F2840" s="1069">
        <v>49.585139999999996</v>
      </c>
      <c r="G2840" s="1079"/>
      <c r="H2840" s="1079"/>
      <c r="I2840" s="1079"/>
      <c r="J2840" s="1079">
        <v>300</v>
      </c>
      <c r="K2840" s="1079">
        <v>31.2</v>
      </c>
      <c r="L2840" s="1079">
        <v>149</v>
      </c>
      <c r="M2840" s="1085" t="s">
        <v>3608</v>
      </c>
    </row>
    <row r="2841" spans="1:18" s="778" customFormat="1" ht="17.100000000000001" customHeight="1">
      <c r="A2841" s="1070" t="s">
        <v>3609</v>
      </c>
      <c r="B2841" s="1063" t="s">
        <v>3610</v>
      </c>
      <c r="C2841" s="1069">
        <v>42.026499000000008</v>
      </c>
      <c r="D2841" s="1069">
        <v>41.202450000000006</v>
      </c>
      <c r="E2841" s="1069">
        <v>37.906254000000004</v>
      </c>
      <c r="F2841" s="1069">
        <v>36.258156000000007</v>
      </c>
      <c r="G2841" s="1080">
        <v>5.8</v>
      </c>
      <c r="H2841" s="1080">
        <v>5.8</v>
      </c>
      <c r="I2841" s="1080">
        <v>34.799999999999997</v>
      </c>
      <c r="J2841" s="1080">
        <v>394.4</v>
      </c>
      <c r="K2841" s="1080">
        <v>34.799999999999997</v>
      </c>
      <c r="L2841" s="1081">
        <v>114.7</v>
      </c>
      <c r="M2841" s="1086" t="s">
        <v>3602</v>
      </c>
    </row>
    <row r="2842" spans="1:18" s="778" customFormat="1" ht="17.100000000000001" customHeight="1">
      <c r="A2842" s="1070" t="s">
        <v>3611</v>
      </c>
      <c r="B2842" s="1063" t="s">
        <v>3612</v>
      </c>
      <c r="C2842" s="1069">
        <v>43.573634999999996</v>
      </c>
      <c r="D2842" s="1069">
        <v>42.719249999999995</v>
      </c>
      <c r="E2842" s="1069">
        <v>39.30171</v>
      </c>
      <c r="F2842" s="1069">
        <v>37.592939999999999</v>
      </c>
      <c r="G2842" s="1080">
        <v>5.8</v>
      </c>
      <c r="H2842" s="1080">
        <v>5.8</v>
      </c>
      <c r="I2842" s="1080">
        <v>34.799999999999997</v>
      </c>
      <c r="J2842" s="1080">
        <v>417.6</v>
      </c>
      <c r="K2842" s="1080">
        <v>34.799999999999997</v>
      </c>
      <c r="L2842" s="1081">
        <v>121.60000000000001</v>
      </c>
      <c r="M2842" s="1086" t="s">
        <v>3164</v>
      </c>
    </row>
    <row r="2843" spans="1:18" s="778" customFormat="1" ht="17.100000000000001" customHeight="1">
      <c r="A2843" s="1070" t="s">
        <v>3613</v>
      </c>
      <c r="B2843" s="1063" t="s">
        <v>3614</v>
      </c>
      <c r="C2843" s="1069">
        <v>45.144945000000007</v>
      </c>
      <c r="D2843" s="1069">
        <v>44.259750000000004</v>
      </c>
      <c r="E2843" s="1069">
        <v>40.718970000000006</v>
      </c>
      <c r="F2843" s="1069">
        <v>38.948580000000007</v>
      </c>
      <c r="G2843" s="1080">
        <v>5.2</v>
      </c>
      <c r="H2843" s="1080">
        <v>5.2</v>
      </c>
      <c r="I2843" s="1080">
        <v>31.2</v>
      </c>
      <c r="J2843" s="1080">
        <v>280.8</v>
      </c>
      <c r="K2843" s="1080">
        <v>31.2</v>
      </c>
      <c r="L2843" s="1081">
        <v>128.4</v>
      </c>
      <c r="M2843" s="1086" t="s">
        <v>3599</v>
      </c>
    </row>
    <row r="2844" spans="1:18" s="778" customFormat="1" ht="17.100000000000001" customHeight="1">
      <c r="A2844" s="1070" t="s">
        <v>3615</v>
      </c>
      <c r="B2844" s="1063" t="s">
        <v>3616</v>
      </c>
      <c r="C2844" s="1069">
        <v>56.240811000000001</v>
      </c>
      <c r="D2844" s="1069">
        <v>55.13805</v>
      </c>
      <c r="E2844" s="1069">
        <v>50.727006000000003</v>
      </c>
      <c r="F2844" s="1069">
        <v>48.521484000000001</v>
      </c>
      <c r="G2844" s="1080">
        <v>5</v>
      </c>
      <c r="H2844" s="1080">
        <v>5</v>
      </c>
      <c r="I2844" s="1080">
        <v>30</v>
      </c>
      <c r="J2844" s="1080">
        <v>180</v>
      </c>
      <c r="K2844" s="1080">
        <v>30</v>
      </c>
      <c r="L2844" s="1081">
        <v>160.80000000000001</v>
      </c>
      <c r="M2844" s="1086" t="s">
        <v>3599</v>
      </c>
    </row>
    <row r="2845" spans="1:18" s="778" customFormat="1" ht="17.100000000000001" customHeight="1">
      <c r="A2845" s="1070" t="s">
        <v>3617</v>
      </c>
      <c r="B2845" s="1063" t="s">
        <v>3618</v>
      </c>
      <c r="C2845" s="1069">
        <v>10.05354</v>
      </c>
      <c r="D2845" s="1069">
        <v>9.2157450000000019</v>
      </c>
      <c r="E2845" s="1069">
        <v>8.5455090000000009</v>
      </c>
      <c r="F2845" s="1069">
        <v>8.4617295000000006</v>
      </c>
      <c r="G2845" s="1082">
        <v>6.1</v>
      </c>
      <c r="H2845" s="1083">
        <v>1708</v>
      </c>
      <c r="I2845" s="1083">
        <v>183</v>
      </c>
      <c r="J2845" s="1083">
        <v>1708</v>
      </c>
      <c r="K2845" s="1083">
        <v>183</v>
      </c>
      <c r="L2845" s="1084">
        <v>20</v>
      </c>
      <c r="M2845" s="1087" t="s">
        <v>3164</v>
      </c>
    </row>
    <row r="2846" spans="1:18" s="778" customFormat="1" ht="17.100000000000001" customHeight="1">
      <c r="A2846" s="1070" t="s">
        <v>3619</v>
      </c>
      <c r="B2846" s="1063" t="s">
        <v>3620</v>
      </c>
      <c r="C2846" s="1069">
        <v>11.432879999999997</v>
      </c>
      <c r="D2846" s="1069">
        <v>10.480139999999999</v>
      </c>
      <c r="E2846" s="1069">
        <v>9.717947999999998</v>
      </c>
      <c r="F2846" s="1069">
        <v>9.6226739999999982</v>
      </c>
      <c r="G2846" s="1080">
        <v>6.1</v>
      </c>
      <c r="H2846" s="1080">
        <v>1610.4</v>
      </c>
      <c r="I2846" s="1080">
        <v>146.4</v>
      </c>
      <c r="J2846" s="1080">
        <v>1610.4</v>
      </c>
      <c r="K2846" s="1080">
        <v>146.4</v>
      </c>
      <c r="L2846" s="1081">
        <v>22.200000000000003</v>
      </c>
      <c r="M2846" s="1086" t="s">
        <v>3164</v>
      </c>
    </row>
    <row r="2847" spans="1:18" s="778" customFormat="1" ht="17.100000000000001" customHeight="1">
      <c r="A2847" s="1074" t="s">
        <v>3648</v>
      </c>
      <c r="B2847" s="1063"/>
      <c r="C2847" s="1063"/>
      <c r="D2847" s="1063"/>
      <c r="E2847" s="1063"/>
      <c r="F2847" s="1063"/>
      <c r="G2847" s="1080"/>
      <c r="H2847" s="1080"/>
      <c r="I2847" s="1080"/>
      <c r="J2847" s="1080"/>
      <c r="K2847" s="1080"/>
      <c r="L2847" s="1080"/>
      <c r="M2847" s="1086"/>
      <c r="N2847" s="779"/>
      <c r="O2847" s="779"/>
      <c r="P2847" s="779"/>
      <c r="Q2847" s="779"/>
      <c r="R2847" s="779"/>
    </row>
    <row r="2848" spans="1:18" s="778" customFormat="1" ht="17.100000000000001" customHeight="1">
      <c r="A2848" s="1068" t="s">
        <v>3621</v>
      </c>
      <c r="B2848" s="1068" t="s">
        <v>3622</v>
      </c>
      <c r="C2848" s="1069">
        <v>11.390219999999999</v>
      </c>
      <c r="D2848" s="1069">
        <v>10.441034999999999</v>
      </c>
      <c r="E2848" s="1069">
        <v>9.6816870000000002</v>
      </c>
      <c r="F2848" s="1069">
        <v>9.5867684999999998</v>
      </c>
      <c r="G2848" s="1079">
        <v>6.1</v>
      </c>
      <c r="H2848" s="1079"/>
      <c r="I2848" s="1079"/>
      <c r="J2848" s="1079">
        <v>1976.4</v>
      </c>
      <c r="K2848" s="1079">
        <v>219.6</v>
      </c>
      <c r="L2848" s="1079">
        <v>22</v>
      </c>
      <c r="M2848" s="1085" t="s">
        <v>3164</v>
      </c>
    </row>
    <row r="2849" spans="1:19" s="779" customFormat="1" ht="12.75">
      <c r="A2849" s="1068" t="s">
        <v>3623</v>
      </c>
      <c r="B2849" s="1068"/>
      <c r="C2849" s="1069">
        <v>23.439299999999996</v>
      </c>
      <c r="D2849" s="1069">
        <v>21.197279999999999</v>
      </c>
      <c r="E2849" s="1069">
        <v>20.789639999999999</v>
      </c>
      <c r="F2849" s="1069">
        <v>20.381999999999998</v>
      </c>
      <c r="G2849" s="1079">
        <v>5.9</v>
      </c>
      <c r="H2849" s="1079">
        <v>354</v>
      </c>
      <c r="I2849" s="1079">
        <v>70.8</v>
      </c>
      <c r="J2849" s="1079">
        <v>354</v>
      </c>
      <c r="K2849" s="1079">
        <v>70.8</v>
      </c>
      <c r="L2849" s="1079">
        <v>56</v>
      </c>
      <c r="M2849" s="1086" t="s">
        <v>3164</v>
      </c>
      <c r="N2849" s="778"/>
      <c r="O2849" s="778"/>
      <c r="P2849" s="778"/>
      <c r="Q2849" s="778"/>
      <c r="R2849" s="778"/>
    </row>
    <row r="2850" spans="1:19" s="778" customFormat="1" ht="17.100000000000001" customHeight="1">
      <c r="A2850" s="1068" t="s">
        <v>3624</v>
      </c>
      <c r="B2850" s="1068"/>
      <c r="C2850" s="1069">
        <v>10.650779999999999</v>
      </c>
      <c r="D2850" s="1069">
        <v>9.7632150000000006</v>
      </c>
      <c r="E2850" s="1069">
        <v>9.0531629999999996</v>
      </c>
      <c r="F2850" s="1069">
        <v>8.9644065000000008</v>
      </c>
      <c r="G2850" s="1079"/>
      <c r="H2850" s="1080">
        <v>1903.2</v>
      </c>
      <c r="I2850" s="1080">
        <v>146.4</v>
      </c>
      <c r="J2850" s="1080">
        <v>1903.2</v>
      </c>
      <c r="K2850" s="1080">
        <v>146.4</v>
      </c>
      <c r="L2850" s="1079">
        <v>21</v>
      </c>
      <c r="M2850" s="1085" t="s">
        <v>3625</v>
      </c>
    </row>
    <row r="2851" spans="1:19" s="778" customFormat="1" ht="17.100000000000001" customHeight="1">
      <c r="A2851" s="1070" t="s">
        <v>3626</v>
      </c>
      <c r="B2851" s="1063" t="s">
        <v>3627</v>
      </c>
      <c r="C2851" s="1069">
        <v>9.306989999999999</v>
      </c>
      <c r="D2851" s="1069">
        <v>8.6301179999999995</v>
      </c>
      <c r="E2851" s="1069">
        <v>8.5455089999999991</v>
      </c>
      <c r="F2851" s="1069">
        <v>8.3000000000000007</v>
      </c>
      <c r="G2851" s="1080">
        <v>0</v>
      </c>
      <c r="H2851" s="1080">
        <v>1700</v>
      </c>
      <c r="I2851" s="1080">
        <v>316</v>
      </c>
      <c r="J2851" s="1080">
        <v>1700</v>
      </c>
      <c r="K2851" s="1080">
        <v>316</v>
      </c>
      <c r="L2851" s="1081">
        <v>17.400000000000002</v>
      </c>
      <c r="M2851" s="1086" t="s">
        <v>3628</v>
      </c>
    </row>
    <row r="2852" spans="1:19" s="778" customFormat="1" ht="17.100000000000001" customHeight="1">
      <c r="A2852" s="1070" t="s">
        <v>3629</v>
      </c>
      <c r="B2852" s="1063" t="s">
        <v>3630</v>
      </c>
      <c r="C2852" s="1069">
        <v>11.873699999999999</v>
      </c>
      <c r="D2852" s="1069">
        <v>10.884225000000001</v>
      </c>
      <c r="E2852" s="1069">
        <v>10.092645000000001</v>
      </c>
      <c r="F2852" s="1069">
        <v>9.9936974999999997</v>
      </c>
      <c r="G2852" s="1080">
        <v>6.1</v>
      </c>
      <c r="H2852" s="1080">
        <v>1610.4</v>
      </c>
      <c r="I2852" s="1080">
        <v>146.4</v>
      </c>
      <c r="J2852" s="1080">
        <v>1610.4</v>
      </c>
      <c r="K2852" s="1080">
        <v>146.4</v>
      </c>
      <c r="L2852" s="1081">
        <v>23</v>
      </c>
      <c r="M2852" s="1086" t="s">
        <v>3164</v>
      </c>
    </row>
    <row r="2853" spans="1:19" s="778" customFormat="1" ht="17.100000000000001" customHeight="1">
      <c r="A2853" s="1070" t="s">
        <v>3631</v>
      </c>
      <c r="B2853" s="1063" t="s">
        <v>3632</v>
      </c>
      <c r="C2853" s="1069">
        <v>26.54637</v>
      </c>
      <c r="D2853" s="1069">
        <v>24.007152000000001</v>
      </c>
      <c r="E2853" s="1069">
        <v>23.545476000000001</v>
      </c>
      <c r="F2853" s="1069">
        <v>23.0838</v>
      </c>
      <c r="G2853" s="1080">
        <v>5</v>
      </c>
      <c r="H2853" s="1080">
        <v>500</v>
      </c>
      <c r="I2853" s="1080">
        <v>60</v>
      </c>
      <c r="J2853" s="1080">
        <v>500</v>
      </c>
      <c r="K2853" s="1080">
        <v>60</v>
      </c>
      <c r="L2853" s="1081">
        <v>64.2</v>
      </c>
      <c r="M2853" s="1086" t="s">
        <v>3633</v>
      </c>
    </row>
    <row r="2854" spans="1:19" s="778" customFormat="1" ht="17.100000000000001" customHeight="1">
      <c r="A2854" s="1070" t="s">
        <v>3634</v>
      </c>
      <c r="B2854" s="1063" t="s">
        <v>3635</v>
      </c>
      <c r="C2854" s="1069">
        <v>26.179019999999998</v>
      </c>
      <c r="D2854" s="1069">
        <v>25.431047999999997</v>
      </c>
      <c r="E2854" s="1069">
        <v>24.932399999999998</v>
      </c>
      <c r="F2854" s="1069">
        <v>24.433751999999998</v>
      </c>
      <c r="G2854" s="1080">
        <v>5.2</v>
      </c>
      <c r="H2854" s="1080">
        <v>5.2</v>
      </c>
      <c r="I2854" s="1080">
        <v>62.4</v>
      </c>
      <c r="J2854" s="1080">
        <v>478.4</v>
      </c>
      <c r="K2854" s="1080">
        <v>62.4</v>
      </c>
      <c r="L2854" s="1081">
        <v>70.2</v>
      </c>
      <c r="M2854" s="1086" t="s">
        <v>3164</v>
      </c>
    </row>
    <row r="2855" spans="1:19" s="778" customFormat="1" ht="17.100000000000001" customHeight="1">
      <c r="A2855" s="1070" t="s">
        <v>3636</v>
      </c>
      <c r="B2855" s="1063" t="s">
        <v>3637</v>
      </c>
      <c r="C2855" s="1069">
        <v>43.452765000000007</v>
      </c>
      <c r="D2855" s="1069">
        <v>42.600750000000005</v>
      </c>
      <c r="E2855" s="1069">
        <v>39.192690000000006</v>
      </c>
      <c r="F2855" s="1069">
        <v>37.488660000000003</v>
      </c>
      <c r="G2855" s="1080">
        <v>5</v>
      </c>
      <c r="H2855" s="1080">
        <v>300</v>
      </c>
      <c r="I2855" s="1080">
        <v>30</v>
      </c>
      <c r="J2855" s="1080">
        <v>300</v>
      </c>
      <c r="K2855" s="1080">
        <v>30</v>
      </c>
      <c r="L2855" s="1081">
        <v>112.30000000000001</v>
      </c>
      <c r="M2855" s="1086" t="s">
        <v>3164</v>
      </c>
    </row>
    <row r="2856" spans="1:19" s="778" customFormat="1" ht="17.100000000000001" customHeight="1">
      <c r="A2856" s="1070" t="s">
        <v>3638</v>
      </c>
      <c r="B2856" s="1063" t="s">
        <v>3639</v>
      </c>
      <c r="C2856" s="1069">
        <v>34.341300000000004</v>
      </c>
      <c r="D2856" s="1069">
        <v>33.360120000000002</v>
      </c>
      <c r="E2856" s="1069">
        <v>32.706000000000003</v>
      </c>
      <c r="F2856" s="1069">
        <v>32.051880000000004</v>
      </c>
      <c r="G2856" s="1080">
        <v>5.2</v>
      </c>
      <c r="H2856" s="1080">
        <v>5.2</v>
      </c>
      <c r="I2856" s="1080">
        <v>31.2</v>
      </c>
      <c r="J2856" s="1080">
        <v>364</v>
      </c>
      <c r="K2856" s="1080">
        <v>31.2</v>
      </c>
      <c r="L2856" s="1081">
        <v>93.7</v>
      </c>
      <c r="M2856" s="1086" t="s">
        <v>3164</v>
      </c>
    </row>
    <row r="2857" spans="1:19" s="778" customFormat="1" ht="17.100000000000001" customHeight="1">
      <c r="A2857" s="1068" t="s">
        <v>3640</v>
      </c>
      <c r="B2857" s="1068" t="s">
        <v>3641</v>
      </c>
      <c r="C2857" s="1069">
        <v>35.311578000000004</v>
      </c>
      <c r="D2857" s="1069">
        <v>33.776292000000005</v>
      </c>
      <c r="E2857" s="1069">
        <v>32</v>
      </c>
      <c r="F2857" s="1069">
        <v>31.5</v>
      </c>
      <c r="G2857" s="1079">
        <v>5.9</v>
      </c>
      <c r="H2857" s="1079"/>
      <c r="I2857" s="1079"/>
      <c r="J2857" s="1079">
        <v>365.8</v>
      </c>
      <c r="K2857" s="1079">
        <v>35.4</v>
      </c>
      <c r="L2857" s="1079">
        <v>106.3</v>
      </c>
      <c r="M2857" s="1085" t="s">
        <v>3164</v>
      </c>
    </row>
    <row r="2858" spans="1:19" s="778" customFormat="1" ht="17.100000000000001" customHeight="1"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</row>
    <row r="2859" spans="1:19" s="778" customFormat="1" ht="17.100000000000001" customHeight="1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</row>
    <row r="2860" spans="1:19">
      <c r="A2860" s="762" t="s">
        <v>166</v>
      </c>
      <c r="B2860" s="762" t="s">
        <v>95</v>
      </c>
      <c r="C2860" s="245" t="s">
        <v>228</v>
      </c>
      <c r="D2860" s="936" t="s">
        <v>2855</v>
      </c>
    </row>
    <row r="2861" spans="1:19">
      <c r="A2861" s="37" t="s">
        <v>3559</v>
      </c>
      <c r="B2861" s="37" t="s">
        <v>3563</v>
      </c>
      <c r="C2861" s="248">
        <v>6</v>
      </c>
      <c r="D2861" s="742">
        <v>3.56</v>
      </c>
    </row>
    <row r="2862" spans="1:19">
      <c r="A2862" s="37" t="s">
        <v>3559</v>
      </c>
      <c r="B2862" s="37" t="s">
        <v>3094</v>
      </c>
      <c r="C2862" s="248">
        <v>6</v>
      </c>
      <c r="D2862" s="742">
        <v>2.4499999999999997</v>
      </c>
    </row>
    <row r="2863" spans="1:19">
      <c r="A2863" s="37" t="s">
        <v>3560</v>
      </c>
      <c r="B2863" s="37" t="s">
        <v>3563</v>
      </c>
      <c r="C2863" s="248">
        <v>6</v>
      </c>
      <c r="D2863" s="742">
        <v>2.9499999999999997</v>
      </c>
    </row>
    <row r="2864" spans="1:19">
      <c r="A2864" s="37" t="s">
        <v>3419</v>
      </c>
      <c r="B2864" s="37" t="s">
        <v>3094</v>
      </c>
      <c r="C2864" s="248">
        <v>6</v>
      </c>
      <c r="D2864" s="742">
        <v>1.98</v>
      </c>
    </row>
    <row r="2865" spans="1:8">
      <c r="A2865" s="37" t="s">
        <v>3556</v>
      </c>
      <c r="B2865" s="37" t="s">
        <v>3563</v>
      </c>
      <c r="C2865" s="248">
        <v>6</v>
      </c>
      <c r="D2865" s="742">
        <v>3.5199999999999996</v>
      </c>
    </row>
    <row r="2866" spans="1:8">
      <c r="A2866" s="37" t="s">
        <v>3556</v>
      </c>
      <c r="B2866" s="37" t="s">
        <v>3094</v>
      </c>
      <c r="C2866" s="248">
        <v>6</v>
      </c>
      <c r="D2866" s="742">
        <v>2.5499999999999998</v>
      </c>
    </row>
    <row r="2867" spans="1:8">
      <c r="A2867" s="37" t="s">
        <v>3566</v>
      </c>
      <c r="B2867" s="37" t="s">
        <v>3563</v>
      </c>
      <c r="C2867" s="248">
        <v>6</v>
      </c>
      <c r="D2867" s="742">
        <v>3.48</v>
      </c>
    </row>
    <row r="2868" spans="1:8">
      <c r="A2868" s="37" t="s">
        <v>3566</v>
      </c>
      <c r="B2868" s="37" t="s">
        <v>3094</v>
      </c>
      <c r="C2868" s="248">
        <v>6</v>
      </c>
      <c r="D2868" s="742">
        <v>2.5</v>
      </c>
    </row>
    <row r="2873" spans="1:8" s="1089" customFormat="1" ht="18">
      <c r="A2873" s="842" t="s">
        <v>3652</v>
      </c>
      <c r="B2873" s="843" t="s">
        <v>2945</v>
      </c>
      <c r="C2873" s="843" t="s">
        <v>2946</v>
      </c>
      <c r="D2873" s="1088" t="s">
        <v>381</v>
      </c>
    </row>
    <row r="2874" spans="1:8" s="887" customFormat="1" ht="18.75" customHeight="1">
      <c r="A2874" s="846" t="s">
        <v>3649</v>
      </c>
      <c r="B2874" s="847">
        <v>45678</v>
      </c>
      <c r="C2874" s="847">
        <v>45708</v>
      </c>
      <c r="D2874" s="1091">
        <v>2434.8200000000002</v>
      </c>
    </row>
    <row r="2875" spans="1:8" s="887" customFormat="1" ht="18.75" customHeight="1">
      <c r="A2875" s="846" t="s">
        <v>3650</v>
      </c>
      <c r="B2875" s="847">
        <v>45741</v>
      </c>
      <c r="C2875" s="847">
        <v>45771</v>
      </c>
      <c r="D2875" s="1091">
        <v>323.10000000000002</v>
      </c>
    </row>
    <row r="2876" spans="1:8" s="887" customFormat="1" ht="18.75" customHeight="1">
      <c r="A2876" s="846" t="s">
        <v>3651</v>
      </c>
      <c r="B2876" s="847">
        <v>45744</v>
      </c>
      <c r="C2876" s="847">
        <v>45774</v>
      </c>
      <c r="D2876" s="1091">
        <v>25.5</v>
      </c>
    </row>
    <row r="2877" spans="1:8" ht="18">
      <c r="C2877" s="1090" t="s">
        <v>3653</v>
      </c>
      <c r="D2877" s="1092">
        <f>SUM(D2874:D2876)</f>
        <v>2783.42</v>
      </c>
    </row>
    <row r="2879" spans="1:8" ht="15">
      <c r="A2879" s="935" t="s">
        <v>3654</v>
      </c>
      <c r="B2879" s="935"/>
      <c r="C2879" s="935"/>
      <c r="D2879" s="935"/>
      <c r="E2879" s="935"/>
      <c r="F2879" s="935"/>
    </row>
    <row r="2880" spans="1:8" ht="25.5">
      <c r="A2880" s="762" t="s">
        <v>166</v>
      </c>
      <c r="B2880" s="762" t="s">
        <v>95</v>
      </c>
      <c r="C2880" s="762" t="s">
        <v>3103</v>
      </c>
      <c r="D2880" s="936" t="s">
        <v>2855</v>
      </c>
      <c r="E2880" s="936" t="s">
        <v>3658</v>
      </c>
      <c r="F2880" s="985" t="s">
        <v>3227</v>
      </c>
      <c r="G2880" s="766" t="s">
        <v>2821</v>
      </c>
      <c r="H2880" s="161" t="s">
        <v>2822</v>
      </c>
    </row>
    <row r="2881" spans="1:10">
      <c r="A2881" s="37" t="s">
        <v>3655</v>
      </c>
      <c r="B2881" s="37" t="s">
        <v>3094</v>
      </c>
      <c r="C2881" s="248">
        <v>10</v>
      </c>
      <c r="D2881" s="256">
        <f>ROUNDUP(F2881/0.6/120,2)</f>
        <v>1.59</v>
      </c>
      <c r="E2881" s="250" t="s">
        <v>1927</v>
      </c>
      <c r="F2881" s="939">
        <v>114</v>
      </c>
      <c r="G2881" s="789">
        <f>(D2881-(F2881/H2881))/D2881</f>
        <v>0.40251572327044033</v>
      </c>
      <c r="H2881" s="161">
        <v>120</v>
      </c>
    </row>
    <row r="2882" spans="1:10">
      <c r="A2882" s="37" t="s">
        <v>3655</v>
      </c>
      <c r="B2882" s="37" t="s">
        <v>3104</v>
      </c>
      <c r="C2882" s="248" t="s">
        <v>3264</v>
      </c>
      <c r="D2882" s="256">
        <f>ROUNDUP(F2882/0.6/120,2)</f>
        <v>2.84</v>
      </c>
      <c r="E2882" s="250" t="s">
        <v>3657</v>
      </c>
      <c r="F2882" s="939">
        <f>114+90</f>
        <v>204</v>
      </c>
      <c r="G2882" s="789">
        <f>(D2882-(F2882/H2882))/D2882</f>
        <v>0.40140845070422532</v>
      </c>
      <c r="H2882" s="161">
        <v>120</v>
      </c>
    </row>
    <row r="2883" spans="1:10">
      <c r="A2883" s="37" t="s">
        <v>3656</v>
      </c>
      <c r="B2883" s="37" t="s">
        <v>3094</v>
      </c>
      <c r="C2883" s="248">
        <v>10</v>
      </c>
      <c r="D2883" s="256">
        <f>ROUNDUP(F2883/0.6/120,2)</f>
        <v>2.8699999999999997</v>
      </c>
      <c r="E2883" s="250" t="s">
        <v>3659</v>
      </c>
      <c r="F2883" s="939">
        <v>206</v>
      </c>
      <c r="G2883" s="789">
        <f>(D2883-(F2883/H2883))/D2883</f>
        <v>0.40185830429732866</v>
      </c>
      <c r="H2883" s="161">
        <v>120</v>
      </c>
    </row>
    <row r="2884" spans="1:10">
      <c r="A2884" s="37" t="s">
        <v>3656</v>
      </c>
      <c r="B2884" s="37" t="s">
        <v>3104</v>
      </c>
      <c r="C2884" s="248" t="s">
        <v>3264</v>
      </c>
      <c r="D2884" s="256">
        <f>ROUNDUP(F2884/0.6/120,2)</f>
        <v>3.98</v>
      </c>
      <c r="E2884" s="250" t="s">
        <v>3657</v>
      </c>
      <c r="F2884" s="939">
        <f>206+80</f>
        <v>286</v>
      </c>
      <c r="G2884" s="789">
        <f>(D2884-(F2884/H2884))/D2884</f>
        <v>0.40117252931323283</v>
      </c>
      <c r="H2884" s="161">
        <v>120</v>
      </c>
    </row>
    <row r="2887" spans="1:10" ht="15">
      <c r="A2887" s="935" t="s">
        <v>3682</v>
      </c>
    </row>
    <row r="2888" spans="1:10" s="1100" customFormat="1" ht="15.75">
      <c r="A2888" s="1093" t="s">
        <v>3661</v>
      </c>
      <c r="B2888" s="1093" t="s">
        <v>3662</v>
      </c>
      <c r="C2888" s="1094" t="s">
        <v>3663</v>
      </c>
      <c r="D2888" s="1095" t="s">
        <v>3664</v>
      </c>
      <c r="E2888" s="1096" t="s">
        <v>3683</v>
      </c>
      <c r="F2888" s="985" t="s">
        <v>3227</v>
      </c>
      <c r="G2888" s="766" t="s">
        <v>2821</v>
      </c>
      <c r="H2888" s="161" t="s">
        <v>2822</v>
      </c>
      <c r="I2888" s="599"/>
      <c r="J2888" s="1099"/>
    </row>
    <row r="2889" spans="1:10" s="1100" customFormat="1" ht="15.75">
      <c r="A2889" s="1101" t="s">
        <v>3665</v>
      </c>
      <c r="B2889" s="1102">
        <v>25</v>
      </c>
      <c r="C2889" s="1101" t="s">
        <v>3666</v>
      </c>
      <c r="D2889" s="1103">
        <v>50</v>
      </c>
      <c r="E2889" s="1109">
        <f t="shared" ref="E2889:E2901" si="59">ROUNDUP(F2889/0.55/120,2)</f>
        <v>1.68</v>
      </c>
      <c r="F2889" s="1110">
        <v>110.6</v>
      </c>
      <c r="G2889" s="1097">
        <f t="shared" ref="G2889:G2901" si="60">(((E2889*H2889)-F2889)/(E2889*H2889))</f>
        <v>0.4513888888888889</v>
      </c>
      <c r="H2889" s="1098">
        <v>120</v>
      </c>
      <c r="I2889" s="1104" t="s">
        <v>3667</v>
      </c>
    </row>
    <row r="2890" spans="1:10" s="1100" customFormat="1" ht="15.75">
      <c r="A2890" s="1101" t="s">
        <v>3665</v>
      </c>
      <c r="B2890" s="1102">
        <v>50</v>
      </c>
      <c r="C2890" s="1101" t="s">
        <v>3666</v>
      </c>
      <c r="D2890" s="1103">
        <v>50</v>
      </c>
      <c r="E2890" s="1109">
        <f t="shared" si="59"/>
        <v>3.35</v>
      </c>
      <c r="F2890" s="1110">
        <v>221.1</v>
      </c>
      <c r="G2890" s="1097">
        <f t="shared" si="60"/>
        <v>0.45</v>
      </c>
      <c r="H2890" s="1098">
        <v>120</v>
      </c>
      <c r="I2890" s="1104" t="s">
        <v>3668</v>
      </c>
    </row>
    <row r="2891" spans="1:10" s="1100" customFormat="1" ht="15.75">
      <c r="A2891" s="1101" t="s">
        <v>3669</v>
      </c>
      <c r="B2891" s="1102">
        <v>25</v>
      </c>
      <c r="C2891" s="1101" t="s">
        <v>3666</v>
      </c>
      <c r="D2891" s="1103">
        <v>50</v>
      </c>
      <c r="E2891" s="1109">
        <f t="shared" si="59"/>
        <v>1.68</v>
      </c>
      <c r="F2891" s="1110">
        <v>110.6</v>
      </c>
      <c r="G2891" s="1097">
        <f t="shared" si="60"/>
        <v>0.4513888888888889</v>
      </c>
      <c r="H2891" s="1098">
        <v>120</v>
      </c>
      <c r="I2891" s="1104" t="s">
        <v>3667</v>
      </c>
    </row>
    <row r="2892" spans="1:10" s="1100" customFormat="1" ht="15.75">
      <c r="A2892" s="1101" t="s">
        <v>3669</v>
      </c>
      <c r="B2892" s="1102">
        <v>50</v>
      </c>
      <c r="C2892" s="1101" t="s">
        <v>3666</v>
      </c>
      <c r="D2892" s="1103">
        <v>50</v>
      </c>
      <c r="E2892" s="1109">
        <f t="shared" si="59"/>
        <v>3.35</v>
      </c>
      <c r="F2892" s="1110">
        <v>221.1</v>
      </c>
      <c r="G2892" s="1097">
        <f t="shared" si="60"/>
        <v>0.45</v>
      </c>
      <c r="H2892" s="1098">
        <v>120</v>
      </c>
      <c r="I2892" s="1104" t="s">
        <v>3668</v>
      </c>
    </row>
    <row r="2893" spans="1:10" s="1100" customFormat="1" ht="15.75">
      <c r="A2893" s="868" t="s">
        <v>3670</v>
      </c>
      <c r="B2893" s="872">
        <v>10</v>
      </c>
      <c r="C2893" s="600" t="s">
        <v>3724</v>
      </c>
      <c r="D2893" s="1103">
        <v>30</v>
      </c>
      <c r="E2893" s="1109">
        <f t="shared" si="59"/>
        <v>0.99</v>
      </c>
      <c r="F2893" s="1110">
        <v>65</v>
      </c>
      <c r="G2893" s="1097">
        <f t="shared" si="60"/>
        <v>0.45286195286195285</v>
      </c>
      <c r="H2893" s="1098">
        <v>120</v>
      </c>
      <c r="I2893" s="1105" t="s">
        <v>3672</v>
      </c>
    </row>
    <row r="2894" spans="1:10" s="1100" customFormat="1" ht="15.75">
      <c r="A2894" s="868" t="s">
        <v>3670</v>
      </c>
      <c r="B2894" s="872">
        <v>15</v>
      </c>
      <c r="C2894" s="600" t="s">
        <v>3671</v>
      </c>
      <c r="D2894" s="1103">
        <v>30</v>
      </c>
      <c r="E2894" s="1109">
        <f t="shared" si="59"/>
        <v>1.1399999999999999</v>
      </c>
      <c r="F2894" s="1110">
        <v>75</v>
      </c>
      <c r="G2894" s="1097">
        <f t="shared" si="60"/>
        <v>0.45175438596491219</v>
      </c>
      <c r="H2894" s="1098">
        <v>120</v>
      </c>
      <c r="I2894" s="1105" t="s">
        <v>3673</v>
      </c>
    </row>
    <row r="2895" spans="1:10" s="1100" customFormat="1" ht="15.75">
      <c r="A2895" s="868" t="s">
        <v>3670</v>
      </c>
      <c r="B2895" s="872">
        <v>20</v>
      </c>
      <c r="C2895" s="600" t="s">
        <v>3671</v>
      </c>
      <c r="D2895" s="1103">
        <v>30</v>
      </c>
      <c r="E2895" s="1109">
        <f t="shared" si="59"/>
        <v>1.37</v>
      </c>
      <c r="F2895" s="1110">
        <v>90</v>
      </c>
      <c r="G2895" s="1097">
        <f t="shared" si="60"/>
        <v>0.45255474452554745</v>
      </c>
      <c r="H2895" s="1098">
        <v>120</v>
      </c>
      <c r="I2895" s="1105" t="s">
        <v>3674</v>
      </c>
    </row>
    <row r="2896" spans="1:10" s="1100" customFormat="1" ht="15.75">
      <c r="A2896" s="868" t="s">
        <v>3670</v>
      </c>
      <c r="B2896" s="872">
        <v>30</v>
      </c>
      <c r="C2896" s="600" t="s">
        <v>3671</v>
      </c>
      <c r="D2896" s="1103">
        <v>30</v>
      </c>
      <c r="E2896" s="1109">
        <f t="shared" si="59"/>
        <v>1.82</v>
      </c>
      <c r="F2896" s="1110">
        <v>120</v>
      </c>
      <c r="G2896" s="1097">
        <f t="shared" si="60"/>
        <v>0.45054945054945056</v>
      </c>
      <c r="H2896" s="1098">
        <v>120</v>
      </c>
      <c r="I2896" s="1105" t="s">
        <v>3675</v>
      </c>
    </row>
    <row r="2897" spans="1:9" s="1100" customFormat="1" ht="15.75">
      <c r="A2897" s="868" t="s">
        <v>3670</v>
      </c>
      <c r="B2897" s="1106">
        <v>7.5</v>
      </c>
      <c r="C2897" s="600" t="s">
        <v>3671</v>
      </c>
      <c r="D2897" s="1103">
        <v>30</v>
      </c>
      <c r="E2897" s="1109">
        <f t="shared" si="59"/>
        <v>1.1399999999999999</v>
      </c>
      <c r="F2897" s="1110">
        <v>75</v>
      </c>
      <c r="G2897" s="1097">
        <f t="shared" si="60"/>
        <v>0.45175438596491219</v>
      </c>
      <c r="H2897" s="1098">
        <v>120</v>
      </c>
      <c r="I2897" s="1105" t="s">
        <v>3676</v>
      </c>
    </row>
    <row r="2898" spans="1:9" s="1100" customFormat="1" ht="15.75">
      <c r="A2898" s="868" t="s">
        <v>3670</v>
      </c>
      <c r="B2898" s="1107">
        <v>10</v>
      </c>
      <c r="C2898" s="600" t="s">
        <v>3671</v>
      </c>
      <c r="D2898" s="1103">
        <v>30</v>
      </c>
      <c r="E2898" s="1109">
        <f t="shared" si="59"/>
        <v>1.37</v>
      </c>
      <c r="F2898" s="1110">
        <v>90</v>
      </c>
      <c r="G2898" s="1097">
        <f t="shared" si="60"/>
        <v>0.45255474452554745</v>
      </c>
      <c r="H2898" s="1098">
        <v>120</v>
      </c>
      <c r="I2898" s="1105" t="s">
        <v>3677</v>
      </c>
    </row>
    <row r="2899" spans="1:9" s="1100" customFormat="1" ht="15.75">
      <c r="A2899" s="1108">
        <v>1420</v>
      </c>
      <c r="B2899" s="1102">
        <v>10</v>
      </c>
      <c r="C2899" s="1101" t="s">
        <v>3678</v>
      </c>
      <c r="D2899" s="1103">
        <v>30</v>
      </c>
      <c r="E2899" s="1109">
        <f t="shared" si="59"/>
        <v>1.04</v>
      </c>
      <c r="F2899" s="1110">
        <v>68</v>
      </c>
      <c r="G2899" s="1097">
        <f t="shared" si="60"/>
        <v>0.45512820512820518</v>
      </c>
      <c r="H2899" s="1098">
        <v>120</v>
      </c>
      <c r="I2899" s="1104" t="s">
        <v>3679</v>
      </c>
    </row>
    <row r="2900" spans="1:9" s="1100" customFormat="1" ht="15.75">
      <c r="A2900" s="1108">
        <v>1420</v>
      </c>
      <c r="B2900" s="1102">
        <v>15</v>
      </c>
      <c r="C2900" s="1101" t="s">
        <v>3678</v>
      </c>
      <c r="D2900" s="1103">
        <v>30</v>
      </c>
      <c r="E2900" s="1109">
        <f t="shared" si="59"/>
        <v>1.1399999999999999</v>
      </c>
      <c r="F2900" s="1110">
        <v>75</v>
      </c>
      <c r="G2900" s="1097">
        <f t="shared" si="60"/>
        <v>0.45175438596491219</v>
      </c>
      <c r="H2900" s="1098">
        <v>120</v>
      </c>
      <c r="I2900" s="1104" t="s">
        <v>3680</v>
      </c>
    </row>
    <row r="2901" spans="1:9" s="1100" customFormat="1" ht="15.75">
      <c r="A2901" s="1108">
        <v>1420</v>
      </c>
      <c r="B2901" s="1102">
        <v>20</v>
      </c>
      <c r="C2901" s="1101" t="s">
        <v>3678</v>
      </c>
      <c r="D2901" s="1103">
        <v>30</v>
      </c>
      <c r="E2901" s="1109">
        <f t="shared" si="59"/>
        <v>1.22</v>
      </c>
      <c r="F2901" s="1110">
        <v>80</v>
      </c>
      <c r="G2901" s="1097">
        <f t="shared" si="60"/>
        <v>0.45355191256830601</v>
      </c>
      <c r="H2901" s="1098">
        <v>120</v>
      </c>
      <c r="I2901" s="1104" t="s">
        <v>3681</v>
      </c>
    </row>
    <row r="2904" spans="1:9">
      <c r="A2904" s="1111"/>
    </row>
    <row r="2905" spans="1:9">
      <c r="A2905" s="1113" t="s">
        <v>166</v>
      </c>
      <c r="B2905" s="1113" t="s">
        <v>3684</v>
      </c>
      <c r="C2905" s="1113" t="s">
        <v>3690</v>
      </c>
      <c r="D2905" s="1113" t="s">
        <v>3688</v>
      </c>
      <c r="E2905" s="1113" t="s">
        <v>3694</v>
      </c>
    </row>
    <row r="2906" spans="1:9">
      <c r="A2906" s="1114" t="s">
        <v>3689</v>
      </c>
      <c r="B2906" s="1114" t="s">
        <v>3685</v>
      </c>
      <c r="C2906" s="1114" t="s">
        <v>3691</v>
      </c>
      <c r="D2906" s="1114" t="s">
        <v>3692</v>
      </c>
      <c r="E2906" s="1114" t="s">
        <v>3696</v>
      </c>
    </row>
    <row r="2907" spans="1:9">
      <c r="A2907" s="1114" t="s">
        <v>3686</v>
      </c>
      <c r="B2907" s="1114" t="s">
        <v>3685</v>
      </c>
      <c r="C2907" s="1114" t="s">
        <v>3691</v>
      </c>
      <c r="D2907" s="1114" t="s">
        <v>3693</v>
      </c>
      <c r="E2907" s="1114" t="s">
        <v>3697</v>
      </c>
    </row>
    <row r="2908" spans="1:9">
      <c r="A2908" s="1114" t="s">
        <v>3512</v>
      </c>
      <c r="B2908" s="1114" t="s">
        <v>3685</v>
      </c>
      <c r="C2908" s="1114" t="s">
        <v>3691</v>
      </c>
      <c r="D2908" s="1114" t="s">
        <v>3692</v>
      </c>
      <c r="E2908" s="1114" t="s">
        <v>3698</v>
      </c>
    </row>
    <row r="2909" spans="1:9">
      <c r="A2909" s="1114" t="s">
        <v>3687</v>
      </c>
      <c r="B2909" s="1114" t="s">
        <v>3685</v>
      </c>
      <c r="C2909" s="1114" t="s">
        <v>3695</v>
      </c>
      <c r="D2909" s="1114" t="s">
        <v>3695</v>
      </c>
      <c r="E2909" s="1114" t="s">
        <v>3695</v>
      </c>
    </row>
    <row r="2910" spans="1:9">
      <c r="A2910" s="1112"/>
    </row>
    <row r="2912" spans="1:9" ht="15">
      <c r="A2912" s="935" t="s">
        <v>3701</v>
      </c>
      <c r="B2912" s="935"/>
      <c r="C2912" s="935"/>
      <c r="D2912" s="935"/>
      <c r="E2912" s="935"/>
      <c r="F2912" s="935"/>
    </row>
    <row r="2913" spans="1:8" s="243" customFormat="1" ht="25.5">
      <c r="A2913" s="762" t="s">
        <v>166</v>
      </c>
      <c r="B2913" s="762" t="s">
        <v>95</v>
      </c>
      <c r="C2913" s="762" t="s">
        <v>3103</v>
      </c>
      <c r="D2913" s="936" t="s">
        <v>2855</v>
      </c>
      <c r="E2913" s="936" t="s">
        <v>3700</v>
      </c>
      <c r="F2913" s="985" t="s">
        <v>3227</v>
      </c>
      <c r="G2913" s="1116" t="s">
        <v>2821</v>
      </c>
      <c r="H2913" s="1117" t="s">
        <v>2822</v>
      </c>
    </row>
    <row r="2914" spans="1:8" s="243" customFormat="1" ht="12.75">
      <c r="A2914" s="875" t="s">
        <v>3702</v>
      </c>
      <c r="B2914" s="1118" t="s">
        <v>3094</v>
      </c>
      <c r="C2914" s="248">
        <v>10</v>
      </c>
      <c r="D2914" s="256">
        <f t="shared" ref="D2914:D2925" si="61">ROUNDUP(F2914/0.6/120,2)</f>
        <v>1.23</v>
      </c>
      <c r="E2914" s="1119" t="s">
        <v>3389</v>
      </c>
      <c r="F2914" s="1080">
        <v>88</v>
      </c>
      <c r="G2914" s="789">
        <f t="shared" ref="G2914:G2925" si="62">(D2914-(F2914/H2914))/D2914</f>
        <v>0.40379403794037944</v>
      </c>
      <c r="H2914" s="1117">
        <v>120</v>
      </c>
    </row>
    <row r="2915" spans="1:8" s="243" customFormat="1" ht="12.75">
      <c r="A2915" s="875" t="s">
        <v>3702</v>
      </c>
      <c r="B2915" s="1118" t="s">
        <v>3104</v>
      </c>
      <c r="C2915" s="248" t="s">
        <v>3264</v>
      </c>
      <c r="D2915" s="256">
        <f t="shared" si="61"/>
        <v>2.34</v>
      </c>
      <c r="E2915" s="1119" t="s">
        <v>1822</v>
      </c>
      <c r="F2915" s="1080">
        <f>88+80</f>
        <v>168</v>
      </c>
      <c r="G2915" s="789">
        <f t="shared" si="62"/>
        <v>0.40170940170940173</v>
      </c>
      <c r="H2915" s="1117">
        <v>120</v>
      </c>
    </row>
    <row r="2916" spans="1:8" s="243" customFormat="1" ht="12.75">
      <c r="A2916" s="875" t="s">
        <v>3703</v>
      </c>
      <c r="B2916" s="1118" t="s">
        <v>3094</v>
      </c>
      <c r="C2916" s="248">
        <v>10</v>
      </c>
      <c r="D2916" s="256">
        <f t="shared" si="61"/>
        <v>1.98</v>
      </c>
      <c r="E2916" s="1119" t="s">
        <v>3277</v>
      </c>
      <c r="F2916" s="1080">
        <v>142</v>
      </c>
      <c r="G2916" s="789">
        <f t="shared" si="62"/>
        <v>0.40235690235690236</v>
      </c>
      <c r="H2916" s="1117">
        <v>120</v>
      </c>
    </row>
    <row r="2917" spans="1:8" s="243" customFormat="1" ht="12.75">
      <c r="A2917" s="875" t="s">
        <v>3703</v>
      </c>
      <c r="B2917" s="1118" t="s">
        <v>3104</v>
      </c>
      <c r="C2917" s="248" t="s">
        <v>3264</v>
      </c>
      <c r="D2917" s="256">
        <f t="shared" si="61"/>
        <v>3.09</v>
      </c>
      <c r="E2917" s="1119" t="s">
        <v>1822</v>
      </c>
      <c r="F2917" s="1080">
        <f>142+80</f>
        <v>222</v>
      </c>
      <c r="G2917" s="789">
        <f t="shared" si="62"/>
        <v>0.40129449838187697</v>
      </c>
      <c r="H2917" s="1117">
        <v>120</v>
      </c>
    </row>
    <row r="2918" spans="1:8" s="243" customFormat="1" ht="12.75">
      <c r="A2918" s="875" t="s">
        <v>3704</v>
      </c>
      <c r="B2918" s="1118" t="s">
        <v>3094</v>
      </c>
      <c r="C2918" s="248">
        <v>10</v>
      </c>
      <c r="D2918" s="256">
        <f t="shared" si="61"/>
        <v>1.62</v>
      </c>
      <c r="E2918" s="1119" t="s">
        <v>3466</v>
      </c>
      <c r="F2918" s="1080">
        <v>116</v>
      </c>
      <c r="G2918" s="789">
        <f t="shared" si="62"/>
        <v>0.4032921810699589</v>
      </c>
      <c r="H2918" s="1117">
        <v>120</v>
      </c>
    </row>
    <row r="2919" spans="1:8" s="243" customFormat="1" ht="12.75">
      <c r="A2919" s="875" t="s">
        <v>3704</v>
      </c>
      <c r="B2919" s="1118" t="s">
        <v>3104</v>
      </c>
      <c r="C2919" s="248" t="s">
        <v>3264</v>
      </c>
      <c r="D2919" s="256">
        <f t="shared" si="61"/>
        <v>2.73</v>
      </c>
      <c r="E2919" s="1119" t="s">
        <v>1822</v>
      </c>
      <c r="F2919" s="1080">
        <f>116+80</f>
        <v>196</v>
      </c>
      <c r="G2919" s="789">
        <f t="shared" si="62"/>
        <v>0.40170940170940173</v>
      </c>
      <c r="H2919" s="1117">
        <v>120</v>
      </c>
    </row>
    <row r="2920" spans="1:8" s="243" customFormat="1" ht="12.75">
      <c r="A2920" s="875" t="s">
        <v>3705</v>
      </c>
      <c r="B2920" s="1118" t="s">
        <v>3094</v>
      </c>
      <c r="C2920" s="248">
        <v>10</v>
      </c>
      <c r="D2920" s="256">
        <f t="shared" si="61"/>
        <v>3.17</v>
      </c>
      <c r="E2920" s="1119" t="s">
        <v>3117</v>
      </c>
      <c r="F2920" s="1080">
        <v>228</v>
      </c>
      <c r="G2920" s="789">
        <f t="shared" si="62"/>
        <v>0.40063091482649843</v>
      </c>
      <c r="H2920" s="1117">
        <v>120</v>
      </c>
    </row>
    <row r="2921" spans="1:8" s="243" customFormat="1" ht="12.75">
      <c r="A2921" s="875" t="s">
        <v>3705</v>
      </c>
      <c r="B2921" s="1118" t="s">
        <v>3104</v>
      </c>
      <c r="C2921" s="248" t="s">
        <v>3264</v>
      </c>
      <c r="D2921" s="256">
        <f t="shared" si="61"/>
        <v>4.42</v>
      </c>
      <c r="E2921" s="1119" t="s">
        <v>1822</v>
      </c>
      <c r="F2921" s="1080">
        <f>228+90</f>
        <v>318</v>
      </c>
      <c r="G2921" s="789">
        <f t="shared" si="62"/>
        <v>0.40045248868778283</v>
      </c>
      <c r="H2921" s="1117">
        <v>120</v>
      </c>
    </row>
    <row r="2922" spans="1:8" s="243" customFormat="1" ht="12.75">
      <c r="A2922" s="875" t="s">
        <v>3706</v>
      </c>
      <c r="B2922" s="1118" t="s">
        <v>3094</v>
      </c>
      <c r="C2922" s="248">
        <v>10</v>
      </c>
      <c r="D2922" s="256">
        <f t="shared" si="61"/>
        <v>3.48</v>
      </c>
      <c r="E2922" s="1119" t="s">
        <v>3120</v>
      </c>
      <c r="F2922" s="1080">
        <v>250</v>
      </c>
      <c r="G2922" s="789">
        <f t="shared" si="62"/>
        <v>0.40134099616858232</v>
      </c>
      <c r="H2922" s="1117">
        <v>120</v>
      </c>
    </row>
    <row r="2923" spans="1:8" s="243" customFormat="1" ht="12.75">
      <c r="A2923" s="875" t="s">
        <v>3706</v>
      </c>
      <c r="B2923" s="1118" t="s">
        <v>3104</v>
      </c>
      <c r="C2923" s="248" t="s">
        <v>3264</v>
      </c>
      <c r="D2923" s="256">
        <f t="shared" si="61"/>
        <v>4.87</v>
      </c>
      <c r="E2923" s="1119" t="s">
        <v>1822</v>
      </c>
      <c r="F2923" s="1080">
        <f>250+100</f>
        <v>350</v>
      </c>
      <c r="G2923" s="789">
        <f t="shared" si="62"/>
        <v>0.40109514031485288</v>
      </c>
      <c r="H2923" s="1117">
        <v>120</v>
      </c>
    </row>
    <row r="2924" spans="1:8" s="243" customFormat="1" ht="12.75">
      <c r="A2924" s="875" t="s">
        <v>3707</v>
      </c>
      <c r="B2924" s="1118" t="s">
        <v>3094</v>
      </c>
      <c r="C2924" s="248">
        <v>10</v>
      </c>
      <c r="D2924" s="256">
        <f t="shared" si="61"/>
        <v>4.24</v>
      </c>
      <c r="E2924" s="1119" t="s">
        <v>3465</v>
      </c>
      <c r="F2924" s="1080">
        <v>305</v>
      </c>
      <c r="G2924" s="789">
        <f t="shared" si="62"/>
        <v>0.4005503144654089</v>
      </c>
      <c r="H2924" s="1117">
        <v>120</v>
      </c>
    </row>
    <row r="2925" spans="1:8" s="243" customFormat="1" ht="12.75">
      <c r="A2925" s="875" t="s">
        <v>3707</v>
      </c>
      <c r="B2925" s="1118" t="s">
        <v>3104</v>
      </c>
      <c r="C2925" s="248" t="s">
        <v>3264</v>
      </c>
      <c r="D2925" s="256">
        <f t="shared" si="61"/>
        <v>5.63</v>
      </c>
      <c r="E2925" s="1119" t="s">
        <v>1822</v>
      </c>
      <c r="F2925" s="1080">
        <f>305+100</f>
        <v>405</v>
      </c>
      <c r="G2925" s="789">
        <f t="shared" si="62"/>
        <v>0.40053285968028418</v>
      </c>
      <c r="H2925" s="1117">
        <v>120</v>
      </c>
    </row>
    <row r="2929" spans="1:4">
      <c r="A2929" s="762" t="s">
        <v>166</v>
      </c>
      <c r="B2929" s="762" t="s">
        <v>95</v>
      </c>
      <c r="C2929" s="245" t="s">
        <v>228</v>
      </c>
      <c r="D2929" s="936" t="s">
        <v>2855</v>
      </c>
    </row>
    <row r="2930" spans="1:4" ht="15">
      <c r="A2930" s="20" t="s">
        <v>3454</v>
      </c>
      <c r="B2930" s="20" t="s">
        <v>3094</v>
      </c>
      <c r="C2930" s="8">
        <v>50</v>
      </c>
      <c r="D2930" s="36">
        <v>1.85</v>
      </c>
    </row>
    <row r="2931" spans="1:4" ht="15">
      <c r="A2931" s="46"/>
      <c r="B2931" s="20" t="s">
        <v>266</v>
      </c>
      <c r="C2931" s="35">
        <v>1</v>
      </c>
      <c r="D2931" s="36">
        <v>12</v>
      </c>
    </row>
    <row r="2935" spans="1:4">
      <c r="A2935" s="762" t="s">
        <v>166</v>
      </c>
      <c r="B2935" s="762" t="s">
        <v>95</v>
      </c>
      <c r="C2935" s="245" t="s">
        <v>3709</v>
      </c>
    </row>
    <row r="2936" spans="1:4" ht="15">
      <c r="A2936" s="875" t="s">
        <v>3559</v>
      </c>
      <c r="B2936" s="20" t="s">
        <v>3563</v>
      </c>
      <c r="C2936" s="8">
        <v>44</v>
      </c>
    </row>
    <row r="2937" spans="1:4" ht="15">
      <c r="A2937" s="1086" t="s">
        <v>3660</v>
      </c>
      <c r="B2937" s="20" t="s">
        <v>3563</v>
      </c>
      <c r="C2937" s="8">
        <v>85</v>
      </c>
    </row>
    <row r="2938" spans="1:4" ht="15">
      <c r="A2938" s="744" t="s">
        <v>3556</v>
      </c>
      <c r="B2938" s="20" t="s">
        <v>3563</v>
      </c>
      <c r="C2938" s="8">
        <v>44</v>
      </c>
    </row>
    <row r="2939" spans="1:4" ht="15">
      <c r="A2939" s="1086" t="s">
        <v>3699</v>
      </c>
      <c r="B2939" s="20" t="s">
        <v>3563</v>
      </c>
      <c r="C2939" s="1115">
        <v>145</v>
      </c>
    </row>
    <row r="2940" spans="1:4" ht="15">
      <c r="A2940" s="744" t="s">
        <v>3559</v>
      </c>
      <c r="B2940" s="20" t="s">
        <v>3094</v>
      </c>
      <c r="C2940" s="8">
        <v>194</v>
      </c>
    </row>
    <row r="2941" spans="1:4" ht="15">
      <c r="A2941" s="1086" t="s">
        <v>3660</v>
      </c>
      <c r="B2941" s="20" t="s">
        <v>3094</v>
      </c>
      <c r="C2941" s="8">
        <v>390</v>
      </c>
    </row>
    <row r="2942" spans="1:4" ht="15">
      <c r="A2942" s="744" t="s">
        <v>3556</v>
      </c>
      <c r="B2942" s="20" t="s">
        <v>3094</v>
      </c>
      <c r="C2942" s="8">
        <v>166</v>
      </c>
    </row>
    <row r="2943" spans="1:4" ht="15">
      <c r="A2943" s="1086" t="s">
        <v>3699</v>
      </c>
      <c r="B2943" s="20" t="s">
        <v>3094</v>
      </c>
      <c r="C2943" s="8">
        <v>527</v>
      </c>
    </row>
    <row r="2945" spans="1:9">
      <c r="A2945" s="762" t="s">
        <v>166</v>
      </c>
      <c r="B2945" s="762" t="s">
        <v>3684</v>
      </c>
      <c r="C2945" s="762" t="s">
        <v>3708</v>
      </c>
      <c r="D2945" s="762" t="s">
        <v>3719</v>
      </c>
    </row>
    <row r="2946" spans="1:9">
      <c r="A2946" s="37" t="s">
        <v>3342</v>
      </c>
      <c r="B2946" s="37" t="s">
        <v>3685</v>
      </c>
      <c r="C2946" s="169" t="s">
        <v>3720</v>
      </c>
      <c r="D2946" s="875" t="s">
        <v>3722</v>
      </c>
    </row>
    <row r="2947" spans="1:9">
      <c r="A2947" s="257" t="s">
        <v>3686</v>
      </c>
      <c r="B2947" s="37" t="s">
        <v>3685</v>
      </c>
      <c r="C2947" s="169" t="s">
        <v>3710</v>
      </c>
      <c r="D2947" s="875" t="s">
        <v>3722</v>
      </c>
    </row>
    <row r="2948" spans="1:9">
      <c r="A2948" s="37" t="s">
        <v>3512</v>
      </c>
      <c r="B2948" s="37" t="s">
        <v>3685</v>
      </c>
      <c r="C2948" s="169" t="s">
        <v>3711</v>
      </c>
      <c r="D2948" s="875" t="s">
        <v>3722</v>
      </c>
    </row>
    <row r="2949" spans="1:9">
      <c r="A2949" s="257" t="s">
        <v>3712</v>
      </c>
      <c r="B2949" s="37" t="s">
        <v>3685</v>
      </c>
      <c r="C2949" s="169" t="s">
        <v>3713</v>
      </c>
      <c r="D2949" s="875" t="s">
        <v>3721</v>
      </c>
    </row>
    <row r="2950" spans="1:9">
      <c r="A2950" s="37" t="s">
        <v>3342</v>
      </c>
      <c r="B2950" s="37" t="s">
        <v>3714</v>
      </c>
      <c r="C2950" s="169" t="s">
        <v>3715</v>
      </c>
      <c r="D2950" s="875" t="s">
        <v>3722</v>
      </c>
    </row>
    <row r="2951" spans="1:9">
      <c r="A2951" s="257" t="s">
        <v>3686</v>
      </c>
      <c r="B2951" s="37" t="s">
        <v>3714</v>
      </c>
      <c r="C2951" s="169" t="s">
        <v>3716</v>
      </c>
      <c r="D2951" s="875" t="s">
        <v>3722</v>
      </c>
    </row>
    <row r="2952" spans="1:9">
      <c r="A2952" s="37" t="s">
        <v>3512</v>
      </c>
      <c r="B2952" s="37" t="s">
        <v>3714</v>
      </c>
      <c r="C2952" s="169" t="s">
        <v>3717</v>
      </c>
      <c r="D2952" s="875" t="s">
        <v>3722</v>
      </c>
    </row>
    <row r="2953" spans="1:9">
      <c r="A2953" s="257" t="s">
        <v>3712</v>
      </c>
      <c r="B2953" s="37" t="s">
        <v>3714</v>
      </c>
      <c r="C2953" s="169" t="s">
        <v>3718</v>
      </c>
      <c r="D2953" s="875" t="s">
        <v>3723</v>
      </c>
    </row>
    <row r="2954" spans="1:9">
      <c r="A2954" s="236"/>
    </row>
    <row r="2956" spans="1:9" ht="13.5" customHeight="1">
      <c r="A2956" s="831" t="s">
        <v>3725</v>
      </c>
    </row>
    <row r="2957" spans="1:9" ht="13.5" customHeight="1">
      <c r="A2957" s="245" t="s">
        <v>224</v>
      </c>
      <c r="B2957" s="245" t="s">
        <v>158</v>
      </c>
      <c r="C2957" s="245" t="s">
        <v>3028</v>
      </c>
      <c r="D2957" s="912" t="s">
        <v>3029</v>
      </c>
      <c r="E2957" s="912" t="s">
        <v>3030</v>
      </c>
      <c r="F2957" s="766" t="s">
        <v>3031</v>
      </c>
      <c r="G2957" s="766" t="s">
        <v>3032</v>
      </c>
      <c r="H2957" s="766" t="s">
        <v>2822</v>
      </c>
    </row>
    <row r="2958" spans="1:9" ht="13.5" customHeight="1">
      <c r="A2958" s="744" t="s">
        <v>3036</v>
      </c>
      <c r="B2958" s="744" t="s">
        <v>2018</v>
      </c>
      <c r="C2958" s="740" t="s">
        <v>3033</v>
      </c>
      <c r="D2958" s="913">
        <f>ROUNDUP(F2958/0.79/120,2)</f>
        <v>27.220000000000002</v>
      </c>
      <c r="E2958" s="913" t="s">
        <v>3034</v>
      </c>
      <c r="F2958" s="914">
        <f>2280+300</f>
        <v>2580</v>
      </c>
      <c r="G2958" s="915">
        <f>(D2958-(F2958/H2958))/D2958</f>
        <v>0.21013960323291705</v>
      </c>
      <c r="H2958">
        <v>120</v>
      </c>
      <c r="I2958" s="161"/>
    </row>
    <row r="2959" spans="1:9" ht="13.5" customHeight="1">
      <c r="A2959" s="744" t="s">
        <v>3036</v>
      </c>
      <c r="B2959" s="744" t="s">
        <v>2018</v>
      </c>
      <c r="C2959" s="740" t="s">
        <v>3041</v>
      </c>
      <c r="D2959" s="913">
        <v>24</v>
      </c>
      <c r="E2959" s="913"/>
      <c r="F2959" s="914">
        <v>2280</v>
      </c>
      <c r="G2959" s="915">
        <f>(D2959-(F2959/H2959))/D2959</f>
        <v>0.20833333333333334</v>
      </c>
      <c r="H2959">
        <v>120</v>
      </c>
      <c r="I2959" s="916"/>
    </row>
    <row r="2962" spans="1:8">
      <c r="A2962" s="878" t="s">
        <v>3726</v>
      </c>
      <c r="C2962" s="161" t="s">
        <v>2989</v>
      </c>
      <c r="D2962" s="766" t="s">
        <v>2821</v>
      </c>
      <c r="E2962" s="766" t="s">
        <v>2822</v>
      </c>
    </row>
    <row r="2963" spans="1:8" ht="27">
      <c r="A2963" s="762" t="s">
        <v>2986</v>
      </c>
      <c r="B2963" s="762" t="s">
        <v>3520</v>
      </c>
      <c r="C2963" s="785" t="s">
        <v>2855</v>
      </c>
      <c r="D2963" s="785" t="s">
        <v>3505</v>
      </c>
      <c r="E2963" s="926" t="s">
        <v>3129</v>
      </c>
      <c r="F2963" s="879"/>
      <c r="G2963" s="879"/>
    </row>
    <row r="2964" spans="1:8" ht="38.25">
      <c r="A2964" s="884" t="s">
        <v>3727</v>
      </c>
      <c r="B2964" s="884" t="s">
        <v>3729</v>
      </c>
      <c r="C2964" s="250">
        <f>ROUNDUP(E2964/0.8/120,2)</f>
        <v>18.75</v>
      </c>
      <c r="D2964" s="250"/>
      <c r="E2964" s="129">
        <f>1400+400</f>
        <v>1800</v>
      </c>
      <c r="F2964" s="883">
        <f>(((C2964*G2964)-E2964)/(C2964*G2964))</f>
        <v>0.2</v>
      </c>
      <c r="G2964" s="132">
        <v>120</v>
      </c>
    </row>
    <row r="2965" spans="1:8" ht="38.25">
      <c r="A2965" s="884" t="s">
        <v>3728</v>
      </c>
      <c r="B2965" s="884" t="s">
        <v>3729</v>
      </c>
      <c r="C2965" s="250">
        <f>ROUNDUP(E2965/0.8/120,2)</f>
        <v>14.9</v>
      </c>
      <c r="D2965" s="250"/>
      <c r="E2965" s="129">
        <f>1400+30</f>
        <v>1430</v>
      </c>
      <c r="F2965" s="881">
        <f>(((C2965*G2965)-E2965)/(C2965*G2965))</f>
        <v>0.20022371364653244</v>
      </c>
      <c r="G2965" s="882">
        <v>120</v>
      </c>
    </row>
    <row r="2969" spans="1:8">
      <c r="A2969" t="s">
        <v>3740</v>
      </c>
    </row>
    <row r="2970" spans="1:8">
      <c r="A2970" s="783" t="s">
        <v>78</v>
      </c>
      <c r="B2970" s="784" t="s">
        <v>33</v>
      </c>
      <c r="C2970" s="784" t="s">
        <v>211</v>
      </c>
      <c r="D2970" s="784" t="s">
        <v>3730</v>
      </c>
      <c r="E2970" s="784" t="s">
        <v>2737</v>
      </c>
      <c r="F2970" s="161" t="s">
        <v>213</v>
      </c>
      <c r="G2970" s="766" t="s">
        <v>2821</v>
      </c>
      <c r="H2970" s="161" t="s">
        <v>3739</v>
      </c>
    </row>
    <row r="2971" spans="1:8" s="243" customFormat="1">
      <c r="A2971" s="37" t="s">
        <v>3737</v>
      </c>
      <c r="B2971" s="38" t="s">
        <v>3736</v>
      </c>
      <c r="C2971" s="169" t="s">
        <v>3731</v>
      </c>
      <c r="D2971" s="169" t="s">
        <v>3731</v>
      </c>
      <c r="E2971" s="1121">
        <f>ROUNDUP(F2971/0.6/130,2)</f>
        <v>3.4299999999999997</v>
      </c>
      <c r="F2971" s="161">
        <v>267</v>
      </c>
      <c r="G2971" s="789">
        <f>(E2971-(F2971/H2971))/E2971</f>
        <v>0.3513119533527696</v>
      </c>
      <c r="H2971" s="161">
        <v>120</v>
      </c>
    </row>
    <row r="2972" spans="1:8" s="243" customFormat="1">
      <c r="A2972" s="37" t="s">
        <v>3738</v>
      </c>
      <c r="B2972" s="38" t="s">
        <v>3736</v>
      </c>
      <c r="C2972" s="169" t="s">
        <v>3731</v>
      </c>
      <c r="D2972" s="169" t="s">
        <v>3731</v>
      </c>
      <c r="E2972" s="1121">
        <f>ROUNDUP(F2972/0.6/130,2)</f>
        <v>3.67</v>
      </c>
      <c r="F2972" s="161">
        <v>286</v>
      </c>
      <c r="G2972" s="789">
        <f>(E2972-(F2972/H2972))/E2972</f>
        <v>0.35059037238873753</v>
      </c>
      <c r="H2972" s="161">
        <v>120</v>
      </c>
    </row>
    <row r="2973" spans="1:8">
      <c r="A2973" s="1122" t="s">
        <v>3732</v>
      </c>
    </row>
    <row r="2974" spans="1:8">
      <c r="A2974" s="1122" t="s">
        <v>3733</v>
      </c>
    </row>
    <row r="2975" spans="1:8">
      <c r="A2975" s="236" t="s">
        <v>3734</v>
      </c>
    </row>
    <row r="2976" spans="1:8">
      <c r="A2976" s="1122" t="s">
        <v>3735</v>
      </c>
    </row>
    <row r="2979" spans="1:7">
      <c r="A2979" s="878" t="s">
        <v>3741</v>
      </c>
      <c r="C2979" s="161" t="s">
        <v>2989</v>
      </c>
      <c r="D2979" s="766" t="s">
        <v>2821</v>
      </c>
      <c r="E2979" s="766" t="s">
        <v>2822</v>
      </c>
    </row>
    <row r="2980" spans="1:7" ht="27">
      <c r="A2980" s="762" t="s">
        <v>2986</v>
      </c>
      <c r="B2980" s="785" t="s">
        <v>2855</v>
      </c>
      <c r="C2980" s="926" t="s">
        <v>3129</v>
      </c>
      <c r="D2980" s="879"/>
      <c r="E2980" s="879"/>
    </row>
    <row r="2981" spans="1:7" s="262" customFormat="1" ht="26.1" customHeight="1">
      <c r="A2981" s="253" t="s">
        <v>3134</v>
      </c>
      <c r="B2981" s="945" t="s">
        <v>3132</v>
      </c>
      <c r="C2981" s="926"/>
      <c r="D2981" s="818"/>
      <c r="E2981" s="927"/>
    </row>
    <row r="2982" spans="1:7" s="266" customFormat="1" ht="24" customHeight="1">
      <c r="A2982" s="253" t="s">
        <v>3133</v>
      </c>
      <c r="B2982" s="250">
        <f>ROUNDUP(C2982/0.8/120,2)</f>
        <v>31.57</v>
      </c>
      <c r="C2982" s="253">
        <f>3000+30</f>
        <v>3030</v>
      </c>
      <c r="D2982" s="929">
        <f>(B2982-(C2982/E2982))/B2982</f>
        <v>0.20019005384859045</v>
      </c>
      <c r="E2982" s="930">
        <v>120</v>
      </c>
    </row>
    <row r="2983" spans="1:7" s="262" customFormat="1" ht="26.1" customHeight="1">
      <c r="A2983" s="253" t="s">
        <v>3742</v>
      </c>
      <c r="B2983" s="945" t="s">
        <v>3744</v>
      </c>
      <c r="C2983" s="926"/>
      <c r="D2983" s="818"/>
      <c r="E2983" s="927"/>
    </row>
    <row r="2984" spans="1:7" s="266" customFormat="1" ht="24" customHeight="1">
      <c r="A2984" s="253" t="s">
        <v>3743</v>
      </c>
      <c r="B2984" s="250">
        <f>ROUNDUP(C2984/0.8/120,2)</f>
        <v>24.28</v>
      </c>
      <c r="C2984" s="253">
        <f>2300+30</f>
        <v>2330</v>
      </c>
      <c r="D2984" s="929">
        <f>(B2984-(C2984/E2984))/B2984</f>
        <v>0.2003020318506315</v>
      </c>
      <c r="E2984" s="930">
        <v>120</v>
      </c>
    </row>
    <row r="2987" spans="1:7">
      <c r="A2987" s="1132" t="s">
        <v>3749</v>
      </c>
    </row>
    <row r="2988" spans="1:7" s="1100" customFormat="1" ht="31.5">
      <c r="A2988" s="1093" t="s">
        <v>3661</v>
      </c>
      <c r="B2988" s="1093" t="s">
        <v>3662</v>
      </c>
      <c r="C2988" s="1095" t="s">
        <v>3664</v>
      </c>
      <c r="D2988" s="1123" t="s">
        <v>3750</v>
      </c>
      <c r="E2988" s="1124" t="s">
        <v>3751</v>
      </c>
      <c r="F2988" s="1125" t="s">
        <v>3745</v>
      </c>
      <c r="G2988" s="1099" t="s">
        <v>3746</v>
      </c>
    </row>
    <row r="2989" spans="1:7" s="1100" customFormat="1" ht="15.75">
      <c r="A2989" s="1129" t="s">
        <v>3747</v>
      </c>
      <c r="B2989" s="1127">
        <v>4</v>
      </c>
      <c r="C2989" s="1130">
        <v>30</v>
      </c>
      <c r="D2989" s="1126">
        <f t="shared" ref="D2989:D2997" si="63">ROUNDUP(E2989/0.5/120,2)</f>
        <v>0.21000000000000002</v>
      </c>
      <c r="E2989" s="1131">
        <v>12.1333</v>
      </c>
      <c r="F2989" s="1097">
        <f t="shared" ref="F2989:F2997" si="64">(((D2989*G2989)-E2989)/(D2989*G2989))</f>
        <v>0.5185198412698413</v>
      </c>
      <c r="G2989" s="1098">
        <v>120</v>
      </c>
    </row>
    <row r="2990" spans="1:7" s="1100" customFormat="1" ht="15.75">
      <c r="A2990" s="1129" t="s">
        <v>3747</v>
      </c>
      <c r="B2990" s="1127">
        <v>6</v>
      </c>
      <c r="C2990" s="1130">
        <v>30</v>
      </c>
      <c r="D2990" s="1126">
        <f t="shared" si="63"/>
        <v>0.22</v>
      </c>
      <c r="E2990" s="1131">
        <v>12.7</v>
      </c>
      <c r="F2990" s="1097">
        <f t="shared" si="64"/>
        <v>0.51893939393939392</v>
      </c>
      <c r="G2990" s="1098">
        <v>120</v>
      </c>
    </row>
    <row r="2991" spans="1:7" s="1100" customFormat="1" ht="15.75">
      <c r="A2991" s="1129" t="s">
        <v>3747</v>
      </c>
      <c r="B2991" s="1127">
        <v>9</v>
      </c>
      <c r="C2991" s="1130">
        <v>30</v>
      </c>
      <c r="D2991" s="1126">
        <f t="shared" si="63"/>
        <v>0.27</v>
      </c>
      <c r="E2991" s="1131">
        <v>16.166599999999999</v>
      </c>
      <c r="F2991" s="1097">
        <f t="shared" si="64"/>
        <v>0.50103086419753096</v>
      </c>
      <c r="G2991" s="1098">
        <v>120</v>
      </c>
    </row>
    <row r="2992" spans="1:7" s="1100" customFormat="1" ht="15.75">
      <c r="A2992" s="1129" t="s">
        <v>3747</v>
      </c>
      <c r="B2992" s="1127">
        <v>12</v>
      </c>
      <c r="C2992" s="1130">
        <v>30</v>
      </c>
      <c r="D2992" s="1126">
        <f t="shared" si="63"/>
        <v>0.34</v>
      </c>
      <c r="E2992" s="1131">
        <v>20.2333</v>
      </c>
      <c r="F2992" s="1097">
        <f t="shared" si="64"/>
        <v>0.50408578431372553</v>
      </c>
      <c r="G2992" s="1098">
        <v>120</v>
      </c>
    </row>
    <row r="2993" spans="1:7" s="1100" customFormat="1" ht="15.75">
      <c r="A2993" s="1129" t="s">
        <v>3747</v>
      </c>
      <c r="B2993" s="1127">
        <v>15</v>
      </c>
      <c r="C2993" s="1130">
        <v>30</v>
      </c>
      <c r="D2993" s="1126">
        <f t="shared" si="63"/>
        <v>0.41000000000000003</v>
      </c>
      <c r="E2993" s="1131">
        <v>24.2666</v>
      </c>
      <c r="F2993" s="1097">
        <f t="shared" si="64"/>
        <v>0.50677642276422763</v>
      </c>
      <c r="G2993" s="1098">
        <v>120</v>
      </c>
    </row>
    <row r="2994" spans="1:7" s="1100" customFormat="1" ht="15.75">
      <c r="A2994" s="1129" t="s">
        <v>3747</v>
      </c>
      <c r="B2994" s="1127">
        <v>18</v>
      </c>
      <c r="C2994" s="1130">
        <v>30</v>
      </c>
      <c r="D2994" s="1126">
        <f t="shared" si="63"/>
        <v>0.48</v>
      </c>
      <c r="E2994" s="1131">
        <v>28.3</v>
      </c>
      <c r="F2994" s="1097">
        <f t="shared" si="64"/>
        <v>0.50868055555555547</v>
      </c>
      <c r="G2994" s="1098">
        <v>120</v>
      </c>
    </row>
    <row r="2995" spans="1:7" s="1100" customFormat="1" ht="15.75">
      <c r="A2995" s="1129" t="s">
        <v>3747</v>
      </c>
      <c r="B2995" s="1127">
        <v>24</v>
      </c>
      <c r="C2995" s="1130">
        <v>30</v>
      </c>
      <c r="D2995" s="1126">
        <f t="shared" si="63"/>
        <v>0.61</v>
      </c>
      <c r="E2995" s="1131">
        <v>36.566600000000001</v>
      </c>
      <c r="F2995" s="1097">
        <f t="shared" si="64"/>
        <v>0.50045628415300547</v>
      </c>
      <c r="G2995" s="1098">
        <v>120</v>
      </c>
    </row>
    <row r="2996" spans="1:7" s="1100" customFormat="1" ht="15.75">
      <c r="A2996" s="1129" t="s">
        <v>3747</v>
      </c>
      <c r="B2996" s="1127">
        <v>36</v>
      </c>
      <c r="C2996" s="1130">
        <v>30</v>
      </c>
      <c r="D2996" s="1126">
        <f t="shared" si="63"/>
        <v>1.02</v>
      </c>
      <c r="E2996" s="1131">
        <v>60.833300000000001</v>
      </c>
      <c r="F2996" s="1097">
        <f t="shared" si="64"/>
        <v>0.50299591503267971</v>
      </c>
      <c r="G2996" s="1098">
        <v>120</v>
      </c>
    </row>
    <row r="2997" spans="1:7" s="1100" customFormat="1" ht="15.75">
      <c r="A2997" s="1129" t="s">
        <v>3747</v>
      </c>
      <c r="B2997" s="1127">
        <v>50</v>
      </c>
      <c r="C2997" s="1130">
        <v>30</v>
      </c>
      <c r="D2997" s="1126">
        <f t="shared" si="63"/>
        <v>1.48</v>
      </c>
      <c r="E2997" s="1131">
        <v>88.366600000000005</v>
      </c>
      <c r="F2997" s="1097">
        <f t="shared" si="64"/>
        <v>0.5024403153153153</v>
      </c>
      <c r="G2997" s="1098">
        <v>120</v>
      </c>
    </row>
    <row r="2998" spans="1:7" s="1100" customFormat="1" ht="15.75">
      <c r="A2998" s="1129"/>
      <c r="B2998" s="1127"/>
      <c r="C2998" s="1130"/>
      <c r="D2998" s="1126"/>
      <c r="E2998" s="1131"/>
      <c r="F2998" s="1097"/>
      <c r="G2998" s="1098"/>
    </row>
    <row r="2999" spans="1:7" s="1128" customFormat="1" ht="15.75">
      <c r="A2999" s="1129" t="s">
        <v>3748</v>
      </c>
      <c r="B2999" s="1127">
        <v>4</v>
      </c>
      <c r="C2999" s="1130">
        <v>30</v>
      </c>
      <c r="D2999" s="1126">
        <f t="shared" ref="D2999:D3007" si="65">ROUNDUP(E2999/0.5/120,2)</f>
        <v>0.17</v>
      </c>
      <c r="E2999" s="1131">
        <v>9.7333333333333325</v>
      </c>
      <c r="F2999" s="1097">
        <f t="shared" ref="F2999:F3007" si="66">(((D2999*G2999)-E2999)/(D2999*G2999))</f>
        <v>0.52287581699346419</v>
      </c>
      <c r="G2999" s="1098">
        <v>120</v>
      </c>
    </row>
    <row r="3000" spans="1:7" s="1128" customFormat="1" ht="15.75">
      <c r="A3000" s="993" t="s">
        <v>3748</v>
      </c>
      <c r="B3000" s="1127">
        <v>6</v>
      </c>
      <c r="C3000" s="1130">
        <v>30</v>
      </c>
      <c r="D3000" s="1126">
        <f t="shared" si="65"/>
        <v>0.19</v>
      </c>
      <c r="E3000" s="1131">
        <v>11.033333333333333</v>
      </c>
      <c r="F3000" s="1097">
        <f t="shared" si="66"/>
        <v>0.51608187134502925</v>
      </c>
      <c r="G3000" s="1098">
        <v>120</v>
      </c>
    </row>
    <row r="3001" spans="1:7" s="1128" customFormat="1" ht="15.75">
      <c r="A3001" s="993" t="s">
        <v>3748</v>
      </c>
      <c r="B3001" s="1127">
        <v>9</v>
      </c>
      <c r="C3001" s="1130">
        <v>30</v>
      </c>
      <c r="D3001" s="1126">
        <f t="shared" si="65"/>
        <v>0.23</v>
      </c>
      <c r="E3001" s="1131">
        <v>13.8</v>
      </c>
      <c r="F3001" s="1097">
        <f t="shared" si="66"/>
        <v>0.5</v>
      </c>
      <c r="G3001" s="1098">
        <v>120</v>
      </c>
    </row>
    <row r="3002" spans="1:7" s="1128" customFormat="1" ht="15.75">
      <c r="A3002" s="993" t="s">
        <v>3748</v>
      </c>
      <c r="B3002" s="1127">
        <v>12</v>
      </c>
      <c r="C3002" s="1130">
        <v>30</v>
      </c>
      <c r="D3002" s="1126">
        <f t="shared" si="65"/>
        <v>0.3</v>
      </c>
      <c r="E3002" s="1131">
        <v>17.766666666666666</v>
      </c>
      <c r="F3002" s="1097">
        <f t="shared" si="66"/>
        <v>0.50648148148148153</v>
      </c>
      <c r="G3002" s="1098">
        <v>120</v>
      </c>
    </row>
    <row r="3003" spans="1:7" s="1128" customFormat="1" ht="15.75">
      <c r="A3003" s="993" t="s">
        <v>3748</v>
      </c>
      <c r="B3003" s="1127">
        <v>15</v>
      </c>
      <c r="C3003" s="1130">
        <v>30</v>
      </c>
      <c r="D3003" s="1126">
        <f t="shared" si="65"/>
        <v>0.36</v>
      </c>
      <c r="E3003" s="1131">
        <v>21.6</v>
      </c>
      <c r="F3003" s="1097">
        <f t="shared" si="66"/>
        <v>0.49999999999999994</v>
      </c>
      <c r="G3003" s="1098">
        <v>120</v>
      </c>
    </row>
    <row r="3004" spans="1:7" s="1128" customFormat="1" ht="15.75">
      <c r="A3004" s="993" t="s">
        <v>3748</v>
      </c>
      <c r="B3004" s="1127">
        <v>18</v>
      </c>
      <c r="C3004" s="1130">
        <v>30</v>
      </c>
      <c r="D3004" s="1126">
        <f t="shared" si="65"/>
        <v>0.45</v>
      </c>
      <c r="E3004" s="1131">
        <v>26.666666666666668</v>
      </c>
      <c r="F3004" s="1097">
        <f t="shared" si="66"/>
        <v>0.50617283950617287</v>
      </c>
      <c r="G3004" s="1098">
        <v>120</v>
      </c>
    </row>
    <row r="3005" spans="1:7" s="1128" customFormat="1" ht="15.75">
      <c r="A3005" s="993" t="s">
        <v>3748</v>
      </c>
      <c r="B3005" s="1127">
        <v>24</v>
      </c>
      <c r="C3005" s="1130">
        <v>30</v>
      </c>
      <c r="D3005" s="1126">
        <f t="shared" si="65"/>
        <v>0.56000000000000005</v>
      </c>
      <c r="E3005" s="1131">
        <v>33.033333333333331</v>
      </c>
      <c r="F3005" s="1097">
        <f t="shared" si="66"/>
        <v>0.50843253968253976</v>
      </c>
      <c r="G3005" s="1098">
        <v>120</v>
      </c>
    </row>
    <row r="3006" spans="1:7" s="1128" customFormat="1" ht="15.75">
      <c r="A3006" s="993" t="s">
        <v>3748</v>
      </c>
      <c r="B3006" s="1127">
        <v>36</v>
      </c>
      <c r="C3006" s="1130">
        <v>30</v>
      </c>
      <c r="D3006" s="1126">
        <f t="shared" si="65"/>
        <v>0.88</v>
      </c>
      <c r="E3006" s="1131">
        <v>52.5</v>
      </c>
      <c r="F3006" s="1097">
        <f t="shared" si="66"/>
        <v>0.50284090909090906</v>
      </c>
      <c r="G3006" s="1098">
        <v>120</v>
      </c>
    </row>
    <row r="3007" spans="1:7" s="1128" customFormat="1" ht="15.75">
      <c r="A3007" s="993" t="s">
        <v>3748</v>
      </c>
      <c r="B3007" s="1127">
        <v>50</v>
      </c>
      <c r="C3007" s="1130">
        <v>30</v>
      </c>
      <c r="D3007" s="1126">
        <f t="shared" si="65"/>
        <v>1.17</v>
      </c>
      <c r="E3007" s="1131">
        <v>69.900000000000006</v>
      </c>
      <c r="F3007" s="1097">
        <f t="shared" si="66"/>
        <v>0.50213675213675202</v>
      </c>
      <c r="G3007" s="1098">
        <v>120</v>
      </c>
    </row>
    <row r="3010" spans="1:7">
      <c r="A3010" s="878" t="s">
        <v>3752</v>
      </c>
      <c r="C3010" s="161" t="s">
        <v>2989</v>
      </c>
      <c r="D3010" s="766" t="s">
        <v>2821</v>
      </c>
      <c r="E3010" s="766" t="s">
        <v>2822</v>
      </c>
    </row>
    <row r="3011" spans="1:7" ht="27">
      <c r="A3011" s="762" t="s">
        <v>2986</v>
      </c>
      <c r="B3011" s="762" t="s">
        <v>3520</v>
      </c>
      <c r="C3011" s="785" t="s">
        <v>2855</v>
      </c>
      <c r="D3011" s="785" t="s">
        <v>3505</v>
      </c>
      <c r="E3011" s="926" t="s">
        <v>3129</v>
      </c>
      <c r="F3011" s="879"/>
      <c r="G3011" s="879"/>
    </row>
    <row r="3012" spans="1:7" ht="38.25">
      <c r="A3012" s="884" t="s">
        <v>3753</v>
      </c>
      <c r="B3012" s="884" t="s">
        <v>3754</v>
      </c>
      <c r="C3012" s="250">
        <f>ROUNDUP(E3012/0.8/120,2)</f>
        <v>13.44</v>
      </c>
      <c r="D3012" s="250"/>
      <c r="E3012" s="129">
        <f>890+400</f>
        <v>1290</v>
      </c>
      <c r="F3012" s="883">
        <f>(((C3012*G3012)-E3012)/(C3012*G3012))</f>
        <v>0.20014880952380951</v>
      </c>
      <c r="G3012" s="132">
        <v>120</v>
      </c>
    </row>
    <row r="3013" spans="1:7" ht="38.25">
      <c r="A3013" s="884" t="s">
        <v>3755</v>
      </c>
      <c r="B3013" s="884" t="s">
        <v>3754</v>
      </c>
      <c r="C3013" s="250">
        <f>ROUNDUP(E3013/0.8/120,2)</f>
        <v>9.59</v>
      </c>
      <c r="D3013" s="250"/>
      <c r="E3013" s="129">
        <f>890+30</f>
        <v>920</v>
      </c>
      <c r="F3013" s="881">
        <f>(((C3013*G3013)-E3013)/(C3013*G3013))</f>
        <v>0.20055613486270418</v>
      </c>
      <c r="G3013" s="882">
        <v>120</v>
      </c>
    </row>
    <row r="3016" spans="1:7">
      <c r="A3016" s="762" t="s">
        <v>166</v>
      </c>
      <c r="B3016" s="762" t="s">
        <v>158</v>
      </c>
      <c r="C3016" s="762" t="s">
        <v>95</v>
      </c>
      <c r="D3016" s="245" t="s">
        <v>211</v>
      </c>
      <c r="E3016" s="245" t="s">
        <v>227</v>
      </c>
      <c r="F3016" s="245" t="s">
        <v>228</v>
      </c>
      <c r="G3016" s="936" t="s">
        <v>2855</v>
      </c>
    </row>
    <row r="3017" spans="1:7">
      <c r="A3017" s="37" t="s">
        <v>3757</v>
      </c>
      <c r="B3017" s="1137" t="s">
        <v>292</v>
      </c>
      <c r="C3017" s="37" t="s">
        <v>3758</v>
      </c>
      <c r="D3017" s="246">
        <v>50</v>
      </c>
      <c r="E3017" s="247">
        <v>3</v>
      </c>
      <c r="F3017" s="248">
        <f>D3017*E3017</f>
        <v>150</v>
      </c>
      <c r="G3017" s="742">
        <v>0.5</v>
      </c>
    </row>
    <row r="3018" spans="1:7">
      <c r="A3018" s="37" t="s">
        <v>3757</v>
      </c>
      <c r="B3018" s="1137" t="s">
        <v>292</v>
      </c>
      <c r="C3018" s="37" t="s">
        <v>3759</v>
      </c>
      <c r="D3018" s="246">
        <v>50</v>
      </c>
      <c r="E3018" s="247">
        <v>4</v>
      </c>
      <c r="F3018" s="248">
        <f>D3018*E3018</f>
        <v>200</v>
      </c>
      <c r="G3018" s="742">
        <v>0.5</v>
      </c>
    </row>
    <row r="3019" spans="1:7">
      <c r="A3019" s="37" t="s">
        <v>3757</v>
      </c>
      <c r="B3019" s="1137" t="s">
        <v>292</v>
      </c>
      <c r="C3019" s="37" t="s">
        <v>3760</v>
      </c>
      <c r="D3019" s="246">
        <v>50</v>
      </c>
      <c r="E3019" s="247">
        <v>4</v>
      </c>
      <c r="F3019" s="248">
        <f>D3019*E3019</f>
        <v>200</v>
      </c>
      <c r="G3019" s="742">
        <v>0.5</v>
      </c>
    </row>
    <row r="3020" spans="1:7">
      <c r="A3020" s="37"/>
      <c r="B3020" s="795"/>
      <c r="C3020" s="37" t="s">
        <v>266</v>
      </c>
      <c r="D3020" s="248"/>
      <c r="E3020" s="736"/>
      <c r="F3020" s="244">
        <v>1</v>
      </c>
      <c r="G3020" s="742">
        <v>12</v>
      </c>
    </row>
    <row r="3024" spans="1:7">
      <c r="A3024" s="762" t="s">
        <v>166</v>
      </c>
      <c r="B3024" s="762" t="s">
        <v>33</v>
      </c>
      <c r="C3024" s="762" t="s">
        <v>95</v>
      </c>
      <c r="D3024" s="245" t="s">
        <v>211</v>
      </c>
      <c r="E3024" s="245" t="s">
        <v>227</v>
      </c>
      <c r="F3024" s="245" t="s">
        <v>228</v>
      </c>
      <c r="G3024" s="936" t="s">
        <v>2855</v>
      </c>
    </row>
    <row r="3025" spans="1:8">
      <c r="A3025" s="37" t="s">
        <v>2962</v>
      </c>
      <c r="B3025" s="135">
        <v>25</v>
      </c>
      <c r="C3025" s="135" t="s">
        <v>291</v>
      </c>
      <c r="D3025" s="248">
        <v>30</v>
      </c>
      <c r="E3025" s="736">
        <v>10</v>
      </c>
      <c r="F3025" s="248">
        <f>D3025*E3025</f>
        <v>300</v>
      </c>
      <c r="G3025" s="742">
        <v>0.72</v>
      </c>
    </row>
    <row r="3026" spans="1:8">
      <c r="A3026" s="37" t="s">
        <v>2962</v>
      </c>
      <c r="B3026" s="135">
        <v>6</v>
      </c>
      <c r="C3026" s="135" t="s">
        <v>291</v>
      </c>
      <c r="D3026" s="248">
        <v>30</v>
      </c>
      <c r="E3026" s="736">
        <v>5</v>
      </c>
      <c r="F3026" s="248">
        <f>D3026*E3026</f>
        <v>150</v>
      </c>
      <c r="G3026" s="742">
        <v>0.34</v>
      </c>
    </row>
    <row r="3027" spans="1:8">
      <c r="A3027" s="37"/>
      <c r="B3027" s="795"/>
      <c r="C3027" s="37" t="s">
        <v>266</v>
      </c>
      <c r="D3027" s="248"/>
      <c r="E3027" s="736"/>
      <c r="F3027" s="244">
        <v>1</v>
      </c>
      <c r="G3027" s="742">
        <v>12</v>
      </c>
    </row>
    <row r="3031" spans="1:8">
      <c r="A3031" s="762" t="s">
        <v>3775</v>
      </c>
      <c r="B3031" s="762" t="s">
        <v>166</v>
      </c>
      <c r="C3031" s="762" t="s">
        <v>34</v>
      </c>
      <c r="D3031" s="762" t="s">
        <v>35</v>
      </c>
      <c r="E3031" s="936" t="s">
        <v>2855</v>
      </c>
      <c r="F3031" s="936" t="s">
        <v>269</v>
      </c>
    </row>
    <row r="3032" spans="1:8">
      <c r="A3032" s="4" t="s">
        <v>3771</v>
      </c>
      <c r="B3032" s="37" t="s">
        <v>175</v>
      </c>
      <c r="C3032" s="740" t="s">
        <v>3772</v>
      </c>
      <c r="D3032" s="40">
        <v>10</v>
      </c>
      <c r="E3032" s="742">
        <v>5.28</v>
      </c>
      <c r="F3032" s="250" t="s">
        <v>270</v>
      </c>
    </row>
    <row r="3033" spans="1:8">
      <c r="A3033" s="4" t="s">
        <v>3771</v>
      </c>
      <c r="B3033" s="37"/>
      <c r="C3033" s="37" t="s">
        <v>2804</v>
      </c>
      <c r="D3033" s="244">
        <v>1</v>
      </c>
      <c r="E3033" s="742">
        <v>15</v>
      </c>
      <c r="F3033" s="250"/>
    </row>
    <row r="3034" spans="1:8">
      <c r="A3034" s="4" t="s">
        <v>3774</v>
      </c>
      <c r="B3034" s="37" t="s">
        <v>175</v>
      </c>
      <c r="C3034" s="740" t="s">
        <v>3773</v>
      </c>
      <c r="D3034" s="40">
        <v>10</v>
      </c>
      <c r="E3034" s="742">
        <v>5.28</v>
      </c>
      <c r="F3034" s="250" t="s">
        <v>270</v>
      </c>
    </row>
    <row r="3035" spans="1:8">
      <c r="A3035" s="4" t="s">
        <v>3774</v>
      </c>
      <c r="B3035" s="37"/>
      <c r="C3035" s="37" t="s">
        <v>2804</v>
      </c>
      <c r="D3035" s="244">
        <v>1</v>
      </c>
      <c r="E3035" s="742">
        <v>15</v>
      </c>
      <c r="F3035" s="250"/>
    </row>
    <row r="3036" spans="1:8">
      <c r="A3036" s="4" t="s">
        <v>3774</v>
      </c>
      <c r="B3036" s="37"/>
      <c r="C3036" s="37" t="s">
        <v>266</v>
      </c>
      <c r="D3036" s="244">
        <v>1</v>
      </c>
      <c r="E3036" s="742">
        <v>15</v>
      </c>
      <c r="F3036" s="250"/>
    </row>
    <row r="3039" spans="1:8" ht="15">
      <c r="A3039" s="935" t="s">
        <v>3776</v>
      </c>
      <c r="B3039" s="935"/>
      <c r="C3039" s="935"/>
      <c r="D3039" s="935"/>
      <c r="E3039" s="935"/>
      <c r="F3039" s="935"/>
    </row>
    <row r="3040" spans="1:8" s="243" customFormat="1" ht="25.5">
      <c r="A3040" s="762" t="s">
        <v>166</v>
      </c>
      <c r="B3040" s="762" t="s">
        <v>95</v>
      </c>
      <c r="C3040" s="762" t="s">
        <v>3103</v>
      </c>
      <c r="D3040" s="936" t="s">
        <v>2855</v>
      </c>
      <c r="E3040" s="936" t="s">
        <v>3777</v>
      </c>
      <c r="F3040" s="985" t="s">
        <v>3227</v>
      </c>
      <c r="G3040" s="1116" t="s">
        <v>2821</v>
      </c>
      <c r="H3040" s="1117" t="s">
        <v>2822</v>
      </c>
    </row>
    <row r="3041" spans="1:13" s="243" customFormat="1" ht="12.75">
      <c r="A3041" s="875" t="s">
        <v>3291</v>
      </c>
      <c r="B3041" s="1118" t="s">
        <v>3094</v>
      </c>
      <c r="C3041" s="248">
        <v>10</v>
      </c>
      <c r="D3041" s="256">
        <f t="shared" ref="D3041:D3042" si="67">ROUNDUP(F3041/0.6/120,2)</f>
        <v>2.8899999999999997</v>
      </c>
      <c r="E3041" s="1119" t="s">
        <v>3277</v>
      </c>
      <c r="F3041" s="1080">
        <v>208</v>
      </c>
      <c r="G3041" s="789">
        <f t="shared" ref="G3041:G3042" si="68">(D3041-(F3041/H3041))/D3041</f>
        <v>0.40023068050749705</v>
      </c>
      <c r="H3041" s="1117">
        <v>120</v>
      </c>
    </row>
    <row r="3042" spans="1:13" s="243" customFormat="1" ht="12.75">
      <c r="A3042" s="875" t="s">
        <v>3291</v>
      </c>
      <c r="B3042" s="1118" t="s">
        <v>3104</v>
      </c>
      <c r="C3042" s="248" t="s">
        <v>3264</v>
      </c>
      <c r="D3042" s="256">
        <f t="shared" si="67"/>
        <v>4.2799999999999994</v>
      </c>
      <c r="E3042" s="1119" t="s">
        <v>1822</v>
      </c>
      <c r="F3042" s="1080">
        <f>208+100</f>
        <v>308</v>
      </c>
      <c r="G3042" s="789">
        <f t="shared" si="68"/>
        <v>0.40031152647975066</v>
      </c>
      <c r="H3042" s="1117">
        <v>120</v>
      </c>
    </row>
    <row r="3045" spans="1:13" s="941" customFormat="1" ht="12.75">
      <c r="A3045" s="941" t="s">
        <v>3779</v>
      </c>
    </row>
    <row r="3046" spans="1:13" s="778" customFormat="1" ht="16.5" customHeight="1">
      <c r="A3046" s="1293" t="s">
        <v>3160</v>
      </c>
      <c r="B3046" s="1291" t="s">
        <v>3591</v>
      </c>
      <c r="C3046" s="1065" t="s">
        <v>3808</v>
      </c>
      <c r="D3046" s="1065"/>
      <c r="E3046" s="1065"/>
      <c r="F3046" s="1065"/>
      <c r="G3046" s="1291" t="s">
        <v>3592</v>
      </c>
      <c r="H3046" s="1144"/>
      <c r="I3046" s="1144"/>
      <c r="J3046" s="1292" t="s">
        <v>3593</v>
      </c>
      <c r="K3046" s="1292" t="s">
        <v>2661</v>
      </c>
      <c r="L3046" s="1289" t="s">
        <v>3161</v>
      </c>
      <c r="M3046" s="1293" t="s">
        <v>308</v>
      </c>
    </row>
    <row r="3047" spans="1:13" s="778" customFormat="1" ht="17.100000000000001" customHeight="1">
      <c r="A3047" s="1293"/>
      <c r="B3047" s="1291"/>
      <c r="C3047" s="1067" t="s">
        <v>3165</v>
      </c>
      <c r="D3047" s="1067" t="s">
        <v>3166</v>
      </c>
      <c r="E3047" s="1067" t="s">
        <v>3167</v>
      </c>
      <c r="F3047" s="1067" t="s">
        <v>3168</v>
      </c>
      <c r="G3047" s="1291"/>
      <c r="H3047" s="1145" t="s">
        <v>3594</v>
      </c>
      <c r="I3047" s="1145" t="s">
        <v>3595</v>
      </c>
      <c r="J3047" s="1292"/>
      <c r="K3047" s="1292"/>
      <c r="L3047" s="1289"/>
      <c r="M3047" s="1293"/>
    </row>
    <row r="3048" spans="1:13" s="778" customFormat="1" ht="17.100000000000001" customHeight="1">
      <c r="A3048" s="1070" t="s">
        <v>3780</v>
      </c>
      <c r="B3048" s="1063" t="s">
        <v>3781</v>
      </c>
      <c r="C3048" s="1069">
        <v>23.480182500000002</v>
      </c>
      <c r="D3048" s="1069">
        <v>21.234252000000001</v>
      </c>
      <c r="E3048" s="1069">
        <v>20.825901000000002</v>
      </c>
      <c r="F3048" s="1069">
        <v>20.417550000000002</v>
      </c>
      <c r="G3048" s="1063">
        <v>5.2</v>
      </c>
      <c r="H3048" s="1063">
        <v>644.79999999999995</v>
      </c>
      <c r="I3048" s="1063">
        <v>62.4</v>
      </c>
      <c r="J3048" s="744">
        <v>644.79999999999995</v>
      </c>
      <c r="K3048" s="744">
        <v>62.4</v>
      </c>
      <c r="L3048" s="1146">
        <v>50.900000000000006</v>
      </c>
      <c r="M3048" s="1063" t="s">
        <v>3164</v>
      </c>
    </row>
    <row r="3049" spans="1:13" s="778" customFormat="1" ht="17.100000000000001" customHeight="1">
      <c r="A3049" s="1070" t="s">
        <v>3782</v>
      </c>
      <c r="B3049" s="1063" t="s">
        <v>3783</v>
      </c>
      <c r="C3049" s="1069">
        <v>53.170713000000006</v>
      </c>
      <c r="D3049" s="1069">
        <v>52.128150000000005</v>
      </c>
      <c r="E3049" s="1069">
        <v>47.957898000000007</v>
      </c>
      <c r="F3049" s="1069">
        <v>45.872772000000005</v>
      </c>
      <c r="G3049" s="1063">
        <v>6.1</v>
      </c>
      <c r="H3049" s="1063">
        <v>305</v>
      </c>
      <c r="I3049" s="1063">
        <v>36.6</v>
      </c>
      <c r="J3049" s="744">
        <v>305</v>
      </c>
      <c r="K3049" s="744">
        <v>36.6</v>
      </c>
      <c r="L3049" s="1146">
        <v>138.30000000000001</v>
      </c>
      <c r="M3049" s="1063" t="s">
        <v>3164</v>
      </c>
    </row>
    <row r="3050" spans="1:13" s="778" customFormat="1" ht="17.100000000000001" customHeight="1">
      <c r="A3050" s="1070" t="s">
        <v>3784</v>
      </c>
      <c r="B3050" s="1063" t="s">
        <v>3785</v>
      </c>
      <c r="C3050" s="1069">
        <v>45.193293000000004</v>
      </c>
      <c r="D3050" s="1069">
        <v>44.30715</v>
      </c>
      <c r="E3050" s="1069">
        <v>40.762578000000005</v>
      </c>
      <c r="F3050" s="1069">
        <v>38.990292000000004</v>
      </c>
      <c r="G3050" s="1063">
        <v>5.2</v>
      </c>
      <c r="H3050" s="1063">
        <v>5.2</v>
      </c>
      <c r="I3050" s="1063">
        <v>31.2</v>
      </c>
      <c r="J3050" s="744">
        <v>280.8</v>
      </c>
      <c r="K3050" s="744">
        <v>31.2</v>
      </c>
      <c r="L3050" s="1146">
        <v>128.5</v>
      </c>
      <c r="M3050" s="1063" t="s">
        <v>3605</v>
      </c>
    </row>
    <row r="3051" spans="1:13" s="778" customFormat="1" ht="17.100000000000001" customHeight="1">
      <c r="A3051" s="1068" t="s">
        <v>3621</v>
      </c>
      <c r="B3051" s="1068" t="s">
        <v>3622</v>
      </c>
      <c r="C3051" s="1069">
        <v>11.390219999999999</v>
      </c>
      <c r="D3051" s="1069">
        <v>10.441034999999999</v>
      </c>
      <c r="E3051" s="1069">
        <v>9.6816870000000002</v>
      </c>
      <c r="F3051" s="1069">
        <v>9.5867684999999998</v>
      </c>
      <c r="G3051" s="1068">
        <v>6.1</v>
      </c>
      <c r="H3051" s="1068"/>
      <c r="I3051" s="1068"/>
      <c r="J3051" s="774">
        <v>1976.4</v>
      </c>
      <c r="K3051" s="774">
        <v>219.6</v>
      </c>
      <c r="L3051" s="1068">
        <v>22</v>
      </c>
      <c r="M3051" s="1068" t="s">
        <v>3164</v>
      </c>
    </row>
    <row r="3052" spans="1:13" s="778" customFormat="1" ht="17.100000000000001" customHeight="1">
      <c r="A3052" s="1070" t="s">
        <v>3786</v>
      </c>
      <c r="B3052" s="1063" t="s">
        <v>3787</v>
      </c>
      <c r="C3052" s="1069">
        <v>7.8719550000000016</v>
      </c>
      <c r="D3052" s="1069">
        <v>7.0847595000000005</v>
      </c>
      <c r="E3052" s="1069">
        <v>6.539778000000001</v>
      </c>
      <c r="F3052" s="1069">
        <v>6.3581175000000014</v>
      </c>
      <c r="G3052" s="1063">
        <v>6.1</v>
      </c>
      <c r="H3052" s="1063">
        <v>3416</v>
      </c>
      <c r="I3052" s="1063">
        <v>292.8</v>
      </c>
      <c r="J3052" s="744">
        <v>3416</v>
      </c>
      <c r="K3052" s="744">
        <v>292.8</v>
      </c>
      <c r="L3052" s="1146">
        <v>13</v>
      </c>
      <c r="M3052" s="1063" t="s">
        <v>3164</v>
      </c>
    </row>
    <row r="3053" spans="1:13" s="778" customFormat="1" ht="17.100000000000001" customHeight="1">
      <c r="A3053" s="1071" t="s">
        <v>3788</v>
      </c>
      <c r="B3053" s="1063" t="s">
        <v>3789</v>
      </c>
      <c r="C3053" s="1069">
        <v>38.835531000000003</v>
      </c>
      <c r="D3053" s="1069">
        <v>38.07405</v>
      </c>
      <c r="E3053" s="1069">
        <v>35.028126</v>
      </c>
      <c r="F3053" s="1069">
        <v>33.505164000000001</v>
      </c>
      <c r="G3053" s="1147">
        <v>5.2</v>
      </c>
      <c r="H3053" s="1148">
        <v>395.2</v>
      </c>
      <c r="I3053" s="1148">
        <v>31.2</v>
      </c>
      <c r="J3053" s="1149">
        <v>395.2</v>
      </c>
      <c r="K3053" s="1149">
        <v>31.2</v>
      </c>
      <c r="L3053" s="1150">
        <v>104.80000000000001</v>
      </c>
      <c r="M3053" s="1151" t="s">
        <v>3164</v>
      </c>
    </row>
    <row r="3054" spans="1:13" s="778" customFormat="1" ht="17.100000000000001" customHeight="1">
      <c r="A3054" s="1068" t="s">
        <v>3790</v>
      </c>
      <c r="B3054" s="1068" t="s">
        <v>3791</v>
      </c>
      <c r="C3054" s="1069">
        <v>11.34756</v>
      </c>
      <c r="D3054" s="1069">
        <v>10.401930000000002</v>
      </c>
      <c r="E3054" s="1069">
        <v>9.6454260000000005</v>
      </c>
      <c r="F3054" s="1069">
        <v>9.5508630000000014</v>
      </c>
      <c r="G3054" s="1068">
        <v>6.1</v>
      </c>
      <c r="H3054" s="1068"/>
      <c r="I3054" s="1068"/>
      <c r="J3054" s="774">
        <v>1464</v>
      </c>
      <c r="K3054" s="774">
        <v>146.4</v>
      </c>
      <c r="L3054" s="1068">
        <v>21.5</v>
      </c>
      <c r="M3054" s="1068" t="s">
        <v>3792</v>
      </c>
    </row>
    <row r="3055" spans="1:13" s="778" customFormat="1" ht="17.100000000000001" customHeight="1">
      <c r="A3055" s="1070" t="s">
        <v>3793</v>
      </c>
      <c r="B3055" s="1063" t="s">
        <v>3794</v>
      </c>
      <c r="C3055" s="1069">
        <v>31.106250000000003</v>
      </c>
      <c r="D3055" s="1069">
        <v>30.217500000000001</v>
      </c>
      <c r="E3055" s="1069">
        <v>29.625</v>
      </c>
      <c r="F3055" s="1069">
        <v>29.032499999999999</v>
      </c>
      <c r="G3055" s="1063">
        <v>5.2</v>
      </c>
      <c r="H3055" s="1063">
        <v>5.2</v>
      </c>
      <c r="I3055" s="1063">
        <v>31.2</v>
      </c>
      <c r="J3055" s="744">
        <v>478.4</v>
      </c>
      <c r="K3055" s="744">
        <v>31.2</v>
      </c>
      <c r="L3055" s="1146">
        <v>85.2</v>
      </c>
      <c r="M3055" s="1063" t="s">
        <v>3602</v>
      </c>
    </row>
    <row r="3056" spans="1:13" s="778" customFormat="1" ht="17.100000000000001" customHeight="1">
      <c r="A3056" s="1070" t="s">
        <v>3626</v>
      </c>
      <c r="B3056" s="1063" t="s">
        <v>3627</v>
      </c>
      <c r="C3056" s="1069">
        <v>9.306989999999999</v>
      </c>
      <c r="D3056" s="1069">
        <v>8.6301179999999995</v>
      </c>
      <c r="E3056" s="1069">
        <v>8.5455089999999991</v>
      </c>
      <c r="F3056" s="1069">
        <v>8.3000000000000007</v>
      </c>
      <c r="G3056" s="1063"/>
      <c r="H3056" s="1063">
        <v>1700</v>
      </c>
      <c r="I3056" s="1063">
        <v>316</v>
      </c>
      <c r="J3056" s="744">
        <v>1700</v>
      </c>
      <c r="K3056" s="744">
        <v>316</v>
      </c>
      <c r="L3056" s="1146">
        <v>17.400000000000002</v>
      </c>
      <c r="M3056" s="1063" t="s">
        <v>3628</v>
      </c>
    </row>
    <row r="3057" spans="1:13" s="778" customFormat="1" ht="17.100000000000001" customHeight="1">
      <c r="A3057" s="1070" t="s">
        <v>3795</v>
      </c>
      <c r="B3057" s="1063" t="s">
        <v>3796</v>
      </c>
      <c r="C3057" s="1069">
        <v>46.305297000000003</v>
      </c>
      <c r="D3057" s="1069">
        <v>45.397350000000003</v>
      </c>
      <c r="E3057" s="1069">
        <v>41.765562000000003</v>
      </c>
      <c r="F3057" s="1069">
        <v>39.949668000000003</v>
      </c>
      <c r="G3057" s="1063">
        <v>6.1</v>
      </c>
      <c r="H3057" s="1063">
        <v>6.1</v>
      </c>
      <c r="I3057" s="1063">
        <v>36.6</v>
      </c>
      <c r="J3057" s="744">
        <v>378.2</v>
      </c>
      <c r="K3057" s="744">
        <v>36.6</v>
      </c>
      <c r="L3057" s="1146">
        <v>125.80000000000001</v>
      </c>
      <c r="M3057" s="1063" t="s">
        <v>3599</v>
      </c>
    </row>
    <row r="3058" spans="1:13" s="778" customFormat="1" ht="17.100000000000001" customHeight="1">
      <c r="A3058" s="1070" t="s">
        <v>3797</v>
      </c>
      <c r="B3058" s="1063" t="s">
        <v>3798</v>
      </c>
      <c r="C3058" s="1069">
        <v>14.902560000000001</v>
      </c>
      <c r="D3058" s="1069">
        <v>13.660680000000003</v>
      </c>
      <c r="E3058" s="1069">
        <v>12.667176000000001</v>
      </c>
      <c r="F3058" s="1069">
        <v>12.542988000000001</v>
      </c>
      <c r="G3058" s="1063">
        <v>6.1</v>
      </c>
      <c r="H3058" s="1063">
        <v>1207.8</v>
      </c>
      <c r="I3058" s="1063">
        <v>109.8</v>
      </c>
      <c r="J3058" s="744">
        <v>1207.8</v>
      </c>
      <c r="K3058" s="744">
        <v>109.8</v>
      </c>
      <c r="L3058" s="1146">
        <v>30</v>
      </c>
      <c r="M3058" s="1063" t="s">
        <v>3164</v>
      </c>
    </row>
    <row r="3059" spans="1:13" s="778" customFormat="1" ht="17.100000000000001" customHeight="1">
      <c r="A3059" s="1070" t="s">
        <v>3629</v>
      </c>
      <c r="B3059" s="1063" t="s">
        <v>3630</v>
      </c>
      <c r="C3059" s="1069">
        <v>11.873699999999999</v>
      </c>
      <c r="D3059" s="1069">
        <v>10.884225000000001</v>
      </c>
      <c r="E3059" s="1069">
        <v>10.092645000000001</v>
      </c>
      <c r="F3059" s="1069">
        <v>9.9936974999999997</v>
      </c>
      <c r="G3059" s="1063">
        <v>6.1</v>
      </c>
      <c r="H3059" s="1063">
        <v>1610.4</v>
      </c>
      <c r="I3059" s="1063">
        <v>146.4</v>
      </c>
      <c r="J3059" s="744">
        <v>1610.4</v>
      </c>
      <c r="K3059" s="744">
        <v>146.4</v>
      </c>
      <c r="L3059" s="1146">
        <v>23</v>
      </c>
      <c r="M3059" s="1063" t="s">
        <v>3164</v>
      </c>
    </row>
    <row r="3060" spans="1:13" s="778" customFormat="1" ht="17.100000000000001" customHeight="1">
      <c r="A3060" s="1070" t="s">
        <v>2676</v>
      </c>
      <c r="B3060" s="1063" t="s">
        <v>3799</v>
      </c>
      <c r="C3060" s="1152">
        <v>4.75</v>
      </c>
      <c r="D3060" s="1152">
        <v>3.47</v>
      </c>
      <c r="E3060" s="1152">
        <v>3.39</v>
      </c>
      <c r="F3060" s="1152">
        <v>3.25</v>
      </c>
      <c r="G3060" s="1063"/>
      <c r="H3060" s="1063">
        <v>40</v>
      </c>
      <c r="I3060" s="1063">
        <v>633</v>
      </c>
      <c r="J3060" s="744">
        <v>3660</v>
      </c>
      <c r="K3060" s="744">
        <v>633</v>
      </c>
      <c r="L3060" s="1146">
        <v>8.7000000000000011</v>
      </c>
      <c r="M3060" s="1063" t="s">
        <v>3800</v>
      </c>
    </row>
    <row r="3061" spans="1:13" s="778" customFormat="1" ht="17.100000000000001" customHeight="1">
      <c r="A3061" s="1070" t="s">
        <v>3801</v>
      </c>
      <c r="B3061" s="1063" t="s">
        <v>3802</v>
      </c>
      <c r="C3061" s="1069">
        <v>6.4238849999999994</v>
      </c>
      <c r="D3061" s="1069">
        <v>5.7814964999999994</v>
      </c>
      <c r="E3061" s="1069">
        <v>5.3367659999999999</v>
      </c>
      <c r="F3061" s="1069">
        <v>5.1885224999999995</v>
      </c>
      <c r="G3061" s="1063">
        <v>6.1</v>
      </c>
      <c r="H3061" s="1063">
        <v>4965.3999999999996</v>
      </c>
      <c r="I3061" s="1063">
        <v>402.6</v>
      </c>
      <c r="J3061" s="744">
        <v>4965.3999999999996</v>
      </c>
      <c r="K3061" s="744">
        <v>402.6</v>
      </c>
      <c r="L3061" s="1146">
        <v>8.3000000000000007</v>
      </c>
      <c r="M3061" s="1063" t="s">
        <v>3164</v>
      </c>
    </row>
    <row r="3062" spans="1:13" s="778" customFormat="1" ht="17.100000000000001" customHeight="1">
      <c r="A3062" s="1070" t="s">
        <v>3803</v>
      </c>
      <c r="B3062" s="1063" t="s">
        <v>3804</v>
      </c>
      <c r="C3062" s="1153">
        <v>3.48</v>
      </c>
      <c r="D3062" s="1153">
        <v>2.3198999999999996</v>
      </c>
      <c r="E3062" s="1153">
        <v>2.1673299999999998</v>
      </c>
      <c r="F3062" s="1153">
        <v>2.09</v>
      </c>
      <c r="G3062" s="1063"/>
      <c r="H3062" s="1063">
        <v>5400</v>
      </c>
      <c r="I3062" s="1063">
        <v>950</v>
      </c>
      <c r="J3062" s="744">
        <v>5400</v>
      </c>
      <c r="K3062" s="744">
        <v>950</v>
      </c>
      <c r="L3062" s="1146">
        <v>5.6000000000000005</v>
      </c>
      <c r="M3062" s="1063" t="s">
        <v>3805</v>
      </c>
    </row>
    <row r="3063" spans="1:13" s="778" customFormat="1" ht="17.100000000000001" customHeight="1">
      <c r="A3063" s="1070" t="s">
        <v>3806</v>
      </c>
      <c r="B3063" s="1063" t="s">
        <v>3807</v>
      </c>
      <c r="C3063" s="1069">
        <v>5.3609400000000003</v>
      </c>
      <c r="D3063" s="1069">
        <v>4.824846</v>
      </c>
      <c r="E3063" s="1069">
        <v>4.4537040000000001</v>
      </c>
      <c r="F3063" s="1069">
        <v>4.3299900000000004</v>
      </c>
      <c r="G3063" s="1063">
        <v>5</v>
      </c>
      <c r="H3063" s="1063">
        <v>35</v>
      </c>
      <c r="I3063" s="1063">
        <v>420</v>
      </c>
      <c r="J3063" s="744">
        <v>5180</v>
      </c>
      <c r="K3063" s="744">
        <v>420</v>
      </c>
      <c r="L3063" s="1146">
        <v>6.6000000000000005</v>
      </c>
      <c r="M3063" s="1063" t="s">
        <v>3164</v>
      </c>
    </row>
    <row r="3064" spans="1:13" s="941" customFormat="1" ht="12.75"/>
    <row r="3065" spans="1:13" s="941" customFormat="1" ht="12.75"/>
    <row r="3066" spans="1:13" s="941" customFormat="1" ht="12.75"/>
    <row r="3067" spans="1:13" s="941" customFormat="1" ht="12.75">
      <c r="A3067" s="941" t="s">
        <v>3811</v>
      </c>
    </row>
    <row r="3068" spans="1:13" s="239" customFormat="1" ht="14.25">
      <c r="A3068" s="242" t="s">
        <v>222</v>
      </c>
      <c r="B3068" s="931" t="s">
        <v>283</v>
      </c>
      <c r="C3068" s="926" t="s">
        <v>3068</v>
      </c>
      <c r="D3068" s="818" t="s">
        <v>2821</v>
      </c>
      <c r="E3068" s="927" t="s">
        <v>2822</v>
      </c>
    </row>
    <row r="3069" spans="1:13" s="838" customFormat="1" ht="13.5" customHeight="1">
      <c r="A3069" s="1154" t="s">
        <v>3809</v>
      </c>
      <c r="B3069" s="826">
        <f t="shared" ref="B3069:B3070" si="69">ROUNDUP(C3069/0.75/120,2)</f>
        <v>8.34</v>
      </c>
      <c r="C3069" s="1155">
        <f>720+30</f>
        <v>750</v>
      </c>
      <c r="D3069" s="929">
        <f t="shared" ref="D3069:D3070" si="70">(B3069-(C3069/E3069))/B3069</f>
        <v>0.25059952038369304</v>
      </c>
      <c r="E3069" s="1156">
        <v>120</v>
      </c>
    </row>
    <row r="3070" spans="1:13" s="838" customFormat="1" ht="13.5" customHeight="1">
      <c r="A3070" s="1157" t="s">
        <v>3810</v>
      </c>
      <c r="B3070" s="826">
        <f t="shared" si="69"/>
        <v>11.56</v>
      </c>
      <c r="C3070" s="1155">
        <f>1010+30</f>
        <v>1040</v>
      </c>
      <c r="D3070" s="929">
        <f t="shared" si="70"/>
        <v>0.25028835063437149</v>
      </c>
      <c r="E3070" s="1156">
        <v>120</v>
      </c>
    </row>
    <row r="3072" spans="1:13">
      <c r="A3072" s="1039" t="s">
        <v>222</v>
      </c>
      <c r="B3072" s="1040" t="s">
        <v>160</v>
      </c>
      <c r="C3072" s="1162" t="s">
        <v>283</v>
      </c>
      <c r="D3072" s="936" t="s">
        <v>3819</v>
      </c>
      <c r="E3072" s="926" t="s">
        <v>3068</v>
      </c>
      <c r="F3072" s="818" t="s">
        <v>2821</v>
      </c>
      <c r="G3072" s="927" t="s">
        <v>2822</v>
      </c>
    </row>
    <row r="3073" spans="1:9" s="1158" customFormat="1" ht="13.5" customHeight="1">
      <c r="A3073" s="1157" t="s">
        <v>187</v>
      </c>
      <c r="B3073" s="1155" t="s">
        <v>3816</v>
      </c>
      <c r="C3073" s="826">
        <f>ROUNDUP(E3073/0.8/120,2)</f>
        <v>4.0699999999999994</v>
      </c>
      <c r="D3073" s="826" t="s">
        <v>3820</v>
      </c>
      <c r="E3073" s="1159">
        <f>360+30</f>
        <v>390</v>
      </c>
      <c r="F3073" s="929">
        <f>(C3073-(E3073/G3073))/C3073</f>
        <v>0.20147420147420136</v>
      </c>
      <c r="G3073" s="1156">
        <v>120</v>
      </c>
      <c r="H3073" s="1160" t="s">
        <v>3812</v>
      </c>
      <c r="I3073" s="1160"/>
    </row>
    <row r="3074" spans="1:9" s="1158" customFormat="1" ht="13.5" customHeight="1">
      <c r="A3074" s="1157" t="s">
        <v>175</v>
      </c>
      <c r="B3074" s="1155" t="s">
        <v>3817</v>
      </c>
      <c r="C3074" s="826">
        <f>ROUNDUP(E3074/0.75/120,2)</f>
        <v>5</v>
      </c>
      <c r="D3074" s="826" t="s">
        <v>3822</v>
      </c>
      <c r="E3074" s="1159">
        <f>420+30</f>
        <v>450</v>
      </c>
      <c r="F3074" s="929">
        <f>(C3074-(E3074/G3074))/C3074</f>
        <v>0.25</v>
      </c>
      <c r="G3074" s="1156">
        <v>120</v>
      </c>
      <c r="H3074" s="1160" t="s">
        <v>3813</v>
      </c>
      <c r="I3074" s="1161" t="s">
        <v>3814</v>
      </c>
    </row>
    <row r="3075" spans="1:9" s="1158" customFormat="1" ht="13.5" customHeight="1">
      <c r="A3075" s="1157" t="s">
        <v>3815</v>
      </c>
      <c r="B3075" s="1155" t="s">
        <v>3818</v>
      </c>
      <c r="C3075" s="826">
        <f>ROUNDUP(E3075/0.8/120,2)</f>
        <v>6.05</v>
      </c>
      <c r="D3075" s="826" t="s">
        <v>3821</v>
      </c>
      <c r="E3075" s="1159">
        <f>550+30</f>
        <v>580</v>
      </c>
      <c r="F3075" s="929">
        <f>(C3075-(E3075/G3075))/C3075</f>
        <v>0.20110192837465568</v>
      </c>
      <c r="G3075" s="1156">
        <v>120</v>
      </c>
    </row>
    <row r="3078" spans="1:9">
      <c r="A3078" s="878" t="s">
        <v>3824</v>
      </c>
      <c r="C3078" s="161" t="s">
        <v>2989</v>
      </c>
      <c r="D3078" s="766" t="s">
        <v>2821</v>
      </c>
      <c r="E3078" s="766" t="s">
        <v>2822</v>
      </c>
    </row>
    <row r="3079" spans="1:9">
      <c r="A3079" s="762" t="s">
        <v>2986</v>
      </c>
      <c r="B3079" s="785" t="s">
        <v>2855</v>
      </c>
      <c r="C3079" s="255" t="s">
        <v>3823</v>
      </c>
      <c r="D3079" s="879"/>
      <c r="E3079" s="879"/>
    </row>
    <row r="3080" spans="1:9" ht="51">
      <c r="A3080" s="884" t="s">
        <v>3215</v>
      </c>
      <c r="B3080" s="250">
        <f>ROUNDUP(C3080/0.8/120,2)</f>
        <v>18.96</v>
      </c>
      <c r="C3080" s="129">
        <f>1420+400</f>
        <v>1820</v>
      </c>
      <c r="D3080" s="883">
        <f>(((B3080*E3080)-C3080)/(B3080*E3080))</f>
        <v>0.2000703234880451</v>
      </c>
      <c r="E3080" s="132">
        <v>120</v>
      </c>
    </row>
    <row r="3081" spans="1:9" ht="42">
      <c r="A3081" s="880" t="s">
        <v>3208</v>
      </c>
      <c r="B3081" s="250">
        <f>ROUNDUP(C3081/0.8/120,2)</f>
        <v>15.11</v>
      </c>
      <c r="C3081" s="129">
        <f>1420+30</f>
        <v>1450</v>
      </c>
      <c r="D3081" s="881">
        <f>(((B3081*E3081)-C3081)/(B3081*E3081))</f>
        <v>0.20030884623869394</v>
      </c>
      <c r="E3081" s="882">
        <v>120</v>
      </c>
    </row>
    <row r="3083" spans="1:9" s="239" customFormat="1" ht="14.25">
      <c r="A3083" s="242" t="s">
        <v>222</v>
      </c>
      <c r="B3083" s="931" t="s">
        <v>283</v>
      </c>
      <c r="C3083" s="926" t="s">
        <v>3068</v>
      </c>
      <c r="D3083" s="818" t="s">
        <v>2821</v>
      </c>
      <c r="E3083" s="927" t="s">
        <v>2822</v>
      </c>
    </row>
    <row r="3084" spans="1:9" s="838" customFormat="1" ht="29.25" customHeight="1">
      <c r="A3084" s="1163" t="s">
        <v>3825</v>
      </c>
      <c r="B3084" s="945" t="s">
        <v>3827</v>
      </c>
      <c r="C3084" s="1155">
        <v>310</v>
      </c>
      <c r="D3084" s="929" t="e">
        <f t="shared" ref="D3084" si="71">(B3084-(C3084/E3084))/B3084</f>
        <v>#VALUE!</v>
      </c>
      <c r="E3084" s="1156">
        <v>120</v>
      </c>
    </row>
    <row r="3085" spans="1:9" s="838" customFormat="1" ht="33" customHeight="1">
      <c r="A3085" s="1163" t="s">
        <v>3826</v>
      </c>
      <c r="B3085" s="826">
        <v>3.88</v>
      </c>
      <c r="C3085" s="1155">
        <v>310</v>
      </c>
      <c r="D3085" s="929">
        <f t="shared" ref="D3085" si="72">(B3085-(C3085/E3085))/B3085</f>
        <v>0.33419243986254288</v>
      </c>
      <c r="E3085" s="1156">
        <v>120</v>
      </c>
    </row>
    <row r="3089" spans="1:13">
      <c r="A3089" s="242" t="s">
        <v>222</v>
      </c>
      <c r="B3089" s="242" t="s">
        <v>34</v>
      </c>
      <c r="C3089" s="242" t="s">
        <v>35</v>
      </c>
      <c r="D3089" s="936" t="s">
        <v>3887</v>
      </c>
    </row>
    <row r="3090" spans="1:13">
      <c r="A3090" s="37" t="s">
        <v>3884</v>
      </c>
      <c r="B3090" s="135" t="s">
        <v>3886</v>
      </c>
      <c r="C3090" s="950">
        <v>141</v>
      </c>
      <c r="D3090" s="742">
        <v>2.95</v>
      </c>
    </row>
    <row r="3091" spans="1:13">
      <c r="A3091" s="37" t="s">
        <v>3885</v>
      </c>
      <c r="B3091" s="135" t="s">
        <v>3886</v>
      </c>
      <c r="C3091" s="950">
        <v>135</v>
      </c>
      <c r="D3091" s="742">
        <v>3.1</v>
      </c>
    </row>
    <row r="3092" spans="1:13">
      <c r="A3092" s="37"/>
      <c r="B3092" s="135" t="s">
        <v>305</v>
      </c>
      <c r="C3092" s="244">
        <v>2</v>
      </c>
      <c r="D3092" s="742">
        <v>40</v>
      </c>
    </row>
    <row r="3096" spans="1:13" s="778" customFormat="1" ht="17.100000000000001" customHeight="1">
      <c r="A3096" s="1290" t="s">
        <v>3160</v>
      </c>
      <c r="B3096" s="1291" t="s">
        <v>3591</v>
      </c>
      <c r="C3096" s="1065" t="s">
        <v>3808</v>
      </c>
      <c r="D3096" s="1065"/>
      <c r="E3096" s="1065"/>
      <c r="F3096" s="1065"/>
      <c r="G3096" s="1291" t="s">
        <v>3592</v>
      </c>
      <c r="H3096" s="1144"/>
      <c r="I3096" s="1144"/>
      <c r="J3096" s="1292" t="s">
        <v>3593</v>
      </c>
      <c r="K3096" s="1292" t="s">
        <v>2661</v>
      </c>
      <c r="L3096" s="1289" t="s">
        <v>3161</v>
      </c>
      <c r="M3096" s="1290" t="s">
        <v>308</v>
      </c>
    </row>
    <row r="3097" spans="1:13" s="778" customFormat="1" ht="17.100000000000001" customHeight="1">
      <c r="A3097" s="1290"/>
      <c r="B3097" s="1291"/>
      <c r="C3097" s="1067" t="s">
        <v>3165</v>
      </c>
      <c r="D3097" s="1067" t="s">
        <v>3166</v>
      </c>
      <c r="E3097" s="1067" t="s">
        <v>3167</v>
      </c>
      <c r="F3097" s="1067" t="s">
        <v>3168</v>
      </c>
      <c r="G3097" s="1291"/>
      <c r="H3097" s="1145" t="s">
        <v>3594</v>
      </c>
      <c r="I3097" s="1145" t="s">
        <v>3595</v>
      </c>
      <c r="J3097" s="1292"/>
      <c r="K3097" s="1292"/>
      <c r="L3097" s="1289"/>
      <c r="M3097" s="1290"/>
    </row>
    <row r="3098" spans="1:13" s="778" customFormat="1" ht="17.100000000000001" customHeight="1">
      <c r="A3098" s="1070" t="s">
        <v>3888</v>
      </c>
      <c r="B3098" s="1202" t="s">
        <v>3889</v>
      </c>
      <c r="C3098" s="1069">
        <v>7.2095399999999996</v>
      </c>
      <c r="D3098" s="1069">
        <v>6.65496</v>
      </c>
      <c r="E3098" s="1069">
        <v>6.4701000000000004</v>
      </c>
      <c r="F3098" s="1069">
        <v>5.1464549999999996</v>
      </c>
      <c r="G3098" s="1147">
        <v>5.2</v>
      </c>
      <c r="H3098" s="1148">
        <v>2745.6</v>
      </c>
      <c r="I3098" s="1148">
        <v>249.6</v>
      </c>
      <c r="J3098" s="1149">
        <v>2745.6</v>
      </c>
      <c r="K3098" s="1149">
        <v>249.6</v>
      </c>
      <c r="L3098" s="1150">
        <v>12.600000000000001</v>
      </c>
      <c r="M3098" s="1151" t="s">
        <v>3890</v>
      </c>
    </row>
    <row r="3099" spans="1:13" s="778" customFormat="1" ht="17.100000000000001" customHeight="1">
      <c r="A3099" s="1070" t="s">
        <v>2674</v>
      </c>
      <c r="B3099" s="1202" t="s">
        <v>3891</v>
      </c>
      <c r="C3099" s="1069">
        <v>7.6870950000000002</v>
      </c>
      <c r="D3099" s="1069">
        <v>6.9183854999999994</v>
      </c>
      <c r="E3099" s="1069">
        <v>6.3862019999999999</v>
      </c>
      <c r="F3099" s="1069">
        <v>6.2088074999999998</v>
      </c>
      <c r="G3099" s="1063">
        <v>5</v>
      </c>
      <c r="H3099" s="1063">
        <v>25</v>
      </c>
      <c r="I3099" s="1063">
        <v>300</v>
      </c>
      <c r="J3099" s="744">
        <v>3200</v>
      </c>
      <c r="K3099" s="744">
        <v>300</v>
      </c>
      <c r="L3099" s="1146">
        <v>9.3000000000000007</v>
      </c>
      <c r="M3099" s="1063" t="s">
        <v>3164</v>
      </c>
    </row>
    <row r="3100" spans="1:13" s="778" customFormat="1" ht="17.100000000000001" customHeight="1">
      <c r="A3100" s="1071" t="s">
        <v>3892</v>
      </c>
      <c r="B3100" s="1202" t="s">
        <v>3893</v>
      </c>
      <c r="C3100" s="1069">
        <v>7.1479199999999992</v>
      </c>
      <c r="D3100" s="1069">
        <v>6.4331279999999991</v>
      </c>
      <c r="E3100" s="1069">
        <v>5.9382719999999996</v>
      </c>
      <c r="F3100" s="1069">
        <v>5.7733199999999991</v>
      </c>
      <c r="G3100" s="1147">
        <v>5</v>
      </c>
      <c r="H3100" s="1148">
        <v>4510</v>
      </c>
      <c r="I3100" s="1148">
        <v>330</v>
      </c>
      <c r="J3100" s="1149">
        <v>4510</v>
      </c>
      <c r="K3100" s="1149">
        <v>330</v>
      </c>
      <c r="L3100" s="1150">
        <v>8.4</v>
      </c>
      <c r="M3100" s="1151" t="s">
        <v>3894</v>
      </c>
    </row>
    <row r="3101" spans="1:13" s="778" customFormat="1" ht="17.100000000000001" customHeight="1">
      <c r="A3101" s="1071" t="s">
        <v>3895</v>
      </c>
      <c r="B3101" s="1202" t="s">
        <v>3896</v>
      </c>
      <c r="C3101" s="1069">
        <v>7.6254750000000007</v>
      </c>
      <c r="D3101" s="1069">
        <v>6.8629274999999996</v>
      </c>
      <c r="E3101" s="1069">
        <v>6.3350100000000005</v>
      </c>
      <c r="F3101" s="1069">
        <v>6.1590375000000002</v>
      </c>
      <c r="G3101" s="1147">
        <v>6.1</v>
      </c>
      <c r="H3101" s="1148">
        <v>3623.4</v>
      </c>
      <c r="I3101" s="1148">
        <v>329.4</v>
      </c>
      <c r="J3101" s="1149">
        <v>3623.4</v>
      </c>
      <c r="K3101" s="1149">
        <v>329.4</v>
      </c>
      <c r="L3101" s="1150">
        <v>11.600000000000001</v>
      </c>
      <c r="M3101" s="1151" t="s">
        <v>3164</v>
      </c>
    </row>
    <row r="3104" spans="1:13" s="778" customFormat="1" ht="17.100000000000001" customHeight="1">
      <c r="A3104" s="1290" t="s">
        <v>3160</v>
      </c>
      <c r="B3104" s="1291" t="s">
        <v>3591</v>
      </c>
      <c r="C3104" s="1065" t="s">
        <v>3808</v>
      </c>
      <c r="D3104" s="1065"/>
      <c r="E3104" s="1065"/>
      <c r="F3104" s="1065"/>
      <c r="G3104" s="1291" t="s">
        <v>3592</v>
      </c>
      <c r="H3104" s="1144"/>
      <c r="I3104" s="1144"/>
      <c r="J3104" s="1292" t="s">
        <v>3593</v>
      </c>
      <c r="K3104" s="1292" t="s">
        <v>2661</v>
      </c>
      <c r="L3104" s="1289" t="s">
        <v>3161</v>
      </c>
      <c r="M3104" s="1290" t="s">
        <v>308</v>
      </c>
    </row>
    <row r="3105" spans="1:13" s="778" customFormat="1" ht="17.100000000000001" customHeight="1">
      <c r="A3105" s="1290"/>
      <c r="B3105" s="1291"/>
      <c r="C3105" s="1067" t="s">
        <v>3165</v>
      </c>
      <c r="D3105" s="1067" t="s">
        <v>3166</v>
      </c>
      <c r="E3105" s="1067" t="s">
        <v>3167</v>
      </c>
      <c r="F3105" s="1067" t="s">
        <v>3168</v>
      </c>
      <c r="G3105" s="1291"/>
      <c r="H3105" s="1145" t="s">
        <v>3594</v>
      </c>
      <c r="I3105" s="1145" t="s">
        <v>3595</v>
      </c>
      <c r="J3105" s="1292"/>
      <c r="K3105" s="1292"/>
      <c r="L3105" s="1289"/>
      <c r="M3105" s="1290"/>
    </row>
    <row r="3106" spans="1:13" s="861" customFormat="1" ht="15">
      <c r="A3106" s="1203" t="s">
        <v>3904</v>
      </c>
      <c r="B3106" s="1210" t="s">
        <v>3905</v>
      </c>
      <c r="C3106" s="1204">
        <v>5.1547499999999999</v>
      </c>
      <c r="D3106" s="1204">
        <v>4.2956250000000002</v>
      </c>
      <c r="E3106" s="1204">
        <v>4.1238000000000001</v>
      </c>
      <c r="F3106" s="1204">
        <v>3.7801500000000003</v>
      </c>
      <c r="G3106" s="1205">
        <v>6.1</v>
      </c>
      <c r="H3106" s="1206">
        <v>7466.4</v>
      </c>
      <c r="I3106" s="1206">
        <v>622.20000000000005</v>
      </c>
      <c r="J3106" s="1207">
        <v>7466.4</v>
      </c>
      <c r="K3106" s="1207">
        <v>622.20000000000005</v>
      </c>
      <c r="L3106" s="1208">
        <v>5</v>
      </c>
      <c r="M3106" s="1209" t="s">
        <v>3164</v>
      </c>
    </row>
    <row r="3107" spans="1:13" s="861" customFormat="1" ht="15">
      <c r="A3107" s="1203" t="s">
        <v>3797</v>
      </c>
      <c r="B3107" s="1210" t="s">
        <v>3798</v>
      </c>
      <c r="C3107" s="1204">
        <v>14.902560000000001</v>
      </c>
      <c r="D3107" s="1204">
        <v>13.660680000000003</v>
      </c>
      <c r="E3107" s="1204">
        <v>12.667176000000001</v>
      </c>
      <c r="F3107" s="1204">
        <v>12.542988000000001</v>
      </c>
      <c r="G3107" s="1210">
        <v>6.1</v>
      </c>
      <c r="H3107" s="1210">
        <v>1207.8</v>
      </c>
      <c r="I3107" s="1210">
        <v>109.8</v>
      </c>
      <c r="J3107" s="177">
        <v>1207.8</v>
      </c>
      <c r="K3107" s="177">
        <v>109.8</v>
      </c>
      <c r="L3107" s="1211">
        <v>30</v>
      </c>
      <c r="M3107" s="1210" t="s">
        <v>3164</v>
      </c>
    </row>
    <row r="3110" spans="1:13" ht="15.75">
      <c r="A3110" s="73" t="s">
        <v>3920</v>
      </c>
      <c r="B3110" s="73" t="s">
        <v>78</v>
      </c>
      <c r="C3110" s="73" t="s">
        <v>34</v>
      </c>
      <c r="D3110" s="74" t="s">
        <v>35</v>
      </c>
      <c r="E3110" s="76" t="s">
        <v>84</v>
      </c>
      <c r="F3110" s="126"/>
    </row>
    <row r="3111" spans="1:13" ht="15">
      <c r="A3111" s="20" t="s">
        <v>3921</v>
      </c>
      <c r="B3111" s="20" t="s">
        <v>3914</v>
      </c>
      <c r="C3111" s="34" t="s">
        <v>3915</v>
      </c>
      <c r="D3111" s="16">
        <v>25</v>
      </c>
      <c r="E3111" s="36">
        <v>5.2</v>
      </c>
      <c r="F3111" s="36">
        <f>E3111*D3111</f>
        <v>130</v>
      </c>
    </row>
    <row r="3112" spans="1:13" ht="15">
      <c r="A3112" s="20" t="s">
        <v>3921</v>
      </c>
      <c r="B3112" s="20" t="s">
        <v>3914</v>
      </c>
      <c r="C3112" s="34" t="s">
        <v>3916</v>
      </c>
      <c r="D3112" s="16">
        <v>20</v>
      </c>
      <c r="E3112" s="36">
        <v>5.2</v>
      </c>
      <c r="F3112" s="36">
        <f>E3112*D3112</f>
        <v>104</v>
      </c>
    </row>
    <row r="3113" spans="1:13" ht="15">
      <c r="A3113" s="20" t="s">
        <v>3921</v>
      </c>
      <c r="B3113" s="20" t="s">
        <v>3914</v>
      </c>
      <c r="C3113" s="34" t="s">
        <v>3919</v>
      </c>
      <c r="D3113" s="16">
        <v>11</v>
      </c>
      <c r="E3113" s="36">
        <v>5.2</v>
      </c>
      <c r="F3113" s="36">
        <f>E3113*D3113</f>
        <v>57.2</v>
      </c>
    </row>
    <row r="3114" spans="1:13" ht="15">
      <c r="A3114" s="20" t="s">
        <v>3921</v>
      </c>
      <c r="B3114" s="20" t="s">
        <v>3914</v>
      </c>
      <c r="C3114" s="34" t="s">
        <v>3918</v>
      </c>
      <c r="D3114" s="16">
        <v>10</v>
      </c>
      <c r="E3114" s="36">
        <v>5.2</v>
      </c>
      <c r="F3114" s="36">
        <f>E3114*D3114</f>
        <v>52</v>
      </c>
    </row>
    <row r="3115" spans="1:13" ht="15">
      <c r="A3115" s="46"/>
      <c r="B3115" s="20"/>
      <c r="C3115" s="34" t="s">
        <v>3872</v>
      </c>
      <c r="D3115" s="35">
        <v>2</v>
      </c>
      <c r="E3115" s="36">
        <v>40</v>
      </c>
      <c r="F3115" s="36">
        <f>E3115*D3115</f>
        <v>80</v>
      </c>
    </row>
    <row r="3118" spans="1:13" s="243" customFormat="1" ht="12.75">
      <c r="A3118" s="762" t="s">
        <v>3920</v>
      </c>
      <c r="B3118" s="762" t="s">
        <v>78</v>
      </c>
      <c r="C3118" s="762" t="s">
        <v>34</v>
      </c>
      <c r="D3118" s="1213" t="s">
        <v>35</v>
      </c>
      <c r="E3118" s="1214" t="s">
        <v>84</v>
      </c>
      <c r="F3118" s="126"/>
    </row>
    <row r="3119" spans="1:13" s="243" customFormat="1" ht="12.75">
      <c r="A3119" s="257" t="s">
        <v>3922</v>
      </c>
      <c r="B3119" s="37" t="s">
        <v>3914</v>
      </c>
      <c r="C3119" s="135" t="s">
        <v>3918</v>
      </c>
      <c r="D3119" s="950">
        <v>10</v>
      </c>
      <c r="E3119" s="742">
        <v>5.2</v>
      </c>
    </row>
    <row r="3120" spans="1:13" s="243" customFormat="1" ht="12"/>
    <row r="3123" spans="1:5">
      <c r="A3123" s="762" t="s">
        <v>78</v>
      </c>
      <c r="B3123" s="762" t="s">
        <v>34</v>
      </c>
      <c r="C3123" s="1213" t="s">
        <v>35</v>
      </c>
      <c r="D3123" s="1214" t="s">
        <v>3935</v>
      </c>
      <c r="E3123" s="1214" t="s">
        <v>3936</v>
      </c>
    </row>
    <row r="3124" spans="1:5">
      <c r="A3124" s="37" t="s">
        <v>3914</v>
      </c>
      <c r="B3124" s="135" t="s">
        <v>3915</v>
      </c>
      <c r="C3124" s="950">
        <v>25</v>
      </c>
      <c r="D3124" s="742">
        <v>5.2</v>
      </c>
      <c r="E3124" s="250" t="s">
        <v>3937</v>
      </c>
    </row>
    <row r="3125" spans="1:5">
      <c r="A3125" s="37" t="s">
        <v>3914</v>
      </c>
      <c r="B3125" s="135" t="s">
        <v>3916</v>
      </c>
      <c r="C3125" s="950">
        <v>20</v>
      </c>
      <c r="D3125" s="742">
        <v>5.2</v>
      </c>
      <c r="E3125" s="250" t="s">
        <v>3938</v>
      </c>
    </row>
    <row r="3126" spans="1:5">
      <c r="A3126" s="37" t="s">
        <v>3914</v>
      </c>
      <c r="B3126" s="135" t="s">
        <v>3917</v>
      </c>
      <c r="C3126" s="950">
        <v>11</v>
      </c>
      <c r="D3126" s="742">
        <v>5.2</v>
      </c>
      <c r="E3126" s="250" t="s">
        <v>3939</v>
      </c>
    </row>
    <row r="3127" spans="1:5">
      <c r="A3127" s="37" t="s">
        <v>3914</v>
      </c>
      <c r="B3127" s="135" t="s">
        <v>3918</v>
      </c>
      <c r="C3127" s="950">
        <v>10</v>
      </c>
      <c r="D3127" s="742">
        <v>5.2</v>
      </c>
      <c r="E3127" s="250" t="s">
        <v>3938</v>
      </c>
    </row>
    <row r="3128" spans="1:5">
      <c r="A3128" s="37"/>
      <c r="B3128" s="135" t="s">
        <v>3872</v>
      </c>
      <c r="C3128" s="244">
        <v>2</v>
      </c>
      <c r="D3128" s="742">
        <v>80</v>
      </c>
      <c r="E3128" s="250"/>
    </row>
    <row r="3132" spans="1:5">
      <c r="A3132" s="762" t="s">
        <v>78</v>
      </c>
      <c r="B3132" s="762" t="s">
        <v>34</v>
      </c>
      <c r="C3132" s="1213" t="s">
        <v>35</v>
      </c>
      <c r="D3132" s="1214" t="s">
        <v>3935</v>
      </c>
    </row>
    <row r="3133" spans="1:5">
      <c r="A3133" s="37" t="s">
        <v>3914</v>
      </c>
      <c r="B3133" s="135" t="s">
        <v>3918</v>
      </c>
      <c r="C3133" s="950">
        <v>10</v>
      </c>
      <c r="D3133" s="742">
        <v>5.2</v>
      </c>
    </row>
    <row r="3137" spans="1:13">
      <c r="A3137" t="s">
        <v>3946</v>
      </c>
    </row>
    <row r="3138" spans="1:13" s="778" customFormat="1" ht="16.5" customHeight="1">
      <c r="A3138" s="1290" t="s">
        <v>3160</v>
      </c>
      <c r="B3138" s="1291" t="s">
        <v>3591</v>
      </c>
      <c r="C3138" s="1065" t="s">
        <v>3808</v>
      </c>
      <c r="D3138" s="1065"/>
      <c r="E3138" s="1065"/>
      <c r="F3138" s="1065"/>
      <c r="G3138" s="1291" t="s">
        <v>3592</v>
      </c>
      <c r="H3138" s="1144"/>
      <c r="I3138" s="1144"/>
      <c r="J3138" s="1292" t="s">
        <v>3593</v>
      </c>
      <c r="K3138" s="1292" t="s">
        <v>2661</v>
      </c>
      <c r="L3138" s="1289" t="s">
        <v>3161</v>
      </c>
      <c r="M3138" s="1290" t="s">
        <v>308</v>
      </c>
    </row>
    <row r="3139" spans="1:13" s="778" customFormat="1" ht="17.100000000000001" customHeight="1">
      <c r="A3139" s="1290"/>
      <c r="B3139" s="1291"/>
      <c r="C3139" s="1067" t="s">
        <v>3165</v>
      </c>
      <c r="D3139" s="1067" t="s">
        <v>3166</v>
      </c>
      <c r="E3139" s="1067" t="s">
        <v>3167</v>
      </c>
      <c r="F3139" s="1067" t="s">
        <v>3168</v>
      </c>
      <c r="G3139" s="1291"/>
      <c r="H3139" s="1145" t="s">
        <v>3594</v>
      </c>
      <c r="I3139" s="1145" t="s">
        <v>3595</v>
      </c>
      <c r="J3139" s="1292"/>
      <c r="K3139" s="1292"/>
      <c r="L3139" s="1289"/>
      <c r="M3139" s="1290"/>
    </row>
    <row r="3140" spans="1:13" s="778" customFormat="1" ht="17.100000000000001" customHeight="1">
      <c r="A3140" s="1070" t="s">
        <v>3947</v>
      </c>
      <c r="B3140" s="1063" t="s">
        <v>3948</v>
      </c>
      <c r="C3140" s="1069">
        <v>59.407605000000004</v>
      </c>
      <c r="D3140" s="1069">
        <v>58.242750000000001</v>
      </c>
      <c r="E3140" s="1069">
        <v>53.583330000000004</v>
      </c>
      <c r="F3140" s="1069">
        <v>51.253619999999998</v>
      </c>
      <c r="G3140" s="1063">
        <v>6.1</v>
      </c>
      <c r="H3140" s="1063">
        <v>280.60000000000002</v>
      </c>
      <c r="I3140" s="1063">
        <v>36.6</v>
      </c>
      <c r="J3140" s="744">
        <v>280.60000000000002</v>
      </c>
      <c r="K3140" s="744">
        <v>36.6</v>
      </c>
      <c r="L3140" s="1146">
        <v>155.20000000000002</v>
      </c>
      <c r="M3140" s="1063" t="s">
        <v>3164</v>
      </c>
    </row>
    <row r="3141" spans="1:13" s="778" customFormat="1" ht="17.100000000000001" customHeight="1">
      <c r="A3141" s="1068" t="s">
        <v>3597</v>
      </c>
      <c r="B3141" s="1068" t="s">
        <v>3598</v>
      </c>
      <c r="C3141" s="1069">
        <v>42.836327999999995</v>
      </c>
      <c r="D3141" s="1069">
        <v>41.996399999999994</v>
      </c>
      <c r="E3141" s="1069">
        <v>38.636687999999999</v>
      </c>
      <c r="F3141" s="1069">
        <v>36.956831999999999</v>
      </c>
      <c r="G3141" s="1068">
        <v>5.8</v>
      </c>
      <c r="H3141" s="1068"/>
      <c r="I3141" s="1068"/>
      <c r="J3141" s="774">
        <v>406</v>
      </c>
      <c r="K3141" s="774">
        <v>34.799999999999997</v>
      </c>
      <c r="L3141" s="1068">
        <v>116.10000000000001</v>
      </c>
      <c r="M3141" s="1068" t="s">
        <v>3599</v>
      </c>
    </row>
    <row r="3142" spans="1:13" s="778" customFormat="1" ht="17.100000000000001" customHeight="1">
      <c r="A3142" s="1085" t="s">
        <v>3949</v>
      </c>
      <c r="B3142" s="1068"/>
      <c r="C3142" s="1152">
        <v>90.593249999999998</v>
      </c>
      <c r="D3142" s="1152">
        <v>84.859499999999997</v>
      </c>
      <c r="E3142" s="1152">
        <v>79.278649999999999</v>
      </c>
      <c r="F3142" s="1152">
        <v>76.45</v>
      </c>
      <c r="G3142" s="1068"/>
      <c r="H3142" s="1068"/>
      <c r="I3142" s="1068"/>
      <c r="J3142" s="774">
        <v>256.2</v>
      </c>
      <c r="K3142" s="744">
        <v>36.6</v>
      </c>
      <c r="L3142" s="1068">
        <v>154</v>
      </c>
      <c r="M3142" s="1068" t="s">
        <v>3625</v>
      </c>
    </row>
    <row r="3143" spans="1:13" s="778" customFormat="1" ht="17.100000000000001" customHeight="1">
      <c r="A3143" s="1070" t="s">
        <v>3950</v>
      </c>
      <c r="B3143" s="1063" t="s">
        <v>3951</v>
      </c>
      <c r="C3143" s="1069">
        <v>60.833871000000002</v>
      </c>
      <c r="D3143" s="1069">
        <v>59.64105</v>
      </c>
      <c r="E3143" s="1069">
        <v>54.869766000000006</v>
      </c>
      <c r="F3143" s="1069">
        <v>52.484124000000001</v>
      </c>
      <c r="G3143" s="1063">
        <v>6.1</v>
      </c>
      <c r="H3143" s="1063">
        <v>317.2</v>
      </c>
      <c r="I3143" s="1063">
        <v>36.6</v>
      </c>
      <c r="J3143" s="744">
        <v>317.2</v>
      </c>
      <c r="K3143" s="744">
        <v>36.6</v>
      </c>
      <c r="L3143" s="1146">
        <v>158.9</v>
      </c>
      <c r="M3143" s="1063" t="s">
        <v>3952</v>
      </c>
    </row>
    <row r="3144" spans="1:13" s="778" customFormat="1" ht="17.100000000000001" customHeight="1">
      <c r="A3144" s="1068" t="s">
        <v>3953</v>
      </c>
      <c r="B3144" s="1068" t="s">
        <v>3954</v>
      </c>
      <c r="C3144" s="1069">
        <v>8.78796</v>
      </c>
      <c r="D3144" s="1069">
        <v>8.0556300000000007</v>
      </c>
      <c r="E3144" s="1069">
        <v>7.4697659999999999</v>
      </c>
      <c r="F3144" s="1069">
        <v>7.3965329999999998</v>
      </c>
      <c r="G3144" s="1068"/>
      <c r="H3144" s="1068"/>
      <c r="I3144" s="1068"/>
      <c r="J3144" s="774">
        <v>1800</v>
      </c>
      <c r="K3144" s="774">
        <v>180</v>
      </c>
      <c r="L3144" s="1068">
        <v>19</v>
      </c>
      <c r="M3144" s="1068" t="s">
        <v>3625</v>
      </c>
    </row>
    <row r="3145" spans="1:13" s="778" customFormat="1" ht="17.100000000000001" customHeight="1">
      <c r="A3145" s="1070" t="s">
        <v>3955</v>
      </c>
      <c r="B3145" s="1063" t="s">
        <v>3956</v>
      </c>
      <c r="C3145" s="1069">
        <v>7.8719550000000016</v>
      </c>
      <c r="D3145" s="1069">
        <v>7.0847595000000005</v>
      </c>
      <c r="E3145" s="1069">
        <v>6.539778000000001</v>
      </c>
      <c r="F3145" s="1069">
        <v>6.3581175000000014</v>
      </c>
      <c r="G3145" s="1063">
        <v>5.2</v>
      </c>
      <c r="H3145" s="1063">
        <v>3276</v>
      </c>
      <c r="I3145" s="1063">
        <v>280.8</v>
      </c>
      <c r="J3145" s="744">
        <v>3276</v>
      </c>
      <c r="K3145" s="744">
        <v>280.8</v>
      </c>
      <c r="L3145" s="1146">
        <v>10.200000000000001</v>
      </c>
      <c r="M3145" s="1063" t="s">
        <v>3164</v>
      </c>
    </row>
    <row r="3146" spans="1:13" s="778" customFormat="1" ht="17.100000000000001" customHeight="1">
      <c r="A3146" s="1070" t="s">
        <v>3957</v>
      </c>
      <c r="B3146" s="1063" t="s">
        <v>3958</v>
      </c>
      <c r="C3146" s="1152">
        <v>12.857249999999999</v>
      </c>
      <c r="D3146" s="1152">
        <v>12.0435</v>
      </c>
      <c r="E3146" s="1152">
        <v>11.25145</v>
      </c>
      <c r="F3146" s="1152">
        <v>10.85</v>
      </c>
      <c r="G3146" s="1063">
        <v>5.8</v>
      </c>
      <c r="H3146" s="1063">
        <v>11.6</v>
      </c>
      <c r="I3146" s="1063">
        <v>0</v>
      </c>
      <c r="J3146" s="744">
        <v>1716.8</v>
      </c>
      <c r="K3146" s="744">
        <v>0</v>
      </c>
      <c r="L3146" s="1146">
        <v>21.8</v>
      </c>
      <c r="M3146" s="1063" t="s">
        <v>3959</v>
      </c>
    </row>
  </sheetData>
  <mergeCells count="72">
    <mergeCell ref="L3138:L3139"/>
    <mergeCell ref="M3138:M3139"/>
    <mergeCell ref="A3138:A3139"/>
    <mergeCell ref="B3138:B3139"/>
    <mergeCell ref="G3138:G3139"/>
    <mergeCell ref="J3138:J3139"/>
    <mergeCell ref="K3138:K3139"/>
    <mergeCell ref="L3104:L3105"/>
    <mergeCell ref="M3104:M3105"/>
    <mergeCell ref="A3104:A3105"/>
    <mergeCell ref="B3104:B3105"/>
    <mergeCell ref="G3104:G3105"/>
    <mergeCell ref="J3104:J3105"/>
    <mergeCell ref="K3104:K3105"/>
    <mergeCell ref="G793:G797"/>
    <mergeCell ref="C326:D326"/>
    <mergeCell ref="G596:G598"/>
    <mergeCell ref="E730:E733"/>
    <mergeCell ref="G782:G786"/>
    <mergeCell ref="G787:G789"/>
    <mergeCell ref="A1161:A1162"/>
    <mergeCell ref="B1161:B1162"/>
    <mergeCell ref="C1161:C1162"/>
    <mergeCell ref="D1161:D1162"/>
    <mergeCell ref="A1157:A1158"/>
    <mergeCell ref="B1157:B1158"/>
    <mergeCell ref="C1157:C1158"/>
    <mergeCell ref="A1163:A1164"/>
    <mergeCell ref="B1163:B1164"/>
    <mergeCell ref="C1163:C1164"/>
    <mergeCell ref="D1163:D1164"/>
    <mergeCell ref="F1163:F1164"/>
    <mergeCell ref="A1334:A1335"/>
    <mergeCell ref="B1334:E1334"/>
    <mergeCell ref="H1334:H1335"/>
    <mergeCell ref="A1385:A1386"/>
    <mergeCell ref="B1385:E1385"/>
    <mergeCell ref="H1385:H1386"/>
    <mergeCell ref="A2125:A2126"/>
    <mergeCell ref="F2125:F2126"/>
    <mergeCell ref="A1391:A1392"/>
    <mergeCell ref="B1391:E1391"/>
    <mergeCell ref="H1391:H1392"/>
    <mergeCell ref="F1662:F1664"/>
    <mergeCell ref="F1161:F1162"/>
    <mergeCell ref="F1157:F1158"/>
    <mergeCell ref="E1157:E1158"/>
    <mergeCell ref="G2125:G2126"/>
    <mergeCell ref="I2125:I2126"/>
    <mergeCell ref="G1163:G1164"/>
    <mergeCell ref="G1157:G1158"/>
    <mergeCell ref="L2833:L2834"/>
    <mergeCell ref="M2833:M2834"/>
    <mergeCell ref="A2833:A2834"/>
    <mergeCell ref="B2833:B2834"/>
    <mergeCell ref="G2833:G2834"/>
    <mergeCell ref="J2833:J2834"/>
    <mergeCell ref="K2833:K2834"/>
    <mergeCell ref="L3046:L3047"/>
    <mergeCell ref="M3046:M3047"/>
    <mergeCell ref="A3046:A3047"/>
    <mergeCell ref="B3046:B3047"/>
    <mergeCell ref="G3046:G3047"/>
    <mergeCell ref="J3046:J3047"/>
    <mergeCell ref="K3046:K3047"/>
    <mergeCell ref="L3096:L3097"/>
    <mergeCell ref="M3096:M3097"/>
    <mergeCell ref="A3096:A3097"/>
    <mergeCell ref="B3096:B3097"/>
    <mergeCell ref="G3096:G3097"/>
    <mergeCell ref="J3096:J3097"/>
    <mergeCell ref="K3096:K3097"/>
  </mergeCells>
  <phoneticPr fontId="3"/>
  <conditionalFormatting sqref="A2836">
    <cfRule type="expression" dxfId="75" priority="64">
      <formula>IF($T2836="NEW",TRUE,FALSE)</formula>
    </cfRule>
  </conditionalFormatting>
  <conditionalFormatting sqref="A2837">
    <cfRule type="expression" dxfId="74" priority="63">
      <formula>IF($T2837="NEW",TRUE,FALSE)</formula>
    </cfRule>
  </conditionalFormatting>
  <conditionalFormatting sqref="A2838">
    <cfRule type="expression" dxfId="73" priority="62">
      <formula>IF($T2838="NEW",TRUE,FALSE)</formula>
    </cfRule>
  </conditionalFormatting>
  <conditionalFormatting sqref="A2839">
    <cfRule type="expression" dxfId="72" priority="61">
      <formula>IF($T2839="NEW",TRUE,FALSE)</formula>
    </cfRule>
  </conditionalFormatting>
  <conditionalFormatting sqref="A2841">
    <cfRule type="expression" dxfId="71" priority="60">
      <formula>IF($T2841="NEW",TRUE,FALSE)</formula>
    </cfRule>
  </conditionalFormatting>
  <conditionalFormatting sqref="A2842">
    <cfRule type="expression" dxfId="70" priority="59">
      <formula>IF($T2842="NEW",TRUE,FALSE)</formula>
    </cfRule>
  </conditionalFormatting>
  <conditionalFormatting sqref="A2843">
    <cfRule type="expression" dxfId="69" priority="58">
      <formula>IF($T2843="NEW",TRUE,FALSE)</formula>
    </cfRule>
  </conditionalFormatting>
  <conditionalFormatting sqref="A2845">
    <cfRule type="expression" dxfId="68" priority="54">
      <formula>IF($T2847="NEW",TRUE,FALSE)</formula>
    </cfRule>
  </conditionalFormatting>
  <conditionalFormatting sqref="A2846">
    <cfRule type="expression" dxfId="67" priority="53">
      <formula>IF($T2848="NEW",TRUE,FALSE)</formula>
    </cfRule>
  </conditionalFormatting>
  <conditionalFormatting sqref="A2848">
    <cfRule type="expression" dxfId="66" priority="52">
      <formula>IF($T2850="NEW",TRUE,FALSE)</formula>
    </cfRule>
  </conditionalFormatting>
  <conditionalFormatting sqref="A2849">
    <cfRule type="expression" dxfId="65" priority="51">
      <formula>IF($T2851="NEW",TRUE,FALSE)</formula>
    </cfRule>
  </conditionalFormatting>
  <conditionalFormatting sqref="A2850">
    <cfRule type="expression" dxfId="64" priority="50">
      <formula>IF($T2852="NEW",TRUE,FALSE)</formula>
    </cfRule>
  </conditionalFormatting>
  <conditionalFormatting sqref="A2851">
    <cfRule type="expression" dxfId="63" priority="49">
      <formula>IF($T2853="NEW",TRUE,FALSE)</formula>
    </cfRule>
  </conditionalFormatting>
  <conditionalFormatting sqref="A2852">
    <cfRule type="expression" dxfId="62" priority="48">
      <formula>IF($T2854="NEW",TRUE,FALSE)</formula>
    </cfRule>
  </conditionalFormatting>
  <conditionalFormatting sqref="A2853">
    <cfRule type="expression" dxfId="61" priority="47">
      <formula>IF($T2855="NEW",TRUE,FALSE)</formula>
    </cfRule>
  </conditionalFormatting>
  <conditionalFormatting sqref="A2854">
    <cfRule type="expression" dxfId="60" priority="46">
      <formula>IF($T2856="NEW",TRUE,FALSE)</formula>
    </cfRule>
  </conditionalFormatting>
  <conditionalFormatting sqref="A2855">
    <cfRule type="expression" dxfId="59" priority="45">
      <formula>IF($T2857="NEW",TRUE,FALSE)</formula>
    </cfRule>
  </conditionalFormatting>
  <conditionalFormatting sqref="A2856">
    <cfRule type="expression" dxfId="58" priority="44">
      <formula>IF($U2858="NEW",TRUE,FALSE)</formula>
    </cfRule>
  </conditionalFormatting>
  <conditionalFormatting sqref="A2857">
    <cfRule type="expression" dxfId="57" priority="43">
      <formula>IF($U2859="NEW",TRUE,FALSE)</formula>
    </cfRule>
  </conditionalFormatting>
  <conditionalFormatting sqref="A2874:D2876">
    <cfRule type="expression" dxfId="56" priority="42" stopIfTrue="1">
      <formula>#REF!="OVERDUE"</formula>
    </cfRule>
  </conditionalFormatting>
  <conditionalFormatting sqref="C2877">
    <cfRule type="expression" dxfId="55" priority="38" stopIfTrue="1">
      <formula>#REF!="OVERDUE"</formula>
    </cfRule>
  </conditionalFormatting>
  <conditionalFormatting sqref="D2877">
    <cfRule type="expression" dxfId="54" priority="37" stopIfTrue="1">
      <formula>#REF!="OVERDUE"</formula>
    </cfRule>
  </conditionalFormatting>
  <conditionalFormatting sqref="A3048">
    <cfRule type="expression" dxfId="53" priority="36">
      <formula>IF($T3048="NEW",TRUE,FALSE)</formula>
    </cfRule>
  </conditionalFormatting>
  <conditionalFormatting sqref="A3050">
    <cfRule type="expression" dxfId="52" priority="35">
      <formula>IF($T3050="NEW",TRUE,FALSE)</formula>
    </cfRule>
  </conditionalFormatting>
  <conditionalFormatting sqref="A3051">
    <cfRule type="expression" dxfId="51" priority="34">
      <formula>IF($T3051="NEW",TRUE,FALSE)</formula>
    </cfRule>
  </conditionalFormatting>
  <conditionalFormatting sqref="A3052">
    <cfRule type="expression" dxfId="50" priority="33">
      <formula>IF($T3052="NEW",TRUE,FALSE)</formula>
    </cfRule>
  </conditionalFormatting>
  <conditionalFormatting sqref="A3053">
    <cfRule type="expression" dxfId="49" priority="32">
      <formula>IF($T3053="NEW",TRUE,FALSE)</formula>
    </cfRule>
  </conditionalFormatting>
  <conditionalFormatting sqref="A3054">
    <cfRule type="expression" dxfId="48" priority="31">
      <formula>IF($T3054="NEW",TRUE,FALSE)</formula>
    </cfRule>
  </conditionalFormatting>
  <conditionalFormatting sqref="A3055">
    <cfRule type="expression" dxfId="47" priority="30">
      <formula>IF($T3055="NEW",TRUE,FALSE)</formula>
    </cfRule>
  </conditionalFormatting>
  <conditionalFormatting sqref="A3056">
    <cfRule type="expression" dxfId="46" priority="29">
      <formula>IF($T3056="NEW",TRUE,FALSE)</formula>
    </cfRule>
  </conditionalFormatting>
  <conditionalFormatting sqref="A3057">
    <cfRule type="expression" dxfId="45" priority="28">
      <formula>IF($T3057="NEW",TRUE,FALSE)</formula>
    </cfRule>
  </conditionalFormatting>
  <conditionalFormatting sqref="A3058">
    <cfRule type="expression" dxfId="44" priority="27">
      <formula>IF($T3058="NEW",TRUE,FALSE)</formula>
    </cfRule>
  </conditionalFormatting>
  <conditionalFormatting sqref="A3059">
    <cfRule type="expression" dxfId="43" priority="26">
      <formula>IF($T3059="NEW",TRUE,FALSE)</formula>
    </cfRule>
  </conditionalFormatting>
  <conditionalFormatting sqref="A3060">
    <cfRule type="expression" dxfId="42" priority="25">
      <formula>IF($T3060="NEW",TRUE,FALSE)</formula>
    </cfRule>
  </conditionalFormatting>
  <conditionalFormatting sqref="A3061">
    <cfRule type="expression" dxfId="41" priority="24">
      <formula>IF($T3061="NEW",TRUE,FALSE)</formula>
    </cfRule>
  </conditionalFormatting>
  <conditionalFormatting sqref="A3062">
    <cfRule type="expression" dxfId="40" priority="23">
      <formula>IF($T3062="NEW",TRUE,FALSE)</formula>
    </cfRule>
  </conditionalFormatting>
  <conditionalFormatting sqref="A3063">
    <cfRule type="expression" dxfId="39" priority="22">
      <formula>IF($T3063="NEW",TRUE,FALSE)</formula>
    </cfRule>
  </conditionalFormatting>
  <conditionalFormatting sqref="B3069:C3069 E3073:E3074">
    <cfRule type="cellIs" dxfId="38" priority="21" operator="equal">
      <formula>0</formula>
    </cfRule>
  </conditionalFormatting>
  <conditionalFormatting sqref="C3070">
    <cfRule type="cellIs" dxfId="37" priority="20" operator="equal">
      <formula>0</formula>
    </cfRule>
  </conditionalFormatting>
  <conditionalFormatting sqref="B3070">
    <cfRule type="cellIs" dxfId="36" priority="19" operator="equal">
      <formula>0</formula>
    </cfRule>
  </conditionalFormatting>
  <conditionalFormatting sqref="E3075">
    <cfRule type="cellIs" dxfId="35" priority="17" operator="equal">
      <formula>0</formula>
    </cfRule>
  </conditionalFormatting>
  <conditionalFormatting sqref="C3073:C3075">
    <cfRule type="cellIs" dxfId="34" priority="16" operator="equal">
      <formula>0</formula>
    </cfRule>
  </conditionalFormatting>
  <conditionalFormatting sqref="D3073:D3075">
    <cfRule type="cellIs" dxfId="33" priority="15" operator="equal">
      <formula>0</formula>
    </cfRule>
  </conditionalFormatting>
  <conditionalFormatting sqref="C3085">
    <cfRule type="cellIs" dxfId="32" priority="14" operator="equal">
      <formula>0</formula>
    </cfRule>
  </conditionalFormatting>
  <conditionalFormatting sqref="C3084">
    <cfRule type="cellIs" dxfId="31" priority="13" operator="equal">
      <formula>0</formula>
    </cfRule>
  </conditionalFormatting>
  <conditionalFormatting sqref="B3085">
    <cfRule type="cellIs" dxfId="30" priority="12" operator="equal">
      <formula>0</formula>
    </cfRule>
  </conditionalFormatting>
  <conditionalFormatting sqref="A3098">
    <cfRule type="expression" dxfId="29" priority="11">
      <formula>IF($T3098="NEW",TRUE,FALSE)</formula>
    </cfRule>
  </conditionalFormatting>
  <conditionalFormatting sqref="A3099">
    <cfRule type="expression" dxfId="28" priority="10">
      <formula>IF($T3099="NEW",TRUE,FALSE)</formula>
    </cfRule>
  </conditionalFormatting>
  <conditionalFormatting sqref="A3100">
    <cfRule type="expression" dxfId="27" priority="9">
      <formula>IF($T3100="NEW",TRUE,FALSE)</formula>
    </cfRule>
  </conditionalFormatting>
  <conditionalFormatting sqref="A3101">
    <cfRule type="expression" dxfId="26" priority="8">
      <formula>IF($T3101="NEW",TRUE,FALSE)</formula>
    </cfRule>
  </conditionalFormatting>
  <conditionalFormatting sqref="A3106">
    <cfRule type="expression" dxfId="25" priority="7">
      <formula>IF($T3106="NEW",TRUE,FALSE)</formula>
    </cfRule>
  </conditionalFormatting>
  <conditionalFormatting sqref="A3107">
    <cfRule type="expression" dxfId="24" priority="6">
      <formula>IF($T3107="NEW",TRUE,FALSE)</formula>
    </cfRule>
  </conditionalFormatting>
  <conditionalFormatting sqref="A3141">
    <cfRule type="expression" dxfId="23" priority="5">
      <formula>IF($T3141="NEW",TRUE,FALSE)</formula>
    </cfRule>
  </conditionalFormatting>
  <conditionalFormatting sqref="A3144">
    <cfRule type="expression" dxfId="22" priority="4">
      <formula>IF($T3144="NEW",TRUE,FALSE)</formula>
    </cfRule>
  </conditionalFormatting>
  <conditionalFormatting sqref="A3145">
    <cfRule type="expression" dxfId="21" priority="3">
      <formula>IF($T3145="NEW",TRUE,FALSE)</formula>
    </cfRule>
  </conditionalFormatting>
  <conditionalFormatting sqref="A3146">
    <cfRule type="expression" dxfId="20" priority="2">
      <formula>IF($T3146="NEW",TRUE,FALSE)</formula>
    </cfRule>
  </conditionalFormatting>
  <hyperlinks>
    <hyperlink ref="A2146" r:id="rId1" xr:uid="{135DBEEC-5801-4333-B2C0-1A216008DDE3}"/>
  </hyperlinks>
  <pageMargins left="0.7" right="0.7" top="0.75" bottom="0.75" header="0.3" footer="0.3"/>
  <pageSetup paperSize="9" orientation="portrait"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4BDCB-CD0B-44F3-8FCC-04CA887A4570}">
  <sheetPr codeName="Sheet2"/>
  <dimension ref="A10:J160"/>
  <sheetViews>
    <sheetView topLeftCell="A152" workbookViewId="0">
      <selection activeCell="A164" sqref="A164"/>
    </sheetView>
  </sheetViews>
  <sheetFormatPr defaultRowHeight="13.5"/>
  <cols>
    <col min="1" max="1" width="16.75" customWidth="1"/>
    <col min="2" max="2" width="20.875" customWidth="1"/>
    <col min="3" max="3" width="26.125" customWidth="1"/>
    <col min="4" max="4" width="22.625" bestFit="1" customWidth="1"/>
    <col min="5" max="5" width="21.75" bestFit="1" customWidth="1"/>
    <col min="6" max="6" width="11.875" bestFit="1" customWidth="1"/>
    <col min="7" max="7" width="10.625" bestFit="1" customWidth="1"/>
    <col min="8" max="8" width="27" customWidth="1"/>
    <col min="13" max="14" width="11" bestFit="1" customWidth="1"/>
  </cols>
  <sheetData>
    <row r="10" spans="1:5">
      <c r="A10" s="37" t="s">
        <v>23</v>
      </c>
      <c r="B10" s="38" t="s">
        <v>33</v>
      </c>
      <c r="C10" s="37" t="s">
        <v>34</v>
      </c>
      <c r="D10" s="39" t="s">
        <v>35</v>
      </c>
      <c r="E10" s="42" t="s">
        <v>5</v>
      </c>
    </row>
    <row r="11" spans="1:5">
      <c r="A11" s="37" t="s">
        <v>13</v>
      </c>
      <c r="B11" s="38" t="s">
        <v>14</v>
      </c>
      <c r="C11" s="37" t="s">
        <v>15</v>
      </c>
      <c r="D11" s="40">
        <v>5</v>
      </c>
      <c r="E11" s="41">
        <v>3.34</v>
      </c>
    </row>
    <row r="12" spans="1:5">
      <c r="A12" s="37" t="s">
        <v>13</v>
      </c>
      <c r="B12" s="38" t="s">
        <v>14</v>
      </c>
      <c r="C12" s="37" t="s">
        <v>16</v>
      </c>
      <c r="D12" s="40">
        <v>5</v>
      </c>
      <c r="E12" s="41">
        <v>3.34</v>
      </c>
    </row>
    <row r="13" spans="1:5">
      <c r="A13" s="37" t="s">
        <v>17</v>
      </c>
      <c r="B13" s="38"/>
      <c r="C13" s="37"/>
      <c r="D13" s="40"/>
      <c r="E13" s="43" t="s">
        <v>5</v>
      </c>
    </row>
    <row r="14" spans="1:5">
      <c r="A14" s="37" t="s">
        <v>19</v>
      </c>
      <c r="B14" s="38" t="s">
        <v>18</v>
      </c>
      <c r="C14" s="37" t="s">
        <v>20</v>
      </c>
      <c r="D14" s="40">
        <v>5</v>
      </c>
      <c r="E14" s="41">
        <v>4.74</v>
      </c>
    </row>
    <row r="15" spans="1:5">
      <c r="A15" s="37" t="s">
        <v>19</v>
      </c>
      <c r="B15" s="38" t="s">
        <v>18</v>
      </c>
      <c r="C15" s="37" t="s">
        <v>21</v>
      </c>
      <c r="D15" s="40">
        <v>5</v>
      </c>
      <c r="E15" s="41">
        <v>4.74</v>
      </c>
    </row>
    <row r="16" spans="1:5">
      <c r="A16" s="37" t="s">
        <v>19</v>
      </c>
      <c r="B16" s="38" t="s">
        <v>22</v>
      </c>
      <c r="C16" s="37" t="s">
        <v>20</v>
      </c>
      <c r="D16" s="40">
        <v>5</v>
      </c>
      <c r="E16" s="41">
        <v>6.2</v>
      </c>
    </row>
    <row r="17" spans="1:10">
      <c r="A17" s="37" t="s">
        <v>19</v>
      </c>
      <c r="B17" s="38" t="s">
        <v>22</v>
      </c>
      <c r="C17" s="37" t="s">
        <v>21</v>
      </c>
      <c r="D17" s="40">
        <v>5</v>
      </c>
      <c r="E17" s="41">
        <v>6.2</v>
      </c>
    </row>
    <row r="18" spans="1:10">
      <c r="A18" s="37" t="s">
        <v>24</v>
      </c>
      <c r="B18" s="38"/>
      <c r="C18" s="37"/>
      <c r="D18" s="40"/>
      <c r="E18" s="43" t="s">
        <v>5</v>
      </c>
    </row>
    <row r="19" spans="1:10">
      <c r="A19" s="37">
        <v>4182</v>
      </c>
      <c r="B19" s="38">
        <v>22</v>
      </c>
      <c r="C19" s="37" t="s">
        <v>25</v>
      </c>
      <c r="D19" s="40">
        <v>5</v>
      </c>
      <c r="E19" s="41">
        <v>2.08</v>
      </c>
    </row>
    <row r="20" spans="1:10">
      <c r="A20" s="37">
        <v>4182</v>
      </c>
      <c r="B20" s="38">
        <v>22</v>
      </c>
      <c r="C20" s="37" t="s">
        <v>26</v>
      </c>
      <c r="D20" s="40">
        <v>5</v>
      </c>
      <c r="E20" s="41">
        <v>2.08</v>
      </c>
    </row>
    <row r="21" spans="1:10">
      <c r="A21" s="37">
        <v>4182</v>
      </c>
      <c r="B21" s="38">
        <v>22</v>
      </c>
      <c r="C21" s="37" t="s">
        <v>27</v>
      </c>
      <c r="D21" s="40">
        <v>5</v>
      </c>
      <c r="E21" s="41">
        <v>2.08</v>
      </c>
    </row>
    <row r="22" spans="1:10">
      <c r="A22" s="37" t="s">
        <v>28</v>
      </c>
      <c r="B22" s="38"/>
      <c r="C22" s="37"/>
      <c r="D22" s="40"/>
      <c r="E22" s="43" t="s">
        <v>5</v>
      </c>
    </row>
    <row r="23" spans="1:10">
      <c r="A23" s="37">
        <v>3336</v>
      </c>
      <c r="B23" s="38">
        <v>30</v>
      </c>
      <c r="C23" s="37" t="s">
        <v>29</v>
      </c>
      <c r="D23" s="40">
        <v>5</v>
      </c>
      <c r="E23" s="41">
        <v>2.36</v>
      </c>
    </row>
    <row r="24" spans="1:10">
      <c r="A24" s="37" t="s">
        <v>30</v>
      </c>
      <c r="B24" s="38"/>
      <c r="C24" s="37"/>
      <c r="D24" s="40"/>
      <c r="E24" s="43" t="s">
        <v>5</v>
      </c>
    </row>
    <row r="25" spans="1:10">
      <c r="A25" s="37" t="s">
        <v>31</v>
      </c>
      <c r="B25" s="38">
        <v>30</v>
      </c>
      <c r="C25" s="37" t="s">
        <v>32</v>
      </c>
      <c r="D25" s="40">
        <v>5</v>
      </c>
      <c r="E25" s="41">
        <v>4.54</v>
      </c>
    </row>
    <row r="28" spans="1:10" ht="14.25" thickBot="1"/>
    <row r="29" spans="1:10" ht="14.25">
      <c r="A29" s="47" t="s">
        <v>44</v>
      </c>
      <c r="B29" s="47" t="s">
        <v>45</v>
      </c>
      <c r="C29" s="47" t="s">
        <v>46</v>
      </c>
      <c r="D29" s="47" t="s">
        <v>47</v>
      </c>
      <c r="E29" s="47" t="s">
        <v>48</v>
      </c>
      <c r="F29" s="47" t="s">
        <v>49</v>
      </c>
      <c r="G29" s="47" t="s">
        <v>50</v>
      </c>
      <c r="H29" s="47" t="s">
        <v>51</v>
      </c>
      <c r="I29" s="47" t="s">
        <v>52</v>
      </c>
      <c r="J29" s="48" t="s">
        <v>53</v>
      </c>
    </row>
    <row r="30" spans="1:10" ht="14.25" thickBot="1"/>
    <row r="31" spans="1:10" ht="14.25">
      <c r="A31" s="5" t="s">
        <v>0</v>
      </c>
      <c r="B31" s="5"/>
      <c r="C31" s="5" t="s">
        <v>34</v>
      </c>
      <c r="D31" s="1334" t="s">
        <v>1</v>
      </c>
      <c r="E31" s="1335"/>
      <c r="F31" s="1336"/>
      <c r="G31" s="5" t="s">
        <v>43</v>
      </c>
    </row>
    <row r="32" spans="1:10" ht="15">
      <c r="A32" s="20" t="s">
        <v>38</v>
      </c>
      <c r="B32" s="20"/>
      <c r="C32" s="20" t="s">
        <v>39</v>
      </c>
      <c r="D32" s="44">
        <v>13.7</v>
      </c>
      <c r="E32" s="29">
        <v>2</v>
      </c>
      <c r="F32" s="49">
        <v>24376</v>
      </c>
      <c r="G32" s="50">
        <v>74</v>
      </c>
    </row>
    <row r="33" spans="1:7" ht="15">
      <c r="A33" s="20" t="s">
        <v>38</v>
      </c>
      <c r="B33" s="20"/>
      <c r="C33" s="20" t="s">
        <v>40</v>
      </c>
      <c r="D33" s="44">
        <v>13.7</v>
      </c>
      <c r="E33" s="29">
        <v>2</v>
      </c>
      <c r="F33" s="49">
        <v>24376</v>
      </c>
      <c r="G33" s="50">
        <v>74</v>
      </c>
    </row>
    <row r="34" spans="1:7" ht="15">
      <c r="A34" s="20" t="s">
        <v>41</v>
      </c>
      <c r="B34" s="20"/>
      <c r="C34" s="20" t="s">
        <v>39</v>
      </c>
      <c r="D34" s="44">
        <v>13.7</v>
      </c>
      <c r="E34" s="29">
        <v>2</v>
      </c>
      <c r="F34" s="49">
        <v>24198</v>
      </c>
      <c r="G34" s="50">
        <v>128</v>
      </c>
    </row>
    <row r="35" spans="1:7" ht="15">
      <c r="A35" s="20" t="s">
        <v>41</v>
      </c>
      <c r="B35" s="20"/>
      <c r="C35" s="20" t="s">
        <v>40</v>
      </c>
      <c r="D35" s="44">
        <v>13.7</v>
      </c>
      <c r="E35" s="29">
        <v>2</v>
      </c>
      <c r="F35" s="49">
        <v>24198</v>
      </c>
      <c r="G35" s="50">
        <v>128</v>
      </c>
    </row>
    <row r="36" spans="1:7" ht="15">
      <c r="A36" s="46"/>
      <c r="B36" s="46"/>
      <c r="C36" s="20" t="s">
        <v>42</v>
      </c>
      <c r="D36" s="1337" t="s">
        <v>54</v>
      </c>
      <c r="E36" s="1338"/>
      <c r="F36" s="1339"/>
      <c r="G36" s="21"/>
    </row>
    <row r="38" spans="1:7" ht="15">
      <c r="A38" s="68" t="s">
        <v>58</v>
      </c>
    </row>
    <row r="39" spans="1:7" s="7" customFormat="1" ht="15">
      <c r="A39" s="26" t="s">
        <v>77</v>
      </c>
      <c r="B39" s="20" t="s">
        <v>78</v>
      </c>
      <c r="C39" s="22" t="s">
        <v>79</v>
      </c>
      <c r="D39" s="20" t="s">
        <v>80</v>
      </c>
      <c r="E39" s="25" t="s">
        <v>35</v>
      </c>
      <c r="F39" s="14" t="s">
        <v>81</v>
      </c>
    </row>
    <row r="40" spans="1:7" s="7" customFormat="1" ht="18" customHeight="1">
      <c r="A40" s="26" t="s">
        <v>70</v>
      </c>
      <c r="B40" s="20">
        <v>4063</v>
      </c>
      <c r="C40" s="22">
        <v>15</v>
      </c>
      <c r="D40" s="20" t="s">
        <v>71</v>
      </c>
      <c r="E40" s="64">
        <v>30</v>
      </c>
      <c r="F40" s="65">
        <v>0.9</v>
      </c>
    </row>
    <row r="41" spans="1:7" s="7" customFormat="1" ht="18" customHeight="1">
      <c r="A41" s="26" t="s">
        <v>70</v>
      </c>
      <c r="B41" s="20">
        <v>4063</v>
      </c>
      <c r="C41" s="22">
        <v>15</v>
      </c>
      <c r="D41" s="20" t="s">
        <v>72</v>
      </c>
      <c r="E41" s="64">
        <v>30</v>
      </c>
      <c r="F41" s="65">
        <v>0.9</v>
      </c>
    </row>
    <row r="42" spans="1:7" s="7" customFormat="1" ht="18" customHeight="1">
      <c r="A42" s="26" t="s">
        <v>70</v>
      </c>
      <c r="B42" s="20">
        <v>4063</v>
      </c>
      <c r="C42" s="22">
        <v>15</v>
      </c>
      <c r="D42" s="20" t="s">
        <v>73</v>
      </c>
      <c r="E42" s="64">
        <v>30</v>
      </c>
      <c r="F42" s="65">
        <v>0.9</v>
      </c>
    </row>
    <row r="43" spans="1:7" s="7" customFormat="1" ht="18" customHeight="1">
      <c r="A43" s="26" t="s">
        <v>70</v>
      </c>
      <c r="B43" s="20">
        <v>4063</v>
      </c>
      <c r="C43" s="22">
        <v>15</v>
      </c>
      <c r="D43" s="20" t="s">
        <v>74</v>
      </c>
      <c r="E43" s="64">
        <v>30</v>
      </c>
      <c r="F43" s="65">
        <v>0.9</v>
      </c>
    </row>
    <row r="44" spans="1:7" s="7" customFormat="1" ht="18" customHeight="1">
      <c r="A44" s="26" t="s">
        <v>70</v>
      </c>
      <c r="B44" s="20">
        <v>4067</v>
      </c>
      <c r="C44" s="22">
        <v>15</v>
      </c>
      <c r="D44" s="20" t="s">
        <v>75</v>
      </c>
      <c r="E44" s="64">
        <v>30</v>
      </c>
      <c r="F44" s="65">
        <v>0.9</v>
      </c>
    </row>
    <row r="45" spans="1:7" s="7" customFormat="1" ht="18" customHeight="1">
      <c r="A45" s="26" t="s">
        <v>70</v>
      </c>
      <c r="B45" s="20">
        <v>4067</v>
      </c>
      <c r="C45" s="22">
        <v>15</v>
      </c>
      <c r="D45" s="20" t="s">
        <v>76</v>
      </c>
      <c r="E45" s="64">
        <v>30</v>
      </c>
      <c r="F45" s="65">
        <v>0.9</v>
      </c>
    </row>
    <row r="46" spans="1:7" s="1" customFormat="1" ht="15">
      <c r="A46" s="26" t="s">
        <v>70</v>
      </c>
      <c r="B46" s="62"/>
      <c r="C46" s="66"/>
      <c r="D46" s="45" t="s">
        <v>12</v>
      </c>
      <c r="E46" s="67"/>
      <c r="F46" s="65">
        <v>12</v>
      </c>
    </row>
    <row r="50" spans="1:5" s="7" customFormat="1" ht="15">
      <c r="A50" s="26" t="s">
        <v>77</v>
      </c>
      <c r="B50" s="20" t="s">
        <v>78</v>
      </c>
      <c r="C50" s="20" t="s">
        <v>83</v>
      </c>
      <c r="D50" s="25" t="s">
        <v>35</v>
      </c>
      <c r="E50" s="14" t="s">
        <v>84</v>
      </c>
    </row>
    <row r="51" spans="1:5" s="7" customFormat="1" ht="15">
      <c r="A51" s="26" t="s">
        <v>69</v>
      </c>
      <c r="B51" s="20" t="s">
        <v>38</v>
      </c>
      <c r="C51" s="20" t="s">
        <v>40</v>
      </c>
      <c r="D51" s="69" t="s">
        <v>82</v>
      </c>
      <c r="E51" s="65">
        <v>1.24</v>
      </c>
    </row>
    <row r="52" spans="1:5" s="7" customFormat="1" ht="15">
      <c r="A52" s="26" t="s">
        <v>69</v>
      </c>
      <c r="B52" s="46"/>
      <c r="C52" s="20" t="s">
        <v>42</v>
      </c>
      <c r="D52" s="70">
        <v>1</v>
      </c>
      <c r="E52" s="65">
        <v>100</v>
      </c>
    </row>
    <row r="54" spans="1:5" ht="15.75">
      <c r="A54" s="72" t="s">
        <v>77</v>
      </c>
      <c r="B54" s="72" t="s">
        <v>91</v>
      </c>
      <c r="C54" s="73" t="s">
        <v>78</v>
      </c>
      <c r="D54" s="73" t="s">
        <v>83</v>
      </c>
      <c r="E54" s="74" t="s">
        <v>35</v>
      </c>
    </row>
    <row r="55" spans="1:5" ht="14.25">
      <c r="A55" s="75" t="s">
        <v>85</v>
      </c>
      <c r="B55" s="45" t="s">
        <v>63</v>
      </c>
      <c r="C55" s="45">
        <v>2440</v>
      </c>
      <c r="D55" s="45" t="s">
        <v>86</v>
      </c>
      <c r="E55" s="64">
        <v>15</v>
      </c>
    </row>
    <row r="56" spans="1:5" ht="14.25">
      <c r="A56" s="75" t="s">
        <v>85</v>
      </c>
      <c r="B56" s="45" t="s">
        <v>63</v>
      </c>
      <c r="C56" s="45">
        <v>2440</v>
      </c>
      <c r="D56" s="45" t="s">
        <v>87</v>
      </c>
      <c r="E56" s="64">
        <v>10</v>
      </c>
    </row>
    <row r="57" spans="1:5" ht="14.25">
      <c r="A57" s="75" t="s">
        <v>85</v>
      </c>
      <c r="B57" s="45" t="s">
        <v>63</v>
      </c>
      <c r="C57" s="45">
        <v>2440</v>
      </c>
      <c r="D57" s="45" t="s">
        <v>88</v>
      </c>
      <c r="E57" s="64">
        <v>15</v>
      </c>
    </row>
    <row r="58" spans="1:5" ht="14.25">
      <c r="A58" s="75" t="s">
        <v>85</v>
      </c>
      <c r="B58" s="45" t="s">
        <v>63</v>
      </c>
      <c r="C58" s="45">
        <v>2440</v>
      </c>
      <c r="D58" s="45" t="s">
        <v>89</v>
      </c>
      <c r="E58" s="64">
        <v>10</v>
      </c>
    </row>
    <row r="59" spans="1:5" ht="14.25">
      <c r="A59" s="75" t="s">
        <v>85</v>
      </c>
      <c r="B59" s="45" t="s">
        <v>63</v>
      </c>
      <c r="C59" s="45">
        <v>2440</v>
      </c>
      <c r="D59" s="45" t="s">
        <v>90</v>
      </c>
      <c r="E59" s="64">
        <v>15</v>
      </c>
    </row>
    <row r="62" spans="1:5" s="1" customFormat="1" ht="18" customHeight="1">
      <c r="A62" s="72" t="s">
        <v>77</v>
      </c>
      <c r="B62" s="73" t="s">
        <v>78</v>
      </c>
      <c r="C62" s="73" t="s">
        <v>83</v>
      </c>
      <c r="D62" s="74" t="s">
        <v>35</v>
      </c>
      <c r="E62" s="76" t="s">
        <v>84</v>
      </c>
    </row>
    <row r="63" spans="1:5" s="1" customFormat="1" ht="18" customHeight="1">
      <c r="A63" s="55" t="s">
        <v>85</v>
      </c>
      <c r="B63" s="71">
        <v>2440</v>
      </c>
      <c r="C63" s="45" t="s">
        <v>86</v>
      </c>
      <c r="D63" s="56">
        <v>15</v>
      </c>
      <c r="E63" s="32">
        <v>3.1</v>
      </c>
    </row>
    <row r="64" spans="1:5" s="1" customFormat="1" ht="18" customHeight="1">
      <c r="A64" s="55" t="s">
        <v>85</v>
      </c>
      <c r="B64" s="71">
        <v>2440</v>
      </c>
      <c r="C64" s="45" t="s">
        <v>87</v>
      </c>
      <c r="D64" s="56">
        <v>10</v>
      </c>
      <c r="E64" s="32">
        <v>3.1</v>
      </c>
    </row>
    <row r="65" spans="1:5" s="1" customFormat="1" ht="18" customHeight="1">
      <c r="A65" s="55" t="s">
        <v>85</v>
      </c>
      <c r="B65" s="71">
        <v>2440</v>
      </c>
      <c r="C65" s="45" t="s">
        <v>88</v>
      </c>
      <c r="D65" s="56">
        <v>15</v>
      </c>
      <c r="E65" s="32">
        <v>3.1</v>
      </c>
    </row>
    <row r="66" spans="1:5" s="1" customFormat="1" ht="18" customHeight="1">
      <c r="A66" s="55" t="s">
        <v>85</v>
      </c>
      <c r="B66" s="71">
        <v>2440</v>
      </c>
      <c r="C66" s="45" t="s">
        <v>89</v>
      </c>
      <c r="D66" s="56">
        <v>10</v>
      </c>
      <c r="E66" s="32">
        <v>3.1</v>
      </c>
    </row>
    <row r="67" spans="1:5" s="1" customFormat="1" ht="18" customHeight="1">
      <c r="A67" s="55" t="s">
        <v>85</v>
      </c>
      <c r="B67" s="71">
        <v>2440</v>
      </c>
      <c r="C67" s="45" t="s">
        <v>90</v>
      </c>
      <c r="D67" s="56">
        <v>15</v>
      </c>
      <c r="E67" s="32">
        <v>3.1</v>
      </c>
    </row>
    <row r="68" spans="1:5" s="1" customFormat="1" ht="14.25">
      <c r="A68" s="55" t="s">
        <v>85</v>
      </c>
      <c r="B68" s="62"/>
      <c r="C68" s="45" t="s">
        <v>55</v>
      </c>
      <c r="D68" s="28" t="s">
        <v>92</v>
      </c>
      <c r="E68" s="32">
        <v>60</v>
      </c>
    </row>
    <row r="69" spans="1:5" s="1" customFormat="1" ht="14.25">
      <c r="A69" s="55" t="s">
        <v>85</v>
      </c>
      <c r="B69" s="62"/>
      <c r="C69" s="45" t="s">
        <v>12</v>
      </c>
      <c r="D69" s="28" t="s">
        <v>61</v>
      </c>
      <c r="E69" s="32">
        <v>12</v>
      </c>
    </row>
    <row r="74" spans="1:5" ht="15.75">
      <c r="A74" s="73" t="s">
        <v>78</v>
      </c>
      <c r="B74" s="73" t="s">
        <v>83</v>
      </c>
      <c r="C74" s="74" t="s">
        <v>35</v>
      </c>
      <c r="D74" s="76" t="s">
        <v>84</v>
      </c>
    </row>
    <row r="75" spans="1:5" ht="15">
      <c r="A75" s="20" t="s">
        <v>110</v>
      </c>
      <c r="B75" s="20" t="s">
        <v>56</v>
      </c>
      <c r="C75" s="44">
        <v>54.8</v>
      </c>
      <c r="D75" s="32">
        <v>2.4</v>
      </c>
    </row>
    <row r="76" spans="1:5" ht="14.25">
      <c r="A76" s="45"/>
      <c r="B76" s="45" t="s">
        <v>12</v>
      </c>
      <c r="C76" s="28" t="s">
        <v>61</v>
      </c>
      <c r="D76" s="32">
        <v>12</v>
      </c>
    </row>
    <row r="78" spans="1:5" ht="15.75">
      <c r="A78" s="73" t="s">
        <v>78</v>
      </c>
      <c r="B78" s="73" t="s">
        <v>83</v>
      </c>
      <c r="C78" s="74" t="s">
        <v>35</v>
      </c>
      <c r="D78" s="76" t="s">
        <v>84</v>
      </c>
    </row>
    <row r="79" spans="1:5" ht="15">
      <c r="A79" s="20" t="s">
        <v>100</v>
      </c>
      <c r="B79" s="20" t="s">
        <v>101</v>
      </c>
      <c r="C79" s="44">
        <v>27.4</v>
      </c>
      <c r="D79" s="32">
        <v>2.0699999999999998</v>
      </c>
    </row>
    <row r="80" spans="1:5" ht="15">
      <c r="A80" s="20" t="s">
        <v>100</v>
      </c>
      <c r="B80" s="20" t="s">
        <v>102</v>
      </c>
      <c r="C80" s="44">
        <v>27.4</v>
      </c>
      <c r="D80" s="32">
        <v>2.0699999999999998</v>
      </c>
    </row>
    <row r="81" spans="1:8" ht="14.25">
      <c r="A81" s="45"/>
      <c r="B81" s="45" t="s">
        <v>103</v>
      </c>
      <c r="C81" s="28" t="s">
        <v>104</v>
      </c>
      <c r="D81" s="32">
        <v>200</v>
      </c>
    </row>
    <row r="82" spans="1:8" ht="14.25">
      <c r="A82" s="45"/>
      <c r="B82" s="45"/>
      <c r="C82" s="28"/>
      <c r="D82" s="32"/>
    </row>
    <row r="83" spans="1:8" ht="14.25">
      <c r="A83" s="45"/>
      <c r="B83" s="45"/>
      <c r="C83" s="28"/>
      <c r="D83" s="32"/>
    </row>
    <row r="84" spans="1:8" ht="14.25">
      <c r="A84" s="45"/>
      <c r="B84" s="45"/>
      <c r="C84" s="28"/>
      <c r="D84" s="32"/>
    </row>
    <row r="85" spans="1:8" ht="14.25">
      <c r="A85" s="45"/>
      <c r="B85" s="45"/>
      <c r="C85" s="28"/>
      <c r="D85" s="32"/>
    </row>
    <row r="86" spans="1:8" ht="14.25">
      <c r="A86" s="45"/>
      <c r="B86" s="45"/>
      <c r="C86" s="28"/>
      <c r="D86" s="32"/>
    </row>
    <row r="87" spans="1:8" ht="15">
      <c r="A87" s="12"/>
      <c r="B87" s="17" t="s">
        <v>99</v>
      </c>
      <c r="C87" s="22"/>
      <c r="D87" s="20"/>
      <c r="E87" s="57"/>
      <c r="F87" s="57"/>
      <c r="G87" s="58"/>
      <c r="H87" s="60" t="s">
        <v>97</v>
      </c>
    </row>
    <row r="88" spans="1:8" ht="15">
      <c r="A88" s="12" t="s">
        <v>10</v>
      </c>
      <c r="B88" s="78" t="s">
        <v>100</v>
      </c>
      <c r="C88" s="22"/>
      <c r="D88" s="20" t="s">
        <v>101</v>
      </c>
      <c r="E88" s="44">
        <f>F88*G88</f>
        <v>27.4</v>
      </c>
      <c r="F88" s="44">
        <v>13.7</v>
      </c>
      <c r="G88" s="54">
        <v>2</v>
      </c>
      <c r="H88" s="21">
        <v>2.0699999999999998</v>
      </c>
    </row>
    <row r="89" spans="1:8" ht="15">
      <c r="A89" s="12" t="s">
        <v>10</v>
      </c>
      <c r="B89" s="78" t="s">
        <v>100</v>
      </c>
      <c r="C89" s="22"/>
      <c r="D89" s="20" t="s">
        <v>102</v>
      </c>
      <c r="E89" s="44">
        <f>F89*G89</f>
        <v>27.4</v>
      </c>
      <c r="F89" s="44">
        <v>13.7</v>
      </c>
      <c r="G89" s="54">
        <v>2</v>
      </c>
      <c r="H89" s="21">
        <v>2.0699999999999998</v>
      </c>
    </row>
    <row r="90" spans="1:8" ht="15">
      <c r="A90" s="12" t="s">
        <v>10</v>
      </c>
      <c r="B90" s="78"/>
      <c r="C90" s="22"/>
      <c r="D90" s="20" t="s">
        <v>103</v>
      </c>
      <c r="E90" s="44"/>
      <c r="F90" s="82" t="s">
        <v>104</v>
      </c>
      <c r="G90" s="54"/>
      <c r="H90" s="21">
        <v>200</v>
      </c>
    </row>
    <row r="94" spans="1:8" ht="15">
      <c r="A94" s="78" t="s">
        <v>66</v>
      </c>
      <c r="B94" s="22"/>
      <c r="C94" s="20" t="s">
        <v>56</v>
      </c>
      <c r="D94" s="59">
        <v>54.8</v>
      </c>
      <c r="E94" s="44">
        <v>13.7</v>
      </c>
      <c r="F94" s="29">
        <v>4</v>
      </c>
      <c r="G94" s="21">
        <v>2.4</v>
      </c>
    </row>
    <row r="95" spans="1:8" ht="14.25">
      <c r="A95" s="45"/>
      <c r="B95" s="63"/>
      <c r="C95" s="45" t="s">
        <v>12</v>
      </c>
      <c r="D95" s="28"/>
      <c r="E95" s="28" t="s">
        <v>61</v>
      </c>
      <c r="F95" s="29"/>
      <c r="G95" s="32">
        <v>12</v>
      </c>
    </row>
    <row r="97" spans="1:7" ht="15">
      <c r="A97" s="17" t="s">
        <v>36</v>
      </c>
      <c r="B97" s="22"/>
      <c r="C97" s="20"/>
      <c r="D97" s="57"/>
      <c r="E97" s="57"/>
      <c r="F97" s="58"/>
      <c r="G97" s="14" t="s">
        <v>4</v>
      </c>
    </row>
    <row r="98" spans="1:7" ht="15">
      <c r="A98" s="78" t="s">
        <v>65</v>
      </c>
      <c r="B98" s="22"/>
      <c r="C98" s="20" t="s">
        <v>105</v>
      </c>
      <c r="D98" s="28">
        <f>E98*F98</f>
        <v>14</v>
      </c>
      <c r="E98" s="44">
        <v>14</v>
      </c>
      <c r="F98" s="29">
        <v>1</v>
      </c>
      <c r="G98" s="21">
        <v>1.65</v>
      </c>
    </row>
    <row r="99" spans="1:7" ht="15">
      <c r="A99" s="78" t="s">
        <v>59</v>
      </c>
      <c r="B99" s="22"/>
      <c r="C99" s="20" t="s">
        <v>64</v>
      </c>
      <c r="D99" s="59">
        <f>E99*F99</f>
        <v>13.7</v>
      </c>
      <c r="E99" s="44">
        <v>13.7</v>
      </c>
      <c r="F99" s="29">
        <v>1</v>
      </c>
      <c r="G99" s="21">
        <v>2.4</v>
      </c>
    </row>
    <row r="100" spans="1:7" ht="14.25">
      <c r="A100" s="45"/>
      <c r="B100" s="63"/>
      <c r="C100" s="45" t="s">
        <v>12</v>
      </c>
      <c r="D100" s="28"/>
      <c r="E100" s="28" t="s">
        <v>61</v>
      </c>
      <c r="F100" s="29"/>
      <c r="G100" s="32">
        <v>12</v>
      </c>
    </row>
    <row r="103" spans="1:7" ht="15.75">
      <c r="A103" s="73" t="s">
        <v>78</v>
      </c>
      <c r="B103" s="73" t="s">
        <v>83</v>
      </c>
      <c r="C103" s="74" t="s">
        <v>35</v>
      </c>
      <c r="D103" s="76" t="s">
        <v>84</v>
      </c>
    </row>
    <row r="104" spans="1:7" ht="15">
      <c r="A104" s="20" t="s">
        <v>66</v>
      </c>
      <c r="B104" s="20" t="s">
        <v>56</v>
      </c>
      <c r="C104" s="44" t="s">
        <v>111</v>
      </c>
      <c r="D104" s="32">
        <v>2.4</v>
      </c>
    </row>
    <row r="105" spans="1:7" ht="14.25">
      <c r="A105" s="45"/>
      <c r="B105" s="45" t="s">
        <v>12</v>
      </c>
      <c r="C105" s="28" t="s">
        <v>61</v>
      </c>
      <c r="D105" s="32">
        <v>12</v>
      </c>
    </row>
    <row r="108" spans="1:7" ht="15">
      <c r="A108" s="17" t="s">
        <v>36</v>
      </c>
      <c r="B108" s="22"/>
      <c r="C108" s="20"/>
      <c r="D108" s="57"/>
      <c r="E108" s="57"/>
      <c r="F108" s="58"/>
      <c r="G108" s="14" t="s">
        <v>4</v>
      </c>
    </row>
    <row r="109" spans="1:7" ht="15">
      <c r="A109" s="78" t="s">
        <v>66</v>
      </c>
      <c r="B109" s="22"/>
      <c r="C109" s="20" t="s">
        <v>56</v>
      </c>
      <c r="D109" s="59">
        <f>E109*F109</f>
        <v>109.6</v>
      </c>
      <c r="E109" s="44">
        <v>13.7</v>
      </c>
      <c r="F109" s="29">
        <v>8</v>
      </c>
      <c r="G109" s="21">
        <v>2.4</v>
      </c>
    </row>
    <row r="110" spans="1:7" ht="14.25">
      <c r="A110" s="45"/>
      <c r="B110" s="63"/>
      <c r="C110" s="45" t="s">
        <v>12</v>
      </c>
      <c r="D110" s="28"/>
      <c r="E110" s="28" t="s">
        <v>61</v>
      </c>
      <c r="F110" s="29"/>
      <c r="G110" s="32">
        <v>12</v>
      </c>
    </row>
    <row r="119" spans="1:9">
      <c r="A119" s="90" t="s">
        <v>126</v>
      </c>
      <c r="B119" s="728" t="s">
        <v>127</v>
      </c>
      <c r="C119" s="729" t="s">
        <v>128</v>
      </c>
      <c r="D119" s="730" t="s">
        <v>129</v>
      </c>
    </row>
    <row r="120" spans="1:9" ht="21">
      <c r="A120" s="731">
        <v>14552</v>
      </c>
      <c r="B120" s="732">
        <v>5</v>
      </c>
      <c r="C120" s="733">
        <v>30</v>
      </c>
      <c r="D120" s="91">
        <v>23.5</v>
      </c>
      <c r="E120" s="93" t="s">
        <v>130</v>
      </c>
      <c r="F120" s="93" t="s">
        <v>131</v>
      </c>
      <c r="G120" s="94" t="s">
        <v>132</v>
      </c>
      <c r="H120" s="93"/>
      <c r="I120" s="95">
        <v>23.5</v>
      </c>
    </row>
    <row r="121" spans="1:9" ht="21">
      <c r="A121" s="731">
        <v>14552</v>
      </c>
      <c r="B121" s="732">
        <v>7</v>
      </c>
      <c r="C121" s="733">
        <v>30</v>
      </c>
      <c r="D121" s="91">
        <v>24.5</v>
      </c>
      <c r="E121" s="93" t="s">
        <v>130</v>
      </c>
      <c r="F121" s="93" t="s">
        <v>133</v>
      </c>
      <c r="G121" s="94" t="s">
        <v>132</v>
      </c>
      <c r="H121" s="93"/>
      <c r="I121" s="95">
        <v>24.5</v>
      </c>
    </row>
    <row r="122" spans="1:9" ht="21">
      <c r="A122" s="731">
        <v>14552</v>
      </c>
      <c r="B122" s="732">
        <v>10</v>
      </c>
      <c r="C122" s="733">
        <v>30</v>
      </c>
      <c r="D122" s="92">
        <v>27</v>
      </c>
      <c r="E122" s="93" t="s">
        <v>130</v>
      </c>
      <c r="F122" s="93" t="s">
        <v>134</v>
      </c>
      <c r="G122" s="94" t="s">
        <v>132</v>
      </c>
      <c r="H122" s="93"/>
      <c r="I122" s="95">
        <v>27</v>
      </c>
    </row>
    <row r="123" spans="1:9" ht="21">
      <c r="A123" s="731">
        <v>14552</v>
      </c>
      <c r="B123" s="732">
        <v>12</v>
      </c>
      <c r="C123" s="733">
        <v>30</v>
      </c>
      <c r="D123" s="91">
        <v>29.5</v>
      </c>
      <c r="E123" s="93" t="s">
        <v>130</v>
      </c>
      <c r="F123" s="93" t="s">
        <v>135</v>
      </c>
      <c r="G123" s="94" t="s">
        <v>132</v>
      </c>
      <c r="H123" s="93"/>
      <c r="I123" s="95">
        <v>29.5</v>
      </c>
    </row>
    <row r="124" spans="1:9" ht="21">
      <c r="A124" s="731">
        <v>14552</v>
      </c>
      <c r="B124" s="732">
        <v>15</v>
      </c>
      <c r="C124" s="733">
        <v>30</v>
      </c>
      <c r="D124" s="92">
        <v>33</v>
      </c>
      <c r="E124" s="93" t="s">
        <v>130</v>
      </c>
      <c r="F124" s="93" t="s">
        <v>136</v>
      </c>
      <c r="G124" s="94" t="s">
        <v>132</v>
      </c>
      <c r="H124" s="93"/>
      <c r="I124" s="95">
        <v>33</v>
      </c>
    </row>
    <row r="125" spans="1:9" ht="21">
      <c r="A125" s="731">
        <v>14552</v>
      </c>
      <c r="B125" s="732">
        <v>18</v>
      </c>
      <c r="C125" s="733">
        <v>30</v>
      </c>
      <c r="D125" s="92">
        <v>40</v>
      </c>
      <c r="E125" s="93" t="s">
        <v>130</v>
      </c>
      <c r="F125" s="93" t="s">
        <v>137</v>
      </c>
      <c r="G125" s="94" t="s">
        <v>132</v>
      </c>
      <c r="H125" s="93"/>
      <c r="I125" s="95">
        <v>40</v>
      </c>
    </row>
    <row r="126" spans="1:9" ht="21">
      <c r="A126" s="731">
        <v>14552</v>
      </c>
      <c r="B126" s="732">
        <v>25</v>
      </c>
      <c r="C126" s="733">
        <v>30</v>
      </c>
      <c r="D126" s="92">
        <v>48</v>
      </c>
      <c r="E126" s="93" t="s">
        <v>130</v>
      </c>
      <c r="F126" s="93" t="s">
        <v>138</v>
      </c>
      <c r="G126" s="94" t="s">
        <v>132</v>
      </c>
      <c r="H126" s="93"/>
      <c r="I126" s="95">
        <v>48</v>
      </c>
    </row>
    <row r="127" spans="1:9" ht="21">
      <c r="A127" s="731">
        <v>14552</v>
      </c>
      <c r="B127" s="732">
        <v>30</v>
      </c>
      <c r="C127" s="733">
        <v>30</v>
      </c>
      <c r="D127" s="92">
        <v>63</v>
      </c>
      <c r="E127" s="93" t="s">
        <v>130</v>
      </c>
      <c r="F127" s="93" t="s">
        <v>139</v>
      </c>
      <c r="G127" s="94" t="s">
        <v>132</v>
      </c>
      <c r="H127" s="93"/>
      <c r="I127" s="95">
        <v>63</v>
      </c>
    </row>
    <row r="128" spans="1:9" ht="21">
      <c r="A128" s="731">
        <v>14552</v>
      </c>
      <c r="B128" s="732">
        <v>38</v>
      </c>
      <c r="C128" s="733">
        <v>30</v>
      </c>
      <c r="D128" s="91">
        <v>70.5</v>
      </c>
      <c r="E128" s="93" t="s">
        <v>130</v>
      </c>
      <c r="F128" s="93" t="s">
        <v>140</v>
      </c>
      <c r="G128" s="94" t="s">
        <v>132</v>
      </c>
      <c r="H128" s="93"/>
      <c r="I128" s="95">
        <v>70.5</v>
      </c>
    </row>
    <row r="129" spans="1:9" ht="21">
      <c r="A129" s="731">
        <v>14552</v>
      </c>
      <c r="B129" s="732">
        <v>50</v>
      </c>
      <c r="C129" s="733">
        <v>30</v>
      </c>
      <c r="D129" s="92">
        <v>101</v>
      </c>
      <c r="E129" s="93" t="s">
        <v>130</v>
      </c>
      <c r="F129" s="93" t="s">
        <v>141</v>
      </c>
      <c r="G129" s="94" t="s">
        <v>132</v>
      </c>
      <c r="H129" s="93"/>
      <c r="I129" s="95">
        <v>101</v>
      </c>
    </row>
    <row r="130" spans="1:9" ht="21">
      <c r="A130" s="731">
        <v>14552</v>
      </c>
      <c r="B130" s="732">
        <v>75</v>
      </c>
      <c r="C130" s="733">
        <v>30</v>
      </c>
      <c r="D130" s="92">
        <v>162</v>
      </c>
      <c r="E130" s="93" t="s">
        <v>130</v>
      </c>
      <c r="F130" s="93" t="s">
        <v>142</v>
      </c>
      <c r="G130" s="94" t="s">
        <v>132</v>
      </c>
      <c r="H130" s="93"/>
      <c r="I130" s="95">
        <v>162</v>
      </c>
    </row>
    <row r="132" spans="1:9">
      <c r="A132" t="s">
        <v>2943</v>
      </c>
    </row>
    <row r="133" spans="1:9" ht="18">
      <c r="A133" s="842" t="s">
        <v>2944</v>
      </c>
      <c r="B133" s="843" t="s">
        <v>2945</v>
      </c>
      <c r="C133" s="843" t="s">
        <v>2946</v>
      </c>
      <c r="D133" s="845" t="s">
        <v>2947</v>
      </c>
      <c r="E133" s="844" t="s">
        <v>381</v>
      </c>
    </row>
    <row r="134" spans="1:9" ht="18">
      <c r="A134" s="846" t="s">
        <v>2938</v>
      </c>
      <c r="B134" s="847">
        <v>45147</v>
      </c>
      <c r="C134" s="847">
        <v>45177</v>
      </c>
      <c r="D134" s="848" t="s">
        <v>2939</v>
      </c>
      <c r="E134" s="849">
        <v>138</v>
      </c>
    </row>
    <row r="135" spans="1:9" ht="18">
      <c r="A135" s="846" t="s">
        <v>2940</v>
      </c>
      <c r="B135" s="847">
        <v>45167</v>
      </c>
      <c r="C135" s="847">
        <v>45197</v>
      </c>
      <c r="D135" s="848" t="s">
        <v>2939</v>
      </c>
      <c r="E135" s="849">
        <v>237.6</v>
      </c>
    </row>
    <row r="136" spans="1:9" ht="18">
      <c r="A136" s="846" t="s">
        <v>2941</v>
      </c>
      <c r="B136" s="847">
        <v>45231</v>
      </c>
      <c r="C136" s="847">
        <v>45261</v>
      </c>
      <c r="D136" s="848" t="s">
        <v>2939</v>
      </c>
      <c r="E136" s="849">
        <v>367</v>
      </c>
    </row>
    <row r="137" spans="1:9" ht="18">
      <c r="A137" s="846" t="s">
        <v>2942</v>
      </c>
      <c r="B137" s="847">
        <v>45314</v>
      </c>
      <c r="C137" s="847">
        <v>45344</v>
      </c>
      <c r="D137" s="848"/>
      <c r="E137" s="849">
        <v>111</v>
      </c>
    </row>
    <row r="140" spans="1:9">
      <c r="A140" s="243"/>
      <c r="B140" s="243"/>
      <c r="C140" s="243"/>
    </row>
    <row r="141" spans="1:9">
      <c r="A141" s="875" t="s">
        <v>2612</v>
      </c>
      <c r="B141" s="744" t="s">
        <v>2964</v>
      </c>
      <c r="C141" s="744" t="s">
        <v>2965</v>
      </c>
    </row>
    <row r="142" spans="1:9">
      <c r="A142" s="744" t="s">
        <v>2975</v>
      </c>
      <c r="B142" s="744" t="s">
        <v>2967</v>
      </c>
      <c r="C142" s="744" t="s">
        <v>2966</v>
      </c>
    </row>
    <row r="143" spans="1:9">
      <c r="A143" s="876" t="s">
        <v>2975</v>
      </c>
      <c r="B143" s="876" t="s">
        <v>2967</v>
      </c>
      <c r="C143" s="876">
        <v>12</v>
      </c>
    </row>
    <row r="144" spans="1:9">
      <c r="A144" s="877" t="s">
        <v>2968</v>
      </c>
      <c r="B144" s="877" t="s">
        <v>2969</v>
      </c>
      <c r="C144" s="877">
        <v>12</v>
      </c>
    </row>
    <row r="145" spans="1:4">
      <c r="A145" s="877" t="s">
        <v>2970</v>
      </c>
      <c r="B145" s="877" t="s">
        <v>2971</v>
      </c>
      <c r="C145" s="877">
        <v>12</v>
      </c>
    </row>
    <row r="146" spans="1:4">
      <c r="A146" s="876" t="s">
        <v>2972</v>
      </c>
      <c r="B146" s="876" t="s">
        <v>2973</v>
      </c>
      <c r="C146" s="876">
        <v>12</v>
      </c>
    </row>
    <row r="147" spans="1:4">
      <c r="A147" s="876" t="s">
        <v>2970</v>
      </c>
      <c r="B147" s="876" t="s">
        <v>2974</v>
      </c>
      <c r="C147" s="876">
        <v>12</v>
      </c>
    </row>
    <row r="148" spans="1:4">
      <c r="A148" s="876" t="s">
        <v>2976</v>
      </c>
      <c r="B148" s="876" t="s">
        <v>2977</v>
      </c>
      <c r="C148" s="876">
        <v>12</v>
      </c>
    </row>
    <row r="149" spans="1:4">
      <c r="A149" s="876" t="s">
        <v>2978</v>
      </c>
      <c r="B149" s="876"/>
      <c r="C149" s="876">
        <v>312</v>
      </c>
    </row>
    <row r="150" spans="1:4">
      <c r="A150" s="876" t="s">
        <v>2979</v>
      </c>
      <c r="B150" s="876"/>
      <c r="C150" s="876">
        <v>312</v>
      </c>
    </row>
    <row r="151" spans="1:4">
      <c r="A151" s="876" t="s">
        <v>2980</v>
      </c>
      <c r="B151" s="876"/>
      <c r="C151" s="876" t="s">
        <v>2981</v>
      </c>
    </row>
    <row r="152" spans="1:4">
      <c r="A152" s="876" t="s">
        <v>2982</v>
      </c>
      <c r="B152" s="876"/>
      <c r="C152" s="876">
        <v>12</v>
      </c>
    </row>
    <row r="153" spans="1:4">
      <c r="A153" s="876" t="s">
        <v>2976</v>
      </c>
      <c r="B153" s="876" t="s">
        <v>2983</v>
      </c>
      <c r="C153" s="876">
        <v>12</v>
      </c>
    </row>
    <row r="154" spans="1:4">
      <c r="A154" s="874"/>
      <c r="B154" s="874"/>
      <c r="C154" s="874"/>
    </row>
    <row r="155" spans="1:4">
      <c r="A155" s="874"/>
      <c r="B155" s="874"/>
      <c r="C155" s="874"/>
    </row>
    <row r="156" spans="1:4">
      <c r="A156" s="243"/>
      <c r="B156" s="243"/>
      <c r="C156" s="243"/>
    </row>
    <row r="157" spans="1:4" s="886" customFormat="1" ht="36">
      <c r="A157" s="888" t="s">
        <v>2944</v>
      </c>
      <c r="B157" s="889" t="s">
        <v>3007</v>
      </c>
      <c r="C157" s="889" t="s">
        <v>3008</v>
      </c>
      <c r="D157" s="890" t="s">
        <v>3009</v>
      </c>
    </row>
    <row r="158" spans="1:4" s="887" customFormat="1" ht="18.75" customHeight="1">
      <c r="A158" s="891" t="s">
        <v>3006</v>
      </c>
      <c r="B158" s="892">
        <v>232</v>
      </c>
      <c r="C158" s="892">
        <v>201.4</v>
      </c>
      <c r="D158" s="893">
        <v>21000</v>
      </c>
    </row>
    <row r="159" spans="1:4" ht="14.25">
      <c r="A159" s="894" t="s">
        <v>3010</v>
      </c>
      <c r="B159" s="892">
        <v>7121.9</v>
      </c>
      <c r="C159" s="892">
        <v>4720.96</v>
      </c>
      <c r="D159" s="893">
        <v>400630</v>
      </c>
    </row>
    <row r="160" spans="1:4" ht="14.25">
      <c r="A160" s="129" t="s">
        <v>3011</v>
      </c>
      <c r="B160" s="892">
        <v>6453.4</v>
      </c>
      <c r="C160" s="892">
        <v>4382.46</v>
      </c>
      <c r="D160" s="893">
        <v>374730</v>
      </c>
    </row>
  </sheetData>
  <mergeCells count="2">
    <mergeCell ref="D31:F31"/>
    <mergeCell ref="D36:F36"/>
  </mergeCells>
  <phoneticPr fontId="3"/>
  <conditionalFormatting sqref="A134:B136 D134:E136 A137:E137">
    <cfRule type="expression" dxfId="19" priority="11" stopIfTrue="1">
      <formula>$D134="OVERDUE"</formula>
    </cfRule>
  </conditionalFormatting>
  <conditionalFormatting sqref="C134">
    <cfRule type="expression" dxfId="18" priority="10" stopIfTrue="1">
      <formula>$D134="OVERDUE"</formula>
    </cfRule>
  </conditionalFormatting>
  <conditionalFormatting sqref="C135:C136">
    <cfRule type="expression" dxfId="17" priority="9" stopIfTrue="1">
      <formula>$D135="OVERDUE"</formula>
    </cfRule>
  </conditionalFormatting>
  <conditionalFormatting sqref="A158:D158">
    <cfRule type="expression" dxfId="16" priority="6" stopIfTrue="1">
      <formula>#REF!="OVERDUE"</formula>
    </cfRule>
  </conditionalFormatting>
  <conditionalFormatting sqref="B159:B160">
    <cfRule type="expression" dxfId="15" priority="3" stopIfTrue="1">
      <formula>#REF!="OVERDUE"</formula>
    </cfRule>
  </conditionalFormatting>
  <conditionalFormatting sqref="C159:C160">
    <cfRule type="expression" dxfId="14" priority="2" stopIfTrue="1">
      <formula>#REF!="OVERDUE"</formula>
    </cfRule>
  </conditionalFormatting>
  <conditionalFormatting sqref="D159:D160">
    <cfRule type="expression" dxfId="13" priority="1" stopIfTrue="1">
      <formula>#REF!="OVERDUE"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3EEEB-DDF8-4862-8891-4840FC48055F}">
  <dimension ref="A1"/>
  <sheetViews>
    <sheetView workbookViewId="0">
      <selection activeCell="A2" sqref="A2"/>
    </sheetView>
  </sheetViews>
  <sheetFormatPr defaultRowHeight="13.5"/>
  <sheetData/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B1:AH63"/>
  <sheetViews>
    <sheetView showGridLines="0" view="pageBreakPreview" zoomScaleNormal="100" zoomScaleSheetLayoutView="100" workbookViewId="0">
      <selection activeCell="W30" sqref="W30:X31"/>
    </sheetView>
  </sheetViews>
  <sheetFormatPr defaultColWidth="3.25" defaultRowHeight="12"/>
  <cols>
    <col min="1" max="1" width="3.25" style="269"/>
    <col min="2" max="2" width="6.25" style="276" customWidth="1"/>
    <col min="3" max="20" width="3.25" style="269"/>
    <col min="21" max="22" width="6.375" style="269" customWidth="1"/>
    <col min="23" max="28" width="4.875" style="269" customWidth="1"/>
    <col min="29" max="32" width="3.25" style="269"/>
    <col min="33" max="34" width="4.875" style="269" customWidth="1"/>
    <col min="35" max="37" width="3.25" style="269"/>
    <col min="38" max="38" width="3.75" style="269" bestFit="1" customWidth="1"/>
    <col min="39" max="16384" width="3.25" style="269"/>
  </cols>
  <sheetData>
    <row r="1" spans="3:34">
      <c r="C1" s="1457" t="s">
        <v>356</v>
      </c>
      <c r="D1" s="1458"/>
      <c r="E1" s="1458"/>
      <c r="F1" s="1459"/>
      <c r="G1" s="1456"/>
      <c r="H1" s="1456"/>
      <c r="I1" s="1456"/>
      <c r="J1" s="1456"/>
      <c r="K1" s="1456"/>
      <c r="L1" s="1456"/>
      <c r="M1" s="1456"/>
    </row>
    <row r="2" spans="3:34">
      <c r="C2" s="1457" t="s">
        <v>357</v>
      </c>
      <c r="D2" s="1458"/>
      <c r="E2" s="1458"/>
      <c r="F2" s="1459"/>
      <c r="G2" s="1456"/>
      <c r="H2" s="1456"/>
      <c r="I2" s="1456"/>
      <c r="J2" s="1456"/>
      <c r="K2" s="1456"/>
      <c r="L2" s="1456"/>
      <c r="M2" s="1456"/>
    </row>
    <row r="4" spans="3:34" ht="18.75" customHeight="1">
      <c r="C4" s="1383" t="s">
        <v>342</v>
      </c>
      <c r="D4" s="1384"/>
      <c r="E4" s="1384"/>
      <c r="F4" s="1384"/>
      <c r="G4" s="1384"/>
      <c r="H4" s="1384"/>
      <c r="I4" s="1384"/>
      <c r="J4" s="1384"/>
      <c r="K4" s="1384"/>
      <c r="L4" s="1384"/>
      <c r="M4" s="1384"/>
      <c r="N4" s="1384"/>
      <c r="O4" s="1384"/>
      <c r="P4" s="1384"/>
      <c r="Q4" s="1384"/>
      <c r="R4" s="1384"/>
      <c r="S4" s="1384"/>
      <c r="T4" s="1384"/>
      <c r="U4" s="1386" t="s">
        <v>310</v>
      </c>
      <c r="V4" s="1386"/>
      <c r="W4" s="1386"/>
      <c r="X4" s="1386"/>
      <c r="Y4" s="1386"/>
      <c r="Z4" s="1386"/>
      <c r="AA4" s="1386"/>
      <c r="AB4" s="1386"/>
      <c r="AC4" s="1386"/>
      <c r="AD4" s="1386"/>
      <c r="AE4" s="1386"/>
      <c r="AF4" s="1386"/>
      <c r="AG4" s="1386"/>
      <c r="AH4" s="1386"/>
    </row>
    <row r="5" spans="3:34" ht="18.75" customHeight="1">
      <c r="C5" s="1384"/>
      <c r="D5" s="1384"/>
      <c r="E5" s="1384"/>
      <c r="F5" s="1384"/>
      <c r="G5" s="1384"/>
      <c r="H5" s="1384"/>
      <c r="I5" s="1384"/>
      <c r="J5" s="1384"/>
      <c r="K5" s="1384"/>
      <c r="L5" s="1384"/>
      <c r="M5" s="1384"/>
      <c r="N5" s="1384"/>
      <c r="O5" s="1384"/>
      <c r="P5" s="1384"/>
      <c r="Q5" s="1384"/>
      <c r="R5" s="1384"/>
      <c r="S5" s="1384"/>
      <c r="T5" s="1384"/>
      <c r="U5" s="1386"/>
      <c r="V5" s="1386"/>
      <c r="W5" s="1386"/>
      <c r="X5" s="1386"/>
      <c r="Y5" s="1386"/>
      <c r="Z5" s="1386"/>
      <c r="AA5" s="1386"/>
      <c r="AB5" s="1386"/>
      <c r="AC5" s="1386"/>
      <c r="AD5" s="1386"/>
      <c r="AE5" s="1386"/>
      <c r="AF5" s="1386"/>
      <c r="AG5" s="1386"/>
      <c r="AH5" s="1386"/>
    </row>
    <row r="6" spans="3:34" ht="18.75">
      <c r="C6" s="1384"/>
      <c r="D6" s="1384"/>
      <c r="E6" s="1384"/>
      <c r="F6" s="1384"/>
      <c r="G6" s="1384"/>
      <c r="H6" s="1384"/>
      <c r="I6" s="1384"/>
      <c r="J6" s="1384"/>
      <c r="K6" s="1384"/>
      <c r="L6" s="1384"/>
      <c r="M6" s="1384"/>
      <c r="N6" s="1384"/>
      <c r="O6" s="1384"/>
      <c r="P6" s="1384"/>
      <c r="Q6" s="1384"/>
      <c r="R6" s="1384"/>
      <c r="S6" s="1384"/>
      <c r="T6" s="1384"/>
      <c r="U6" s="1387" t="s">
        <v>311</v>
      </c>
      <c r="V6" s="1387"/>
      <c r="W6" s="1387">
        <v>12345</v>
      </c>
      <c r="X6" s="1387"/>
      <c r="Y6" s="1387"/>
      <c r="Z6" s="1387"/>
      <c r="AA6" s="1387"/>
      <c r="AB6" s="1387"/>
      <c r="AC6" s="1387"/>
      <c r="AD6" s="1387"/>
      <c r="AE6" s="1387"/>
      <c r="AF6" s="1387"/>
      <c r="AG6" s="1387"/>
      <c r="AH6" s="1387"/>
    </row>
    <row r="7" spans="3:34" ht="18.75" customHeight="1">
      <c r="C7" s="1385"/>
      <c r="D7" s="1385"/>
      <c r="E7" s="1385"/>
      <c r="F7" s="1385"/>
      <c r="G7" s="1385"/>
      <c r="H7" s="1385"/>
      <c r="I7" s="1385"/>
      <c r="J7" s="1385"/>
      <c r="K7" s="1385"/>
      <c r="L7" s="1385"/>
      <c r="M7" s="1385"/>
      <c r="N7" s="1385"/>
      <c r="O7" s="1385"/>
      <c r="P7" s="1385"/>
      <c r="Q7" s="1385"/>
      <c r="R7" s="1385"/>
      <c r="S7" s="1385"/>
      <c r="T7" s="1385"/>
      <c r="U7" s="1388" t="s">
        <v>312</v>
      </c>
      <c r="V7" s="1388"/>
      <c r="W7" s="282"/>
      <c r="X7" s="1388" t="s">
        <v>343</v>
      </c>
      <c r="Y7" s="1388"/>
      <c r="Z7" s="282"/>
      <c r="AA7" s="282" t="s">
        <v>344</v>
      </c>
      <c r="AB7" s="278"/>
      <c r="AC7" s="278"/>
      <c r="AD7" s="1389" t="s">
        <v>313</v>
      </c>
      <c r="AE7" s="1389"/>
      <c r="AF7" s="1389"/>
      <c r="AG7" s="1389"/>
      <c r="AH7" s="1389"/>
    </row>
    <row r="8" spans="3:34" ht="18.75" customHeight="1">
      <c r="C8" s="1390" t="s">
        <v>314</v>
      </c>
      <c r="D8" s="1391"/>
      <c r="E8" s="1391"/>
      <c r="F8" s="1391"/>
      <c r="G8" s="1378"/>
      <c r="H8" s="1379"/>
      <c r="I8" s="1379"/>
      <c r="J8" s="1379"/>
      <c r="K8" s="1379"/>
      <c r="L8" s="1379"/>
      <c r="M8" s="1379"/>
      <c r="N8" s="1379"/>
      <c r="O8" s="1379"/>
      <c r="P8" s="1379"/>
      <c r="Q8" s="1379"/>
      <c r="R8" s="1379"/>
      <c r="S8" s="1379"/>
      <c r="T8" s="1380"/>
      <c r="U8" s="1375" t="s">
        <v>315</v>
      </c>
      <c r="V8" s="1376"/>
      <c r="W8" s="1376"/>
      <c r="X8" s="1376"/>
      <c r="Y8" s="1376"/>
      <c r="Z8" s="1376"/>
      <c r="AA8" s="1396" t="s">
        <v>316</v>
      </c>
      <c r="AB8" s="1376"/>
      <c r="AC8" s="1376"/>
      <c r="AD8" s="1376"/>
      <c r="AE8" s="1376"/>
      <c r="AF8" s="1376"/>
      <c r="AG8" s="1376"/>
      <c r="AH8" s="1377"/>
    </row>
    <row r="9" spans="3:34" ht="18.75" customHeight="1">
      <c r="C9" s="1392"/>
      <c r="D9" s="1393"/>
      <c r="E9" s="1393"/>
      <c r="F9" s="1393"/>
      <c r="G9" s="1364"/>
      <c r="H9" s="1365"/>
      <c r="I9" s="1365"/>
      <c r="J9" s="1365"/>
      <c r="K9" s="1365"/>
      <c r="L9" s="1365"/>
      <c r="M9" s="1365"/>
      <c r="N9" s="1365"/>
      <c r="O9" s="1365"/>
      <c r="P9" s="1365"/>
      <c r="Q9" s="1365"/>
      <c r="R9" s="1365"/>
      <c r="S9" s="1365"/>
      <c r="T9" s="1366"/>
      <c r="U9" s="1397" t="s">
        <v>346</v>
      </c>
      <c r="V9" s="1368"/>
      <c r="W9" s="1368"/>
      <c r="X9" s="1368"/>
      <c r="Y9" s="1368"/>
      <c r="Z9" s="1368"/>
      <c r="AA9" s="1367" t="s">
        <v>345</v>
      </c>
      <c r="AB9" s="1368"/>
      <c r="AC9" s="1368"/>
      <c r="AD9" s="1368"/>
      <c r="AE9" s="1368"/>
      <c r="AF9" s="1368"/>
      <c r="AG9" s="1368"/>
      <c r="AH9" s="1369"/>
    </row>
    <row r="10" spans="3:34" ht="18.75" customHeight="1">
      <c r="C10" s="1392"/>
      <c r="D10" s="1393"/>
      <c r="E10" s="1393"/>
      <c r="F10" s="1393"/>
      <c r="G10" s="1364"/>
      <c r="H10" s="1365"/>
      <c r="I10" s="1365"/>
      <c r="J10" s="1365"/>
      <c r="K10" s="1365"/>
      <c r="L10" s="1365"/>
      <c r="M10" s="1365"/>
      <c r="N10" s="1365"/>
      <c r="O10" s="1365"/>
      <c r="P10" s="1365"/>
      <c r="Q10" s="1365"/>
      <c r="R10" s="1365"/>
      <c r="S10" s="1365"/>
      <c r="T10" s="1366"/>
      <c r="U10" s="1357" t="s">
        <v>317</v>
      </c>
      <c r="V10" s="1358"/>
      <c r="W10" s="1358"/>
      <c r="X10" s="1358"/>
      <c r="Y10" s="1358"/>
      <c r="Z10" s="1358"/>
      <c r="AA10" s="1359" t="s">
        <v>318</v>
      </c>
      <c r="AB10" s="1358"/>
      <c r="AC10" s="1358"/>
      <c r="AD10" s="1358"/>
      <c r="AE10" s="1358"/>
      <c r="AF10" s="1358"/>
      <c r="AG10" s="1358"/>
      <c r="AH10" s="1360"/>
    </row>
    <row r="11" spans="3:34" ht="18.75" customHeight="1">
      <c r="C11" s="1392"/>
      <c r="D11" s="1393"/>
      <c r="E11" s="1393"/>
      <c r="F11" s="1393"/>
      <c r="G11" s="1364"/>
      <c r="H11" s="1365"/>
      <c r="I11" s="1365"/>
      <c r="J11" s="1365"/>
      <c r="K11" s="1365"/>
      <c r="L11" s="1365"/>
      <c r="M11" s="1365"/>
      <c r="N11" s="1365"/>
      <c r="O11" s="1365"/>
      <c r="P11" s="1365"/>
      <c r="Q11" s="1365"/>
      <c r="R11" s="1365"/>
      <c r="S11" s="1365"/>
      <c r="T11" s="1366"/>
      <c r="U11" s="1398" t="s">
        <v>346</v>
      </c>
      <c r="V11" s="1399"/>
      <c r="W11" s="1399"/>
      <c r="X11" s="1399"/>
      <c r="Y11" s="1399"/>
      <c r="Z11" s="1399"/>
      <c r="AA11" s="1400" t="s">
        <v>345</v>
      </c>
      <c r="AB11" s="1399"/>
      <c r="AC11" s="1399"/>
      <c r="AD11" s="1399"/>
      <c r="AE11" s="1399"/>
      <c r="AF11" s="1399"/>
      <c r="AG11" s="1399"/>
      <c r="AH11" s="1401"/>
    </row>
    <row r="12" spans="3:34" ht="18.75" customHeight="1">
      <c r="C12" s="1392"/>
      <c r="D12" s="1393"/>
      <c r="E12" s="1393"/>
      <c r="F12" s="1393"/>
      <c r="G12" s="1364"/>
      <c r="H12" s="1365"/>
      <c r="I12" s="1365"/>
      <c r="J12" s="1365"/>
      <c r="K12" s="1365"/>
      <c r="L12" s="1365"/>
      <c r="M12" s="1365"/>
      <c r="N12" s="1365"/>
      <c r="O12" s="1365"/>
      <c r="P12" s="1365"/>
      <c r="Q12" s="1365"/>
      <c r="R12" s="1365"/>
      <c r="S12" s="1365"/>
      <c r="T12" s="1366"/>
      <c r="U12" s="1375" t="s">
        <v>319</v>
      </c>
      <c r="V12" s="1376"/>
      <c r="W12" s="1376"/>
      <c r="X12" s="1376"/>
      <c r="Y12" s="1376"/>
      <c r="Z12" s="1376"/>
      <c r="AA12" s="1376"/>
      <c r="AB12" s="1376"/>
      <c r="AC12" s="1376"/>
      <c r="AD12" s="1376"/>
      <c r="AE12" s="1376"/>
      <c r="AF12" s="1376"/>
      <c r="AG12" s="1376"/>
      <c r="AH12" s="1377"/>
    </row>
    <row r="13" spans="3:34" ht="18.75" customHeight="1">
      <c r="C13" s="1394"/>
      <c r="D13" s="1395"/>
      <c r="E13" s="1395"/>
      <c r="F13" s="1395"/>
      <c r="G13" s="1372"/>
      <c r="H13" s="1373"/>
      <c r="I13" s="1373"/>
      <c r="J13" s="1373"/>
      <c r="K13" s="1373"/>
      <c r="L13" s="1373"/>
      <c r="M13" s="1373"/>
      <c r="N13" s="1373"/>
      <c r="O13" s="1373"/>
      <c r="P13" s="1373"/>
      <c r="Q13" s="1373"/>
      <c r="R13" s="1373"/>
      <c r="S13" s="1373"/>
      <c r="T13" s="1374"/>
      <c r="U13" s="1357" t="s">
        <v>320</v>
      </c>
      <c r="V13" s="1358"/>
      <c r="W13" s="1367" t="s">
        <v>354</v>
      </c>
      <c r="X13" s="1368"/>
      <c r="Y13" s="1368"/>
      <c r="Z13" s="1368"/>
      <c r="AA13" s="1368"/>
      <c r="AB13" s="1368"/>
      <c r="AC13" s="1368"/>
      <c r="AD13" s="1368"/>
      <c r="AE13" s="1368"/>
      <c r="AF13" s="1368"/>
      <c r="AG13" s="1368"/>
      <c r="AH13" s="1369"/>
    </row>
    <row r="14" spans="3:34" ht="18.75" customHeight="1">
      <c r="C14" s="1390" t="s">
        <v>321</v>
      </c>
      <c r="D14" s="1391"/>
      <c r="E14" s="1391"/>
      <c r="F14" s="1391"/>
      <c r="G14" s="1378"/>
      <c r="H14" s="1379"/>
      <c r="I14" s="1379"/>
      <c r="J14" s="1379"/>
      <c r="K14" s="1379"/>
      <c r="L14" s="1379"/>
      <c r="M14" s="1379"/>
      <c r="N14" s="1379"/>
      <c r="O14" s="1379"/>
      <c r="P14" s="1379"/>
      <c r="Q14" s="1379"/>
      <c r="R14" s="1379"/>
      <c r="S14" s="1379"/>
      <c r="T14" s="1380"/>
      <c r="U14" s="1357" t="s">
        <v>322</v>
      </c>
      <c r="V14" s="1358"/>
      <c r="W14" s="1367" t="s">
        <v>347</v>
      </c>
      <c r="X14" s="1368"/>
      <c r="Y14" s="1368"/>
      <c r="Z14" s="1368"/>
      <c r="AA14" s="1368"/>
      <c r="AB14" s="1368"/>
      <c r="AC14" s="1368"/>
      <c r="AD14" s="1368"/>
      <c r="AE14" s="1368"/>
      <c r="AF14" s="1368"/>
      <c r="AG14" s="1368"/>
      <c r="AH14" s="1369"/>
    </row>
    <row r="15" spans="3:34" ht="18.75" customHeight="1">
      <c r="C15" s="1392"/>
      <c r="D15" s="1393"/>
      <c r="E15" s="1393"/>
      <c r="F15" s="1393"/>
      <c r="G15" s="1364"/>
      <c r="H15" s="1365"/>
      <c r="I15" s="1365"/>
      <c r="J15" s="1365"/>
      <c r="K15" s="1365"/>
      <c r="L15" s="1365"/>
      <c r="M15" s="1365"/>
      <c r="N15" s="1365"/>
      <c r="O15" s="1365"/>
      <c r="P15" s="1365"/>
      <c r="Q15" s="1365"/>
      <c r="R15" s="1365"/>
      <c r="S15" s="1365"/>
      <c r="T15" s="1366"/>
      <c r="U15" s="1381" t="s">
        <v>352</v>
      </c>
      <c r="V15" s="1382"/>
      <c r="W15" s="1361" t="s">
        <v>353</v>
      </c>
      <c r="X15" s="1362"/>
      <c r="Y15" s="1362"/>
      <c r="Z15" s="1362"/>
      <c r="AA15" s="1362"/>
      <c r="AB15" s="1362"/>
      <c r="AC15" s="1362"/>
      <c r="AD15" s="1362"/>
      <c r="AE15" s="1362"/>
      <c r="AF15" s="1362"/>
      <c r="AG15" s="1362"/>
      <c r="AH15" s="1363"/>
    </row>
    <row r="16" spans="3:34" ht="18.75" customHeight="1">
      <c r="C16" s="1392"/>
      <c r="D16" s="1393"/>
      <c r="E16" s="1393"/>
      <c r="F16" s="1393"/>
      <c r="G16" s="1364"/>
      <c r="H16" s="1365"/>
      <c r="I16" s="1365"/>
      <c r="J16" s="1365"/>
      <c r="K16" s="1365"/>
      <c r="L16" s="1365"/>
      <c r="M16" s="1365"/>
      <c r="N16" s="1365"/>
      <c r="O16" s="1365"/>
      <c r="P16" s="1365"/>
      <c r="Q16" s="1365"/>
      <c r="R16" s="1365"/>
      <c r="S16" s="1365"/>
      <c r="T16" s="1366"/>
      <c r="U16" s="1357" t="s">
        <v>323</v>
      </c>
      <c r="V16" s="1358"/>
      <c r="W16" s="1367" t="s">
        <v>348</v>
      </c>
      <c r="X16" s="1368"/>
      <c r="Y16" s="1368"/>
      <c r="Z16" s="1368"/>
      <c r="AA16" s="1368"/>
      <c r="AB16" s="1368"/>
      <c r="AC16" s="1368"/>
      <c r="AD16" s="1368"/>
      <c r="AE16" s="1368"/>
      <c r="AF16" s="1368"/>
      <c r="AG16" s="1368"/>
      <c r="AH16" s="1369"/>
    </row>
    <row r="17" spans="2:34" ht="18.75" customHeight="1">
      <c r="C17" s="1392"/>
      <c r="D17" s="1393"/>
      <c r="E17" s="1393"/>
      <c r="F17" s="1393"/>
      <c r="G17" s="1364"/>
      <c r="H17" s="1365"/>
      <c r="I17" s="1365"/>
      <c r="J17" s="1365"/>
      <c r="K17" s="1365"/>
      <c r="L17" s="1365"/>
      <c r="M17" s="1365"/>
      <c r="N17" s="1365"/>
      <c r="O17" s="1365"/>
      <c r="P17" s="1365"/>
      <c r="Q17" s="1365"/>
      <c r="R17" s="1365"/>
      <c r="S17" s="1365"/>
      <c r="T17" s="1366"/>
      <c r="U17" s="1402" t="s">
        <v>324</v>
      </c>
      <c r="V17" s="1403"/>
      <c r="W17" s="1372" t="s">
        <v>349</v>
      </c>
      <c r="X17" s="1373"/>
      <c r="Y17" s="1373"/>
      <c r="Z17" s="1373"/>
      <c r="AA17" s="1370" t="s">
        <v>350</v>
      </c>
      <c r="AB17" s="1371"/>
      <c r="AC17" s="1371"/>
      <c r="AD17" s="1372" t="s">
        <v>351</v>
      </c>
      <c r="AE17" s="1373"/>
      <c r="AF17" s="1373"/>
      <c r="AG17" s="1373"/>
      <c r="AH17" s="1374"/>
    </row>
    <row r="18" spans="2:34" ht="18.75" customHeight="1">
      <c r="C18" s="1392"/>
      <c r="D18" s="1393"/>
      <c r="E18" s="1393"/>
      <c r="F18" s="1393"/>
      <c r="G18" s="1364"/>
      <c r="H18" s="1365"/>
      <c r="I18" s="1365"/>
      <c r="J18" s="1365"/>
      <c r="K18" s="1365"/>
      <c r="L18" s="1365"/>
      <c r="M18" s="1365"/>
      <c r="N18" s="1365"/>
      <c r="O18" s="1365"/>
      <c r="P18" s="1365"/>
      <c r="Q18" s="1365"/>
      <c r="R18" s="1365"/>
      <c r="S18" s="1365"/>
      <c r="T18" s="1366"/>
      <c r="U18" s="1375" t="s">
        <v>325</v>
      </c>
      <c r="V18" s="1376"/>
      <c r="W18" s="1376"/>
      <c r="X18" s="1376"/>
      <c r="Y18" s="1376"/>
      <c r="Z18" s="1376"/>
      <c r="AA18" s="1376"/>
      <c r="AB18" s="1376"/>
      <c r="AC18" s="1376"/>
      <c r="AD18" s="1376"/>
      <c r="AE18" s="1376"/>
      <c r="AF18" s="1376"/>
      <c r="AG18" s="1376"/>
      <c r="AH18" s="1377"/>
    </row>
    <row r="19" spans="2:34" ht="18.75" customHeight="1">
      <c r="C19" s="1392"/>
      <c r="D19" s="1393"/>
      <c r="E19" s="1393"/>
      <c r="F19" s="1393"/>
      <c r="G19" s="1414"/>
      <c r="H19" s="1415"/>
      <c r="I19" s="1415"/>
      <c r="J19" s="1415"/>
      <c r="K19" s="1415"/>
      <c r="L19" s="1373"/>
      <c r="M19" s="1373"/>
      <c r="N19" s="1373"/>
      <c r="O19" s="1373"/>
      <c r="P19" s="1373"/>
      <c r="Q19" s="1373"/>
      <c r="R19" s="1373"/>
      <c r="S19" s="1373"/>
      <c r="T19" s="1374"/>
      <c r="U19" s="298" t="s">
        <v>362</v>
      </c>
      <c r="V19" s="279"/>
      <c r="W19" s="281" t="s">
        <v>355</v>
      </c>
      <c r="X19" s="281"/>
      <c r="Y19" s="281"/>
      <c r="Z19" s="281"/>
      <c r="AA19" s="279"/>
      <c r="AB19" s="279"/>
      <c r="AC19" s="279"/>
      <c r="AD19" s="279"/>
      <c r="AE19" s="279"/>
      <c r="AF19" s="279"/>
      <c r="AG19" s="279"/>
      <c r="AH19" s="280"/>
    </row>
    <row r="20" spans="2:34" ht="18.75" customHeight="1">
      <c r="C20" s="1375" t="s">
        <v>326</v>
      </c>
      <c r="D20" s="1376"/>
      <c r="E20" s="1376"/>
      <c r="F20" s="1376"/>
      <c r="G20" s="1376"/>
      <c r="H20" s="1376"/>
      <c r="I20" s="1376"/>
      <c r="J20" s="1376"/>
      <c r="K20" s="1377"/>
      <c r="L20" s="270" t="s">
        <v>327</v>
      </c>
      <c r="M20" s="270"/>
      <c r="N20" s="270"/>
      <c r="O20" s="270"/>
      <c r="P20" s="270"/>
      <c r="Q20" s="270"/>
      <c r="R20" s="270"/>
      <c r="S20" s="270"/>
      <c r="T20" s="271"/>
      <c r="U20" s="1375" t="s">
        <v>328</v>
      </c>
      <c r="V20" s="1376"/>
      <c r="W20" s="1376"/>
      <c r="X20" s="1376"/>
      <c r="Y20" s="1376"/>
      <c r="Z20" s="272"/>
      <c r="AA20" s="273" t="s">
        <v>361</v>
      </c>
      <c r="AB20" s="270"/>
      <c r="AC20" s="270"/>
      <c r="AD20" s="270"/>
      <c r="AE20" s="270"/>
      <c r="AF20" s="270"/>
      <c r="AG20" s="270"/>
      <c r="AH20" s="271"/>
    </row>
    <row r="21" spans="2:34" ht="18.75" customHeight="1">
      <c r="C21" s="298" t="s">
        <v>362</v>
      </c>
      <c r="D21" s="279"/>
      <c r="E21" s="279"/>
      <c r="F21" s="279"/>
      <c r="G21" s="279"/>
      <c r="H21" s="279"/>
      <c r="I21" s="279"/>
      <c r="J21" s="279"/>
      <c r="K21" s="280"/>
      <c r="L21" s="1410"/>
      <c r="M21" s="1373"/>
      <c r="N21" s="1373"/>
      <c r="O21" s="1373"/>
      <c r="P21" s="1373"/>
      <c r="Q21" s="1373"/>
      <c r="R21" s="1373"/>
      <c r="S21" s="1373"/>
      <c r="T21" s="1374"/>
      <c r="U21" s="1411"/>
      <c r="V21" s="1412"/>
      <c r="W21" s="1412"/>
      <c r="X21" s="1412"/>
      <c r="Y21" s="1412"/>
      <c r="Z21" s="1413"/>
      <c r="AA21" s="285" t="s">
        <v>363</v>
      </c>
      <c r="AB21" s="281"/>
      <c r="AH21" s="286"/>
    </row>
    <row r="22" spans="2:34" ht="18.75" customHeight="1">
      <c r="C22" s="1375" t="s">
        <v>329</v>
      </c>
      <c r="D22" s="1376"/>
      <c r="E22" s="1376"/>
      <c r="F22" s="1376"/>
      <c r="G22" s="1376"/>
      <c r="H22" s="1376"/>
      <c r="I22" s="1376"/>
      <c r="J22" s="1376"/>
      <c r="K22" s="1377"/>
      <c r="L22" s="274" t="s">
        <v>330</v>
      </c>
      <c r="M22" s="274"/>
      <c r="N22" s="274"/>
      <c r="O22" s="274"/>
      <c r="P22" s="274"/>
      <c r="Q22" s="274"/>
      <c r="R22" s="274"/>
      <c r="S22" s="274"/>
      <c r="T22" s="275"/>
      <c r="U22" s="1375" t="s">
        <v>331</v>
      </c>
      <c r="V22" s="1376"/>
      <c r="W22" s="1376"/>
      <c r="X22" s="1376"/>
      <c r="Y22" s="1376"/>
      <c r="Z22" s="272"/>
      <c r="AA22" s="287"/>
      <c r="AB22" s="282"/>
      <c r="AC22" s="282"/>
      <c r="AD22" s="282"/>
      <c r="AE22" s="282"/>
      <c r="AF22" s="282"/>
      <c r="AG22" s="282"/>
      <c r="AH22" s="288"/>
    </row>
    <row r="23" spans="2:34" ht="18.75" customHeight="1" thickBot="1">
      <c r="C23" s="1404"/>
      <c r="D23" s="1405"/>
      <c r="E23" s="1405"/>
      <c r="F23" s="1405"/>
      <c r="G23" s="1405"/>
      <c r="H23" s="1405"/>
      <c r="I23" s="1405"/>
      <c r="J23" s="1405"/>
      <c r="K23" s="1406"/>
      <c r="L23" s="1404"/>
      <c r="M23" s="1405"/>
      <c r="N23" s="1405"/>
      <c r="O23" s="1405"/>
      <c r="P23" s="1405"/>
      <c r="Q23" s="1405"/>
      <c r="R23" s="1405"/>
      <c r="S23" s="1405"/>
      <c r="T23" s="1406"/>
      <c r="U23" s="1404"/>
      <c r="V23" s="1405"/>
      <c r="W23" s="1405"/>
      <c r="X23" s="1405"/>
      <c r="Y23" s="1405"/>
      <c r="Z23" s="1406"/>
      <c r="AA23" s="284" t="s">
        <v>332</v>
      </c>
      <c r="AB23" s="284"/>
      <c r="AC23" s="1463"/>
      <c r="AD23" s="1464"/>
      <c r="AE23" s="1464"/>
      <c r="AF23" s="1464"/>
      <c r="AG23" s="1464"/>
      <c r="AH23" s="1465"/>
    </row>
    <row r="24" spans="2:34" ht="18.75" customHeight="1" thickTop="1">
      <c r="C24" s="1425" t="s">
        <v>365</v>
      </c>
      <c r="D24" s="1419" t="s">
        <v>336</v>
      </c>
      <c r="E24" s="1420"/>
      <c r="F24" s="1420"/>
      <c r="G24" s="1421"/>
      <c r="H24" s="1431" t="s">
        <v>359</v>
      </c>
      <c r="I24" s="1432"/>
      <c r="J24" s="1432"/>
      <c r="K24" s="1432"/>
      <c r="L24" s="1432"/>
      <c r="M24" s="1432"/>
      <c r="N24" s="1432"/>
      <c r="O24" s="1432"/>
      <c r="P24" s="1432"/>
      <c r="Q24" s="1432"/>
      <c r="R24" s="1432"/>
      <c r="S24" s="1432"/>
      <c r="T24" s="1432"/>
      <c r="U24" s="1432"/>
      <c r="V24" s="1433"/>
      <c r="W24" s="1428" t="s">
        <v>333</v>
      </c>
      <c r="X24" s="1429"/>
      <c r="Y24" s="1429"/>
      <c r="Z24" s="1429"/>
      <c r="AA24" s="1429"/>
      <c r="AB24" s="1430"/>
      <c r="AC24" s="1419" t="s">
        <v>334</v>
      </c>
      <c r="AD24" s="1420"/>
      <c r="AE24" s="1421"/>
      <c r="AF24" s="1419" t="s">
        <v>335</v>
      </c>
      <c r="AG24" s="1420"/>
      <c r="AH24" s="1421"/>
    </row>
    <row r="25" spans="2:34" ht="18.75" customHeight="1" thickBot="1">
      <c r="C25" s="1426"/>
      <c r="D25" s="1422"/>
      <c r="E25" s="1423"/>
      <c r="F25" s="1423"/>
      <c r="G25" s="1424"/>
      <c r="H25" s="295" t="s">
        <v>33</v>
      </c>
      <c r="I25" s="283"/>
      <c r="J25" s="283"/>
      <c r="K25" s="296"/>
      <c r="L25" s="289" t="s">
        <v>34</v>
      </c>
      <c r="M25" s="283"/>
      <c r="N25" s="283"/>
      <c r="O25" s="283"/>
      <c r="P25" s="283"/>
      <c r="Q25" s="283"/>
      <c r="R25" s="283"/>
      <c r="S25" s="283"/>
      <c r="T25" s="283"/>
      <c r="U25" s="1468" t="s">
        <v>269</v>
      </c>
      <c r="V25" s="1469"/>
      <c r="W25" s="1479" t="s">
        <v>337</v>
      </c>
      <c r="X25" s="1478"/>
      <c r="Y25" s="1476" t="s">
        <v>338</v>
      </c>
      <c r="Z25" s="1478"/>
      <c r="AA25" s="1476" t="s">
        <v>339</v>
      </c>
      <c r="AB25" s="1477"/>
      <c r="AC25" s="1422"/>
      <c r="AD25" s="1423"/>
      <c r="AE25" s="1424"/>
      <c r="AF25" s="1422"/>
      <c r="AG25" s="1423"/>
      <c r="AH25" s="1424"/>
    </row>
    <row r="26" spans="2:34" ht="18.75" customHeight="1" thickTop="1">
      <c r="B26" s="1438">
        <v>2065</v>
      </c>
      <c r="C26" s="1427">
        <v>1</v>
      </c>
      <c r="D26" s="1416" t="str">
        <f>IFERROR(IF(VLOOKUP(B26,'NY BackOrder'!A:C,3,FALSE)="","",VLOOKUP(B26,'NY BackOrder'!A:C,3,FALSE)),"")</f>
        <v/>
      </c>
      <c r="E26" s="1417"/>
      <c r="F26" s="1417"/>
      <c r="G26" s="1418"/>
      <c r="H26" s="1407" t="str">
        <f>IF(IFERROR(IF(VLOOKUP(B26,'NY BackOrder'!A:E,5,FALSE)="",VLOOKUP(B26,'NY BackOrder'!A:G,7,FALSE),IF(VLOOKUP(B26,'NY BackOrder'!A:E,5,FALSE)=0,"",VLOOKUP(B26,'NY BackOrder'!A:E,5,FALSE))),"")=0,"",IFERROR(IF(VLOOKUP(B26,'NY BackOrder'!A:E,5,FALSE)="",VLOOKUP(B26,'NY BackOrder'!A:G,7,FALSE),IF(VLOOKUP(B26,'NY BackOrder'!A:E,5,FALSE)=0,"",VLOOKUP(B26,'NY BackOrder'!A:E,5,FALSE))),""))</f>
        <v/>
      </c>
      <c r="I26" s="1408"/>
      <c r="J26" s="1408"/>
      <c r="K26" s="1408"/>
      <c r="L26" s="1408"/>
      <c r="M26" s="1408"/>
      <c r="N26" s="1408"/>
      <c r="O26" s="1408"/>
      <c r="P26" s="1408"/>
      <c r="Q26" s="1408"/>
      <c r="R26" s="1408"/>
      <c r="S26" s="1408"/>
      <c r="T26" s="1408"/>
      <c r="U26" s="1408"/>
      <c r="V26" s="1409"/>
      <c r="W26" s="1487" t="str">
        <f>IFERROR(IF(VLOOKUP(B26,'NY BackOrder'!A:H,8,FALSE)=0,"",VLOOKUP(B26,'NY BackOrder'!A:H,8,FALSE)),"")</f>
        <v/>
      </c>
      <c r="X26" s="1488"/>
      <c r="Y26" s="1485" t="str">
        <f>IFERROR(IF(VLOOKUP(B26,'NY BackOrder'!A:I,9,FALSE)=0,"",VLOOKUP(B26,'NY BackOrder'!A:I,9,FALSE)),"")</f>
        <v/>
      </c>
      <c r="Z26" s="1486"/>
      <c r="AA26" s="1483" t="str">
        <f>IFERROR(IF(AND(H27="",ISNUMBER(VLOOKUP(B26,'NY BackOrder'!A:J,10,FALSE))),VLOOKUP(B26,'NY BackOrder'!A:J,10,FALSE)&amp;" set",IF(VLOOKUP(B26,'NY BackOrder'!A:J,10,FALSE)=0,"",VLOOKUP(B26,'NY BackOrder'!A:J,10,FALSE))),"")</f>
        <v/>
      </c>
      <c r="AB26" s="1484"/>
      <c r="AC26" s="1480" t="str">
        <f>IFERROR(IF(VLOOKUP(B26,'NY BackOrder'!A:K,11,FALSE)=0,"",VLOOKUP(B26,'NY BackOrder'!A:K,11,FALSE)),"")</f>
        <v/>
      </c>
      <c r="AD26" s="1481"/>
      <c r="AE26" s="1482"/>
      <c r="AF26" s="1480" t="str">
        <f t="array" ref="AF26">IFERROR(IF(AA26="","",_xlfn.CONCAT(IFERROR(MID(AA26,_xlfn.SEQUENCE(LEN(AA26)),1)*1,""))*AC26),"")</f>
        <v/>
      </c>
      <c r="AG26" s="1481"/>
      <c r="AH26" s="1482"/>
    </row>
    <row r="27" spans="2:34" ht="18.75" customHeight="1">
      <c r="B27" s="1438"/>
      <c r="C27" s="1340"/>
      <c r="D27" s="1341"/>
      <c r="E27" s="1342"/>
      <c r="F27" s="1342"/>
      <c r="G27" s="1343"/>
      <c r="H27" s="1347" t="str">
        <f>IFERROR(IF(VLOOKUP(B26,'NY BackOrder'!A:F,6,FALSE)="","",IF(VLOOKUP(B26,'NY BackOrder'!A:F,6,FALSE)=0,"",VLOOKUP(B26,'NY BackOrder'!A:F,6,FALSE))),"")</f>
        <v/>
      </c>
      <c r="I27" s="1348"/>
      <c r="J27" s="1348"/>
      <c r="K27" s="290" t="s">
        <v>358</v>
      </c>
      <c r="L27" s="1349" t="str">
        <f>IFERROR(IF(VLOOKUP(B26,'NY BackOrder'!A:E,5,FALSE)="","",IF(VLOOKUP(B26,'NY BackOrder'!A:G,7,FALSE)=0,"",VLOOKUP(B26,'NY BackOrder'!A:G,7,FALSE))),"")</f>
        <v/>
      </c>
      <c r="M27" s="1348"/>
      <c r="N27" s="1348"/>
      <c r="O27" s="1348"/>
      <c r="P27" s="1348"/>
      <c r="Q27" s="1348"/>
      <c r="R27" s="1348"/>
      <c r="S27" s="1348"/>
      <c r="T27" s="1350"/>
      <c r="U27" s="294" t="str">
        <f>IFERROR(IF(VLOOKUP(B26,'NY BackOrder'!A:M,13,FALSE)=0,"",(VLOOKUP(B26,'NY BackOrder'!A:M,13,FALSE))),"")</f>
        <v/>
      </c>
      <c r="V27" s="293"/>
      <c r="W27" s="1351"/>
      <c r="X27" s="1352"/>
      <c r="Y27" s="1353"/>
      <c r="Z27" s="1354"/>
      <c r="AA27" s="1355"/>
      <c r="AB27" s="1356"/>
      <c r="AC27" s="1344"/>
      <c r="AD27" s="1345"/>
      <c r="AE27" s="1346"/>
      <c r="AF27" s="1344"/>
      <c r="AG27" s="1345"/>
      <c r="AH27" s="1346"/>
    </row>
    <row r="28" spans="2:34" ht="18.75" customHeight="1">
      <c r="B28" s="1438">
        <v>2066</v>
      </c>
      <c r="C28" s="1340">
        <f>IF(B28="","",C26+1)</f>
        <v>2</v>
      </c>
      <c r="D28" s="1341" t="str">
        <f>IFERROR(IF(VLOOKUP(B28,'NY BackOrder'!A:C,3,FALSE)="","",VLOOKUP(B28,'NY BackOrder'!A:C,3,FALSE)),"")</f>
        <v/>
      </c>
      <c r="E28" s="1342"/>
      <c r="F28" s="1342"/>
      <c r="G28" s="1343"/>
      <c r="H28" s="1347" t="str">
        <f>IF(IFERROR(IF(VLOOKUP(B28,'NY BackOrder'!A:E,5,FALSE)="",VLOOKUP(B28,'NY BackOrder'!A:G,7,FALSE),IF(VLOOKUP(B28,'NY BackOrder'!A:E,5,FALSE)=0,"",VLOOKUP(B28,'NY BackOrder'!A:E,5,FALSE))),"")=0,"",IFERROR(IF(VLOOKUP(B28,'NY BackOrder'!A:E,5,FALSE)="",VLOOKUP(B28,'NY BackOrder'!A:G,7,FALSE),IF(VLOOKUP(B28,'NY BackOrder'!A:E,5,FALSE)=0,"",VLOOKUP(B28,'NY BackOrder'!A:E,5,FALSE))),""))</f>
        <v/>
      </c>
      <c r="I28" s="1348"/>
      <c r="J28" s="1348"/>
      <c r="K28" s="1348"/>
      <c r="L28" s="1348"/>
      <c r="M28" s="1348"/>
      <c r="N28" s="1348"/>
      <c r="O28" s="1348"/>
      <c r="P28" s="1348"/>
      <c r="Q28" s="1348"/>
      <c r="R28" s="1348"/>
      <c r="S28" s="1348"/>
      <c r="T28" s="1348"/>
      <c r="U28" s="1348"/>
      <c r="V28" s="1437"/>
      <c r="W28" s="1351" t="str">
        <f>IFERROR(IF(VLOOKUP(B28,'NY BackOrder'!A:H,8,FALSE)=0,"",VLOOKUP(B28,'NY BackOrder'!A:H,8,FALSE)),"")</f>
        <v/>
      </c>
      <c r="X28" s="1352"/>
      <c r="Y28" s="1353" t="str">
        <f>IFERROR(IF(VLOOKUP(B28,'NY BackOrder'!A:I,9,FALSE)=0,"",VLOOKUP(B28,'NY BackOrder'!A:I,9,FALSE)),"")</f>
        <v/>
      </c>
      <c r="Z28" s="1354"/>
      <c r="AA28" s="1355" t="str">
        <f>IFERROR(IF(AND(H29="",ISNUMBER(VLOOKUP(B28,'NY BackOrder'!A:J,10,FALSE))),VLOOKUP(B28,'NY BackOrder'!A:J,10,FALSE)&amp;" set",IF(VLOOKUP(B28,'NY BackOrder'!A:J,10,FALSE)=0,"",VLOOKUP(B28,'NY BackOrder'!A:J,10,FALSE))),"")</f>
        <v/>
      </c>
      <c r="AB28" s="1356"/>
      <c r="AC28" s="1344" t="str">
        <f>IFERROR(IF(VLOOKUP(B28,'NY BackOrder'!A:K,11,FALSE)=0,"",VLOOKUP(B28,'NY BackOrder'!A:K,11,FALSE)),"")</f>
        <v/>
      </c>
      <c r="AD28" s="1345"/>
      <c r="AE28" s="1346"/>
      <c r="AF28" s="1344" t="str">
        <f t="array" ref="AF28">IFERROR(IF(AA28="","",_xlfn.CONCAT(IFERROR(MID(AA28,_xlfn.SEQUENCE(LEN(AA28)),1)*1,""))*AC28),"")</f>
        <v/>
      </c>
      <c r="AG28" s="1345"/>
      <c r="AH28" s="1346"/>
    </row>
    <row r="29" spans="2:34" ht="18.75" customHeight="1">
      <c r="B29" s="1438"/>
      <c r="C29" s="1340"/>
      <c r="D29" s="1341"/>
      <c r="E29" s="1342"/>
      <c r="F29" s="1342"/>
      <c r="G29" s="1343"/>
      <c r="H29" s="1347" t="str">
        <f>IFERROR(IF(VLOOKUP(B28,'NY BackOrder'!A:F,6,FALSE)="","",IF(VLOOKUP(B28,'NY BackOrder'!A:F,6,FALSE)=0,"",VLOOKUP(B28,'NY BackOrder'!A:F,6,FALSE))),"")</f>
        <v/>
      </c>
      <c r="I29" s="1348"/>
      <c r="J29" s="1348"/>
      <c r="K29" s="290" t="s">
        <v>358</v>
      </c>
      <c r="L29" s="1349" t="str">
        <f>IFERROR(IF(VLOOKUP(B28,'NY BackOrder'!A:E,5,FALSE)="","",IF(VLOOKUP(B28,'NY BackOrder'!A:G,7,FALSE)=0,"",VLOOKUP(B28,'NY BackOrder'!A:G,7,FALSE))),"")</f>
        <v/>
      </c>
      <c r="M29" s="1348"/>
      <c r="N29" s="1348"/>
      <c r="O29" s="1348"/>
      <c r="P29" s="1348"/>
      <c r="Q29" s="1348"/>
      <c r="R29" s="1348"/>
      <c r="S29" s="1348"/>
      <c r="T29" s="1350"/>
      <c r="U29" s="294" t="str">
        <f>IFERROR(IF(VLOOKUP(B28,'NY BackOrder'!A:M,13,FALSE)=0,"",(VLOOKUP(B28,'NY BackOrder'!A:M,13,FALSE))),"")</f>
        <v/>
      </c>
      <c r="V29" s="293"/>
      <c r="W29" s="1351"/>
      <c r="X29" s="1352"/>
      <c r="Y29" s="1353"/>
      <c r="Z29" s="1354"/>
      <c r="AA29" s="1355"/>
      <c r="AB29" s="1356"/>
      <c r="AC29" s="1344"/>
      <c r="AD29" s="1345"/>
      <c r="AE29" s="1346"/>
      <c r="AF29" s="1344"/>
      <c r="AG29" s="1345"/>
      <c r="AH29" s="1346"/>
    </row>
    <row r="30" spans="2:34" ht="18.75" customHeight="1">
      <c r="B30" s="1438">
        <v>2067</v>
      </c>
      <c r="C30" s="1340">
        <f>IF(B30="","",C28+1)</f>
        <v>3</v>
      </c>
      <c r="D30" s="1341" t="str">
        <f>IFERROR(IF(VLOOKUP(B30,'NY BackOrder'!A:C,3,FALSE)="","",VLOOKUP(B30,'NY BackOrder'!A:C,3,FALSE)),"")</f>
        <v/>
      </c>
      <c r="E30" s="1342"/>
      <c r="F30" s="1342"/>
      <c r="G30" s="1343"/>
      <c r="H30" s="1347" t="str">
        <f>IF(IFERROR(IF(VLOOKUP(B30,'NY BackOrder'!A:E,5,FALSE)="",VLOOKUP(B30,'NY BackOrder'!A:G,7,FALSE),IF(VLOOKUP(B30,'NY BackOrder'!A:E,5,FALSE)=0,"",VLOOKUP(B30,'NY BackOrder'!A:E,5,FALSE))),"")=0,"",IFERROR(IF(VLOOKUP(B30,'NY BackOrder'!A:E,5,FALSE)="",VLOOKUP(B30,'NY BackOrder'!A:G,7,FALSE),IF(VLOOKUP(B30,'NY BackOrder'!A:E,5,FALSE)=0,"",VLOOKUP(B30,'NY BackOrder'!A:E,5,FALSE))),""))</f>
        <v/>
      </c>
      <c r="I30" s="1348"/>
      <c r="J30" s="1348"/>
      <c r="K30" s="1348"/>
      <c r="L30" s="1348"/>
      <c r="M30" s="1348"/>
      <c r="N30" s="1348"/>
      <c r="O30" s="1348"/>
      <c r="P30" s="1348"/>
      <c r="Q30" s="1348"/>
      <c r="R30" s="1348"/>
      <c r="S30" s="1348"/>
      <c r="T30" s="1348"/>
      <c r="U30" s="1348"/>
      <c r="V30" s="1437"/>
      <c r="W30" s="1351" t="str">
        <f>IFERROR(IF(VLOOKUP(B30,'NY BackOrder'!A:H,8,FALSE)=0,"",VLOOKUP(B30,'NY BackOrder'!A:H,8,FALSE)),"")</f>
        <v/>
      </c>
      <c r="X30" s="1352"/>
      <c r="Y30" s="1353" t="str">
        <f>IFERROR(IF(VLOOKUP(B30,'NY BackOrder'!A:I,9,FALSE)=0,"",VLOOKUP(B30,'NY BackOrder'!A:I,9,FALSE)),"")</f>
        <v/>
      </c>
      <c r="Z30" s="1354"/>
      <c r="AA30" s="1355" t="str">
        <f>IFERROR(IF(AND(H31="",ISNUMBER(VLOOKUP(B30,'NY BackOrder'!A:J,10,FALSE))),VLOOKUP(B30,'NY BackOrder'!A:J,10,FALSE)&amp;" set",IF(VLOOKUP(B30,'NY BackOrder'!A:J,10,FALSE)=0,"",VLOOKUP(B30,'NY BackOrder'!A:J,10,FALSE))),"")</f>
        <v/>
      </c>
      <c r="AB30" s="1356"/>
      <c r="AC30" s="1344" t="str">
        <f>IFERROR(IF(VLOOKUP(B30,'NY BackOrder'!A:K,11,FALSE)=0,"",VLOOKUP(B30,'NY BackOrder'!A:K,11,FALSE)),"")</f>
        <v/>
      </c>
      <c r="AD30" s="1345"/>
      <c r="AE30" s="1346"/>
      <c r="AF30" s="1344" t="str">
        <f t="array" ref="AF30">IFERROR(IF(AA30="","",_xlfn.CONCAT(IFERROR(MID(AA30,_xlfn.SEQUENCE(LEN(AA30)),1)*1,""))*AC30),"")</f>
        <v/>
      </c>
      <c r="AG30" s="1345"/>
      <c r="AH30" s="1346"/>
    </row>
    <row r="31" spans="2:34" ht="18.75" customHeight="1">
      <c r="B31" s="1438"/>
      <c r="C31" s="1340"/>
      <c r="D31" s="1341"/>
      <c r="E31" s="1342"/>
      <c r="F31" s="1342"/>
      <c r="G31" s="1343"/>
      <c r="H31" s="1347" t="str">
        <f>IFERROR(IF(VLOOKUP(B30,'NY BackOrder'!A:F,6,FALSE)="","",IF(VLOOKUP(B30,'NY BackOrder'!A:F,6,FALSE)=0,"",VLOOKUP(B30,'NY BackOrder'!A:F,6,FALSE))),"")</f>
        <v/>
      </c>
      <c r="I31" s="1348"/>
      <c r="J31" s="1348"/>
      <c r="K31" s="290" t="s">
        <v>358</v>
      </c>
      <c r="L31" s="1349" t="str">
        <f>IFERROR(IF(VLOOKUP(B30,'NY BackOrder'!A:E,5,FALSE)="","",IF(VLOOKUP(B30,'NY BackOrder'!A:G,7,FALSE)=0,"",VLOOKUP(B30,'NY BackOrder'!A:G,7,FALSE))),"")</f>
        <v/>
      </c>
      <c r="M31" s="1348"/>
      <c r="N31" s="1348"/>
      <c r="O31" s="1348"/>
      <c r="P31" s="1348"/>
      <c r="Q31" s="1348"/>
      <c r="R31" s="1348"/>
      <c r="S31" s="1348"/>
      <c r="T31" s="1350"/>
      <c r="U31" s="294" t="str">
        <f>IFERROR(IF(VLOOKUP(B30,'NY BackOrder'!A:M,13,FALSE)=0,"",(VLOOKUP(B30,'NY BackOrder'!A:M,13,FALSE))),"")</f>
        <v/>
      </c>
      <c r="V31" s="293"/>
      <c r="W31" s="1351"/>
      <c r="X31" s="1352"/>
      <c r="Y31" s="1353"/>
      <c r="Z31" s="1354"/>
      <c r="AA31" s="1355"/>
      <c r="AB31" s="1356"/>
      <c r="AC31" s="1344"/>
      <c r="AD31" s="1345"/>
      <c r="AE31" s="1346"/>
      <c r="AF31" s="1344"/>
      <c r="AG31" s="1345"/>
      <c r="AH31" s="1346"/>
    </row>
    <row r="32" spans="2:34" ht="18.75" customHeight="1">
      <c r="B32" s="1438"/>
      <c r="C32" s="1340" t="str">
        <f>IF(B32="","",C30+1)</f>
        <v/>
      </c>
      <c r="D32" s="1341" t="str">
        <f>IFERROR(IF(VLOOKUP(B32,'NY BackOrder'!A:C,3,FALSE)="","",VLOOKUP(B32,'NY BackOrder'!A:C,3,FALSE)),"")</f>
        <v/>
      </c>
      <c r="E32" s="1342"/>
      <c r="F32" s="1342"/>
      <c r="G32" s="1343"/>
      <c r="H32" s="1347" t="str">
        <f>IF(IFERROR(IF(VLOOKUP(B32,'NY BackOrder'!A:E,5,FALSE)="",VLOOKUP(B32,'NY BackOrder'!A:G,7,FALSE),IF(VLOOKUP(B32,'NY BackOrder'!A:E,5,FALSE)=0,"",VLOOKUP(B32,'NY BackOrder'!A:E,5,FALSE))),"")=0,"",IFERROR(IF(VLOOKUP(B32,'NY BackOrder'!A:E,5,FALSE)="",VLOOKUP(B32,'NY BackOrder'!A:G,7,FALSE),IF(VLOOKUP(B32,'NY BackOrder'!A:E,5,FALSE)=0,"",VLOOKUP(B32,'NY BackOrder'!A:E,5,FALSE))),""))</f>
        <v/>
      </c>
      <c r="I32" s="1348"/>
      <c r="J32" s="1348"/>
      <c r="K32" s="1348"/>
      <c r="L32" s="1348"/>
      <c r="M32" s="1348"/>
      <c r="N32" s="1348"/>
      <c r="O32" s="1348"/>
      <c r="P32" s="1348"/>
      <c r="Q32" s="1348"/>
      <c r="R32" s="1348"/>
      <c r="S32" s="1348"/>
      <c r="T32" s="1348"/>
      <c r="U32" s="1348"/>
      <c r="V32" s="1437"/>
      <c r="W32" s="1351" t="str">
        <f>IFERROR(IF(VLOOKUP(B32,'NY BackOrder'!A:H,8,FALSE)=0,"",VLOOKUP(B32,'NY BackOrder'!A:H,8,FALSE)),"")</f>
        <v/>
      </c>
      <c r="X32" s="1352"/>
      <c r="Y32" s="1353" t="str">
        <f>IFERROR(IF(VLOOKUP(B32,'NY BackOrder'!A:I,9,FALSE)=0,"",VLOOKUP(B32,'NY BackOrder'!A:I,9,FALSE)),"")</f>
        <v/>
      </c>
      <c r="Z32" s="1354"/>
      <c r="AA32" s="1355" t="str">
        <f>IFERROR(IF(AND(H33="",ISNUMBER(VLOOKUP(B32,'NY BackOrder'!A:J,10,FALSE))),VLOOKUP(B32,'NY BackOrder'!A:J,10,FALSE)&amp;" set",IF(VLOOKUP(B32,'NY BackOrder'!A:J,10,FALSE)=0,"",VLOOKUP(B32,'NY BackOrder'!A:J,10,FALSE))),"")</f>
        <v/>
      </c>
      <c r="AB32" s="1356"/>
      <c r="AC32" s="1344" t="str">
        <f>IFERROR(IF(VLOOKUP(B32,'NY BackOrder'!A:K,11,FALSE)=0,"",VLOOKUP(B32,'NY BackOrder'!A:K,11,FALSE)),"")</f>
        <v/>
      </c>
      <c r="AD32" s="1345"/>
      <c r="AE32" s="1346"/>
      <c r="AF32" s="1344" t="str">
        <f t="array" ref="AF32">IFERROR(IF(AA32="","",_xlfn.CONCAT(IFERROR(MID(AA32,_xlfn.SEQUENCE(LEN(AA32)),1)*1,""))*AC32),"")</f>
        <v/>
      </c>
      <c r="AG32" s="1345"/>
      <c r="AH32" s="1346"/>
    </row>
    <row r="33" spans="2:34" ht="18.75" customHeight="1">
      <c r="B33" s="1438"/>
      <c r="C33" s="1340"/>
      <c r="D33" s="1341"/>
      <c r="E33" s="1342"/>
      <c r="F33" s="1342"/>
      <c r="G33" s="1343"/>
      <c r="H33" s="1347" t="str">
        <f>IFERROR(IF(VLOOKUP(B32,'NY BackOrder'!A:F,6,FALSE)="","",IF(VLOOKUP(B32,'NY BackOrder'!A:F,6,FALSE)=0,"",VLOOKUP(B32,'NY BackOrder'!A:F,6,FALSE))),"")</f>
        <v/>
      </c>
      <c r="I33" s="1348"/>
      <c r="J33" s="1348"/>
      <c r="K33" s="290" t="s">
        <v>358</v>
      </c>
      <c r="L33" s="1349" t="str">
        <f>IFERROR(IF(VLOOKUP(B32,'NY BackOrder'!A:E,5,FALSE)="","",IF(VLOOKUP(B32,'NY BackOrder'!A:G,7,FALSE)=0,"",VLOOKUP(B32,'NY BackOrder'!A:G,7,FALSE))),"")</f>
        <v/>
      </c>
      <c r="M33" s="1348"/>
      <c r="N33" s="1348"/>
      <c r="O33" s="1348"/>
      <c r="P33" s="1348"/>
      <c r="Q33" s="1348"/>
      <c r="R33" s="1348"/>
      <c r="S33" s="1348"/>
      <c r="T33" s="1350"/>
      <c r="U33" s="294" t="str">
        <f>IFERROR(IF(VLOOKUP(B32,'NY BackOrder'!A:M,13,FALSE)=0,"",(VLOOKUP(B32,'NY BackOrder'!A:M,13,FALSE))),"")</f>
        <v/>
      </c>
      <c r="V33" s="293"/>
      <c r="W33" s="1351"/>
      <c r="X33" s="1352"/>
      <c r="Y33" s="1353"/>
      <c r="Z33" s="1354"/>
      <c r="AA33" s="1355"/>
      <c r="AB33" s="1356"/>
      <c r="AC33" s="1344"/>
      <c r="AD33" s="1345"/>
      <c r="AE33" s="1346"/>
      <c r="AF33" s="1344"/>
      <c r="AG33" s="1345"/>
      <c r="AH33" s="1346"/>
    </row>
    <row r="34" spans="2:34" ht="18.75" customHeight="1">
      <c r="B34" s="1438"/>
      <c r="C34" s="1340" t="str">
        <f>IF(B34="","",C32+1)</f>
        <v/>
      </c>
      <c r="D34" s="1341" t="str">
        <f>IFERROR(IF(VLOOKUP(B34,'NY BackOrder'!A:C,3,FALSE)="","",VLOOKUP(B34,'NY BackOrder'!A:C,3,FALSE)),"")</f>
        <v/>
      </c>
      <c r="E34" s="1342"/>
      <c r="F34" s="1342"/>
      <c r="G34" s="1343"/>
      <c r="H34" s="1347" t="str">
        <f>IF(IFERROR(IF(VLOOKUP(B34,'NY BackOrder'!A:E,5,FALSE)="",VLOOKUP(B34,'NY BackOrder'!A:G,7,FALSE),IF(VLOOKUP(B34,'NY BackOrder'!A:E,5,FALSE)=0,"",VLOOKUP(B34,'NY BackOrder'!A:E,5,FALSE))),"")=0,"",IFERROR(IF(VLOOKUP(B34,'NY BackOrder'!A:E,5,FALSE)="",VLOOKUP(B34,'NY BackOrder'!A:G,7,FALSE),IF(VLOOKUP(B34,'NY BackOrder'!A:E,5,FALSE)=0,"",VLOOKUP(B34,'NY BackOrder'!A:E,5,FALSE))),""))</f>
        <v/>
      </c>
      <c r="I34" s="1348"/>
      <c r="J34" s="1348"/>
      <c r="K34" s="1348"/>
      <c r="L34" s="1348"/>
      <c r="M34" s="1348"/>
      <c r="N34" s="1348"/>
      <c r="O34" s="1348"/>
      <c r="P34" s="1348"/>
      <c r="Q34" s="1348"/>
      <c r="R34" s="1348"/>
      <c r="S34" s="1348"/>
      <c r="T34" s="1348"/>
      <c r="U34" s="1348"/>
      <c r="V34" s="1437"/>
      <c r="W34" s="1351" t="str">
        <f>IFERROR(IF(VLOOKUP(B34,'NY BackOrder'!A:H,8,FALSE)=0,"",VLOOKUP(B34,'NY BackOrder'!A:H,8,FALSE)),"")</f>
        <v/>
      </c>
      <c r="X34" s="1352"/>
      <c r="Y34" s="1353" t="str">
        <f>IFERROR(IF(VLOOKUP(B34,'NY BackOrder'!A:I,9,FALSE)=0,"",VLOOKUP(B34,'NY BackOrder'!A:I,9,FALSE)),"")</f>
        <v/>
      </c>
      <c r="Z34" s="1354"/>
      <c r="AA34" s="1355" t="str">
        <f>IFERROR(IF(AND(H35="",ISNUMBER(VLOOKUP(B34,'NY BackOrder'!A:J,10,FALSE))),VLOOKUP(B34,'NY BackOrder'!A:J,10,FALSE)&amp;" set",IF(VLOOKUP(B34,'NY BackOrder'!A:J,10,FALSE)=0,"",VLOOKUP(B34,'NY BackOrder'!A:J,10,FALSE))),"")</f>
        <v/>
      </c>
      <c r="AB34" s="1356"/>
      <c r="AC34" s="1344" t="str">
        <f>IFERROR(IF(VLOOKUP(B34,'NY BackOrder'!A:K,11,FALSE)=0,"",VLOOKUP(B34,'NY BackOrder'!A:K,11,FALSE)),"")</f>
        <v/>
      </c>
      <c r="AD34" s="1345"/>
      <c r="AE34" s="1346"/>
      <c r="AF34" s="1344" t="str">
        <f t="array" ref="AF34">IFERROR(IF(AA34="","",_xlfn.CONCAT(IFERROR(MID(AA34,_xlfn.SEQUENCE(LEN(AA34)),1)*1,""))*AC34),"")</f>
        <v/>
      </c>
      <c r="AG34" s="1345"/>
      <c r="AH34" s="1346"/>
    </row>
    <row r="35" spans="2:34" ht="18.75" customHeight="1">
      <c r="B35" s="1438"/>
      <c r="C35" s="1340"/>
      <c r="D35" s="1341"/>
      <c r="E35" s="1342"/>
      <c r="F35" s="1342"/>
      <c r="G35" s="1343"/>
      <c r="H35" s="1347" t="str">
        <f>IFERROR(IF(VLOOKUP(B34,'NY BackOrder'!A:F,6,FALSE)="","",IF(VLOOKUP(B34,'NY BackOrder'!A:F,6,FALSE)=0,"",VLOOKUP(B34,'NY BackOrder'!A:F,6,FALSE))),"")</f>
        <v/>
      </c>
      <c r="I35" s="1348"/>
      <c r="J35" s="1348"/>
      <c r="K35" s="290" t="s">
        <v>358</v>
      </c>
      <c r="L35" s="1349" t="str">
        <f>IFERROR(IF(VLOOKUP(B34,'NY BackOrder'!A:E,5,FALSE)="","",IF(VLOOKUP(B34,'NY BackOrder'!A:G,7,FALSE)=0,"",VLOOKUP(B34,'NY BackOrder'!A:G,7,FALSE))),"")</f>
        <v/>
      </c>
      <c r="M35" s="1348"/>
      <c r="N35" s="1348"/>
      <c r="O35" s="1348"/>
      <c r="P35" s="1348"/>
      <c r="Q35" s="1348"/>
      <c r="R35" s="1348"/>
      <c r="S35" s="1348"/>
      <c r="T35" s="1350"/>
      <c r="U35" s="294" t="str">
        <f>IFERROR(IF(VLOOKUP(B34,'NY BackOrder'!A:M,13,FALSE)=0,"",(VLOOKUP(B34,'NY BackOrder'!A:M,13,FALSE))),"")</f>
        <v/>
      </c>
      <c r="V35" s="293"/>
      <c r="W35" s="1351"/>
      <c r="X35" s="1352"/>
      <c r="Y35" s="1353"/>
      <c r="Z35" s="1354"/>
      <c r="AA35" s="1355"/>
      <c r="AB35" s="1356"/>
      <c r="AC35" s="1344"/>
      <c r="AD35" s="1345"/>
      <c r="AE35" s="1346"/>
      <c r="AF35" s="1344"/>
      <c r="AG35" s="1345"/>
      <c r="AH35" s="1346"/>
    </row>
    <row r="36" spans="2:34" ht="18.75" customHeight="1">
      <c r="B36" s="1438"/>
      <c r="C36" s="1340" t="str">
        <f>IF(B36="","",C34+1)</f>
        <v/>
      </c>
      <c r="D36" s="1341" t="str">
        <f>IFERROR(IF(VLOOKUP(B36,'NY BackOrder'!A:C,3,FALSE)="","",VLOOKUP(B36,'NY BackOrder'!A:C,3,FALSE)),"")</f>
        <v/>
      </c>
      <c r="E36" s="1342"/>
      <c r="F36" s="1342"/>
      <c r="G36" s="1343"/>
      <c r="H36" s="1347" t="str">
        <f>IF(IFERROR(IF(VLOOKUP(B36,'NY BackOrder'!A:E,5,FALSE)="",VLOOKUP(B36,'NY BackOrder'!A:G,7,FALSE),IF(VLOOKUP(B36,'NY BackOrder'!A:E,5,FALSE)=0,"",VLOOKUP(B36,'NY BackOrder'!A:E,5,FALSE))),"")=0,"",IFERROR(IF(VLOOKUP(B36,'NY BackOrder'!A:E,5,FALSE)="",VLOOKUP(B36,'NY BackOrder'!A:G,7,FALSE),IF(VLOOKUP(B36,'NY BackOrder'!A:E,5,FALSE)=0,"",VLOOKUP(B36,'NY BackOrder'!A:E,5,FALSE))),""))</f>
        <v/>
      </c>
      <c r="I36" s="1348"/>
      <c r="J36" s="1348"/>
      <c r="K36" s="1348"/>
      <c r="L36" s="1348"/>
      <c r="M36" s="1348"/>
      <c r="N36" s="1348"/>
      <c r="O36" s="1348"/>
      <c r="P36" s="1348"/>
      <c r="Q36" s="1348"/>
      <c r="R36" s="1348"/>
      <c r="S36" s="1348"/>
      <c r="T36" s="1348"/>
      <c r="U36" s="1348"/>
      <c r="V36" s="1437"/>
      <c r="W36" s="1351" t="str">
        <f>IFERROR(IF(VLOOKUP(B36,'NY BackOrder'!A:H,8,FALSE)=0,"",VLOOKUP(B36,'NY BackOrder'!A:H,8,FALSE)),"")</f>
        <v/>
      </c>
      <c r="X36" s="1352"/>
      <c r="Y36" s="1353" t="str">
        <f>IFERROR(IF(VLOOKUP(B36,'NY BackOrder'!A:I,9,FALSE)=0,"",VLOOKUP(B36,'NY BackOrder'!A:I,9,FALSE)),"")</f>
        <v/>
      </c>
      <c r="Z36" s="1354"/>
      <c r="AA36" s="1355" t="str">
        <f>IFERROR(IF(AND(H37="",ISNUMBER(VLOOKUP(B36,'NY BackOrder'!A:J,10,FALSE))),VLOOKUP(B36,'NY BackOrder'!A:J,10,FALSE)&amp;" set",IF(VLOOKUP(B36,'NY BackOrder'!A:J,10,FALSE)=0,"",VLOOKUP(B36,'NY BackOrder'!A:J,10,FALSE))),"")</f>
        <v/>
      </c>
      <c r="AB36" s="1356"/>
      <c r="AC36" s="1344" t="str">
        <f>IFERROR(IF(VLOOKUP(B36,'NY BackOrder'!A:K,11,FALSE)=0,"",VLOOKUP(B36,'NY BackOrder'!A:K,11,FALSE)),"")</f>
        <v/>
      </c>
      <c r="AD36" s="1345"/>
      <c r="AE36" s="1346"/>
      <c r="AF36" s="1344" t="str">
        <f t="array" ref="AF36">IFERROR(IF(AA36="","",_xlfn.CONCAT(IFERROR(MID(AA36,_xlfn.SEQUENCE(LEN(AA36)),1)*1,""))*AC36),"")</f>
        <v/>
      </c>
      <c r="AG36" s="1345"/>
      <c r="AH36" s="1346"/>
    </row>
    <row r="37" spans="2:34" ht="18.75" customHeight="1">
      <c r="B37" s="1438"/>
      <c r="C37" s="1340"/>
      <c r="D37" s="1341"/>
      <c r="E37" s="1342"/>
      <c r="F37" s="1342"/>
      <c r="G37" s="1343"/>
      <c r="H37" s="1347" t="str">
        <f>IFERROR(IF(VLOOKUP(B36,'NY BackOrder'!A:F,6,FALSE)="","",IF(VLOOKUP(B36,'NY BackOrder'!A:F,6,FALSE)=0,"",VLOOKUP(B36,'NY BackOrder'!A:F,6,FALSE))),"")</f>
        <v/>
      </c>
      <c r="I37" s="1348"/>
      <c r="J37" s="1348"/>
      <c r="K37" s="290" t="s">
        <v>358</v>
      </c>
      <c r="L37" s="1349" t="str">
        <f>IFERROR(IF(VLOOKUP(B36,'NY BackOrder'!A:E,5,FALSE)="","",IF(VLOOKUP(B36,'NY BackOrder'!A:G,7,FALSE)=0,"",VLOOKUP(B36,'NY BackOrder'!A:G,7,FALSE))),"")</f>
        <v/>
      </c>
      <c r="M37" s="1348"/>
      <c r="N37" s="1348"/>
      <c r="O37" s="1348"/>
      <c r="P37" s="1348"/>
      <c r="Q37" s="1348"/>
      <c r="R37" s="1348"/>
      <c r="S37" s="1348"/>
      <c r="T37" s="1350"/>
      <c r="U37" s="294" t="str">
        <f>IFERROR(IF(VLOOKUP(B36,'NY BackOrder'!A:M,13,FALSE)=0,"",(VLOOKUP(B36,'NY BackOrder'!A:M,13,FALSE))),"")</f>
        <v/>
      </c>
      <c r="V37" s="293"/>
      <c r="W37" s="1351"/>
      <c r="X37" s="1352"/>
      <c r="Y37" s="1353"/>
      <c r="Z37" s="1354"/>
      <c r="AA37" s="1355"/>
      <c r="AB37" s="1356"/>
      <c r="AC37" s="1344"/>
      <c r="AD37" s="1345"/>
      <c r="AE37" s="1346"/>
      <c r="AF37" s="1344"/>
      <c r="AG37" s="1345"/>
      <c r="AH37" s="1346"/>
    </row>
    <row r="38" spans="2:34" ht="18.75" customHeight="1">
      <c r="B38" s="1438"/>
      <c r="C38" s="1340" t="str">
        <f>IF(B38="","",C36+1)</f>
        <v/>
      </c>
      <c r="D38" s="1341" t="str">
        <f>IFERROR(IF(VLOOKUP(B38,'NY BackOrder'!A:C,3,FALSE)="","",VLOOKUP(B38,'NY BackOrder'!A:C,3,FALSE)),"")</f>
        <v/>
      </c>
      <c r="E38" s="1342"/>
      <c r="F38" s="1342"/>
      <c r="G38" s="1343"/>
      <c r="H38" s="1347" t="str">
        <f>IF(IFERROR(IF(VLOOKUP(B38,'NY BackOrder'!A:E,5,FALSE)="",VLOOKUP(B38,'NY BackOrder'!A:G,7,FALSE),IF(VLOOKUP(B38,'NY BackOrder'!A:E,5,FALSE)=0,"",VLOOKUP(B38,'NY BackOrder'!A:E,5,FALSE))),"")=0,"",IFERROR(IF(VLOOKUP(B38,'NY BackOrder'!A:E,5,FALSE)="",VLOOKUP(B38,'NY BackOrder'!A:G,7,FALSE),IF(VLOOKUP(B38,'NY BackOrder'!A:E,5,FALSE)=0,"",VLOOKUP(B38,'NY BackOrder'!A:E,5,FALSE))),""))</f>
        <v/>
      </c>
      <c r="I38" s="1348"/>
      <c r="J38" s="1348"/>
      <c r="K38" s="1348"/>
      <c r="L38" s="1348"/>
      <c r="M38" s="1348"/>
      <c r="N38" s="1348"/>
      <c r="O38" s="1348"/>
      <c r="P38" s="1348"/>
      <c r="Q38" s="1348"/>
      <c r="R38" s="1348"/>
      <c r="S38" s="1348"/>
      <c r="T38" s="1348"/>
      <c r="U38" s="1348"/>
      <c r="V38" s="1437"/>
      <c r="W38" s="1351" t="str">
        <f>IFERROR(IF(VLOOKUP(B38,'NY BackOrder'!A:H,8,FALSE)=0,"",VLOOKUP(B38,'NY BackOrder'!A:H,8,FALSE)),"")</f>
        <v/>
      </c>
      <c r="X38" s="1352"/>
      <c r="Y38" s="1353" t="str">
        <f>IFERROR(IF(VLOOKUP(B38,'NY BackOrder'!A:I,9,FALSE)=0,"",VLOOKUP(B38,'NY BackOrder'!A:I,9,FALSE)),"")</f>
        <v/>
      </c>
      <c r="Z38" s="1354"/>
      <c r="AA38" s="1355" t="str">
        <f>IFERROR(IF(AND(H39="",ISNUMBER(VLOOKUP(B38,'NY BackOrder'!A:J,10,FALSE))),VLOOKUP(B38,'NY BackOrder'!A:J,10,FALSE)&amp;" set",IF(VLOOKUP(B38,'NY BackOrder'!A:J,10,FALSE)=0,"",VLOOKUP(B38,'NY BackOrder'!A:J,10,FALSE))),"")</f>
        <v/>
      </c>
      <c r="AB38" s="1356"/>
      <c r="AC38" s="1344" t="str">
        <f>IFERROR(IF(VLOOKUP(B38,'NY BackOrder'!A:K,11,FALSE)=0,"",VLOOKUP(B38,'NY BackOrder'!A:K,11,FALSE)),"")</f>
        <v/>
      </c>
      <c r="AD38" s="1345"/>
      <c r="AE38" s="1346"/>
      <c r="AF38" s="1344" t="str">
        <f t="array" ref="AF38">IFERROR(IF(AA38="","",_xlfn.CONCAT(IFERROR(MID(AA38,_xlfn.SEQUENCE(LEN(AA38)),1)*1,""))*AC38),"")</f>
        <v/>
      </c>
      <c r="AG38" s="1345"/>
      <c r="AH38" s="1346"/>
    </row>
    <row r="39" spans="2:34" ht="18.75" customHeight="1">
      <c r="B39" s="1438"/>
      <c r="C39" s="1340"/>
      <c r="D39" s="1341"/>
      <c r="E39" s="1342"/>
      <c r="F39" s="1342"/>
      <c r="G39" s="1343"/>
      <c r="H39" s="1347" t="str">
        <f>IFERROR(IF(VLOOKUP(B38,'NY BackOrder'!A:F,6,FALSE)="","",IF(VLOOKUP(B38,'NY BackOrder'!A:F,6,FALSE)=0,"",VLOOKUP(B38,'NY BackOrder'!A:F,6,FALSE))),"")</f>
        <v/>
      </c>
      <c r="I39" s="1348"/>
      <c r="J39" s="1348"/>
      <c r="K39" s="290" t="s">
        <v>358</v>
      </c>
      <c r="L39" s="1349" t="str">
        <f>IFERROR(IF(VLOOKUP(B38,'NY BackOrder'!A:E,5,FALSE)="","",IF(VLOOKUP(B38,'NY BackOrder'!A:G,7,FALSE)=0,"",VLOOKUP(B38,'NY BackOrder'!A:G,7,FALSE))),"")</f>
        <v/>
      </c>
      <c r="M39" s="1348"/>
      <c r="N39" s="1348"/>
      <c r="O39" s="1348"/>
      <c r="P39" s="1348"/>
      <c r="Q39" s="1348"/>
      <c r="R39" s="1348"/>
      <c r="S39" s="1348"/>
      <c r="T39" s="1350"/>
      <c r="U39" s="294" t="str">
        <f>IFERROR(IF(VLOOKUP(B38,'NY BackOrder'!A:M,13,FALSE)=0,"",(VLOOKUP(B38,'NY BackOrder'!A:M,13,FALSE))),"")</f>
        <v/>
      </c>
      <c r="V39" s="293"/>
      <c r="W39" s="1351"/>
      <c r="X39" s="1352"/>
      <c r="Y39" s="1353"/>
      <c r="Z39" s="1354"/>
      <c r="AA39" s="1355"/>
      <c r="AB39" s="1356"/>
      <c r="AC39" s="1344"/>
      <c r="AD39" s="1345"/>
      <c r="AE39" s="1346"/>
      <c r="AF39" s="1344"/>
      <c r="AG39" s="1345"/>
      <c r="AH39" s="1346"/>
    </row>
    <row r="40" spans="2:34" ht="18.75" customHeight="1">
      <c r="B40" s="1438"/>
      <c r="C40" s="1340" t="str">
        <f>IF(B40="","",C38+1)</f>
        <v/>
      </c>
      <c r="D40" s="1341" t="str">
        <f>IFERROR(IF(VLOOKUP(B40,'NY BackOrder'!A:C,3,FALSE)="","",VLOOKUP(B40,'NY BackOrder'!A:C,3,FALSE)),"")</f>
        <v/>
      </c>
      <c r="E40" s="1342"/>
      <c r="F40" s="1342"/>
      <c r="G40" s="1343"/>
      <c r="H40" s="1347" t="str">
        <f>IF(IFERROR(IF(VLOOKUP(B40,'NY BackOrder'!A:E,5,FALSE)="",VLOOKUP(B40,'NY BackOrder'!A:G,7,FALSE),IF(VLOOKUP(B40,'NY BackOrder'!A:E,5,FALSE)=0,"",VLOOKUP(B40,'NY BackOrder'!A:E,5,FALSE))),"")=0,"",IFERROR(IF(VLOOKUP(B40,'NY BackOrder'!A:E,5,FALSE)="",VLOOKUP(B40,'NY BackOrder'!A:G,7,FALSE),IF(VLOOKUP(B40,'NY BackOrder'!A:E,5,FALSE)=0,"",VLOOKUP(B40,'NY BackOrder'!A:E,5,FALSE))),""))</f>
        <v/>
      </c>
      <c r="I40" s="1348"/>
      <c r="J40" s="1348"/>
      <c r="K40" s="1348"/>
      <c r="L40" s="1348"/>
      <c r="M40" s="1348"/>
      <c r="N40" s="1348"/>
      <c r="O40" s="1348"/>
      <c r="P40" s="1348"/>
      <c r="Q40" s="1348"/>
      <c r="R40" s="1348"/>
      <c r="S40" s="1348"/>
      <c r="T40" s="1348"/>
      <c r="U40" s="1348"/>
      <c r="V40" s="1437"/>
      <c r="W40" s="1351" t="str">
        <f>IFERROR(IF(VLOOKUP(B40,'NY BackOrder'!A:H,8,FALSE)=0,"",VLOOKUP(B40,'NY BackOrder'!A:H,8,FALSE)),"")</f>
        <v/>
      </c>
      <c r="X40" s="1352"/>
      <c r="Y40" s="1353" t="str">
        <f>IFERROR(IF(VLOOKUP(B40,'NY BackOrder'!A:I,9,FALSE)=0,"",VLOOKUP(B40,'NY BackOrder'!A:I,9,FALSE)),"")</f>
        <v/>
      </c>
      <c r="Z40" s="1354"/>
      <c r="AA40" s="1355" t="str">
        <f>IFERROR(IF(AND(H41="",ISNUMBER(VLOOKUP(B40,'NY BackOrder'!A:J,10,FALSE))),VLOOKUP(B40,'NY BackOrder'!A:J,10,FALSE)&amp;" set",IF(VLOOKUP(B40,'NY BackOrder'!A:J,10,FALSE)=0,"",VLOOKUP(B40,'NY BackOrder'!A:J,10,FALSE))),"")</f>
        <v/>
      </c>
      <c r="AB40" s="1356"/>
      <c r="AC40" s="1344" t="str">
        <f>IFERROR(IF(VLOOKUP(B40,'NY BackOrder'!A:K,11,FALSE)=0,"",VLOOKUP(B40,'NY BackOrder'!A:K,11,FALSE)),"")</f>
        <v/>
      </c>
      <c r="AD40" s="1345"/>
      <c r="AE40" s="1346"/>
      <c r="AF40" s="1344" t="str">
        <f t="array" ref="AF40">IFERROR(IF(AA40="","",_xlfn.CONCAT(IFERROR(MID(AA40,_xlfn.SEQUENCE(LEN(AA40)),1)*1,""))*AC40),"")</f>
        <v/>
      </c>
      <c r="AG40" s="1345"/>
      <c r="AH40" s="1346"/>
    </row>
    <row r="41" spans="2:34" ht="18.75" customHeight="1">
      <c r="B41" s="1438"/>
      <c r="C41" s="1340"/>
      <c r="D41" s="1341"/>
      <c r="E41" s="1342"/>
      <c r="F41" s="1342"/>
      <c r="G41" s="1343"/>
      <c r="H41" s="1347" t="str">
        <f>IFERROR(IF(VLOOKUP(B40,'NY BackOrder'!A:F,6,FALSE)="","",IF(VLOOKUP(B40,'NY BackOrder'!A:F,6,FALSE)=0,"",VLOOKUP(B40,'NY BackOrder'!A:F,6,FALSE))),"")</f>
        <v/>
      </c>
      <c r="I41" s="1348"/>
      <c r="J41" s="1348"/>
      <c r="K41" s="290" t="s">
        <v>358</v>
      </c>
      <c r="L41" s="1349" t="str">
        <f>IFERROR(IF(VLOOKUP(B40,'NY BackOrder'!A:E,5,FALSE)="","",IF(VLOOKUP(B40,'NY BackOrder'!A:G,7,FALSE)=0,"",VLOOKUP(B40,'NY BackOrder'!A:G,7,FALSE))),"")</f>
        <v/>
      </c>
      <c r="M41" s="1348"/>
      <c r="N41" s="1348"/>
      <c r="O41" s="1348"/>
      <c r="P41" s="1348"/>
      <c r="Q41" s="1348"/>
      <c r="R41" s="1348"/>
      <c r="S41" s="1348"/>
      <c r="T41" s="1350"/>
      <c r="U41" s="294" t="str">
        <f>IFERROR(IF(VLOOKUP(B40,'NY BackOrder'!A:M,13,FALSE)=0,"",(VLOOKUP(B40,'NY BackOrder'!A:M,13,FALSE))),"")</f>
        <v/>
      </c>
      <c r="V41" s="293"/>
      <c r="W41" s="1351"/>
      <c r="X41" s="1352"/>
      <c r="Y41" s="1353"/>
      <c r="Z41" s="1354"/>
      <c r="AA41" s="1355"/>
      <c r="AB41" s="1356"/>
      <c r="AC41" s="1344"/>
      <c r="AD41" s="1345"/>
      <c r="AE41" s="1346"/>
      <c r="AF41" s="1344"/>
      <c r="AG41" s="1345"/>
      <c r="AH41" s="1346"/>
    </row>
    <row r="42" spans="2:34" ht="18.75" customHeight="1">
      <c r="B42" s="1438"/>
      <c r="C42" s="1340" t="str">
        <f>IF(B42="","",C40+1)</f>
        <v/>
      </c>
      <c r="D42" s="1341" t="str">
        <f>IFERROR(IF(VLOOKUP(B42,'NY BackOrder'!A:C,3,FALSE)="","",VLOOKUP(B42,'NY BackOrder'!A:C,3,FALSE)),"")</f>
        <v/>
      </c>
      <c r="E42" s="1342"/>
      <c r="F42" s="1342"/>
      <c r="G42" s="1343"/>
      <c r="H42" s="1347" t="str">
        <f>IF(IFERROR(IF(VLOOKUP(B42,'NY BackOrder'!A:E,5,FALSE)="",VLOOKUP(B42,'NY BackOrder'!A:G,7,FALSE),IF(VLOOKUP(B42,'NY BackOrder'!A:E,5,FALSE)=0,"",VLOOKUP(B42,'NY BackOrder'!A:E,5,FALSE))),"")=0,"",IFERROR(IF(VLOOKUP(B42,'NY BackOrder'!A:E,5,FALSE)="",VLOOKUP(B42,'NY BackOrder'!A:G,7,FALSE),IF(VLOOKUP(B42,'NY BackOrder'!A:E,5,FALSE)=0,"",VLOOKUP(B42,'NY BackOrder'!A:E,5,FALSE))),""))</f>
        <v/>
      </c>
      <c r="I42" s="1348"/>
      <c r="J42" s="1348"/>
      <c r="K42" s="1348"/>
      <c r="L42" s="1348"/>
      <c r="M42" s="1348"/>
      <c r="N42" s="1348"/>
      <c r="O42" s="1348"/>
      <c r="P42" s="1348"/>
      <c r="Q42" s="1348"/>
      <c r="R42" s="1348"/>
      <c r="S42" s="1348"/>
      <c r="T42" s="1348"/>
      <c r="U42" s="1348"/>
      <c r="V42" s="1437"/>
      <c r="W42" s="1351" t="str">
        <f>IFERROR(IF(VLOOKUP(B42,'NY BackOrder'!A:H,8,FALSE)=0,"",VLOOKUP(B42,'NY BackOrder'!A:H,8,FALSE)),"")</f>
        <v/>
      </c>
      <c r="X42" s="1352"/>
      <c r="Y42" s="1353" t="str">
        <f>IFERROR(IF(VLOOKUP(B42,'NY BackOrder'!A:I,9,FALSE)=0,"",VLOOKUP(B42,'NY BackOrder'!A:I,9,FALSE)),"")</f>
        <v/>
      </c>
      <c r="Z42" s="1354"/>
      <c r="AA42" s="1355" t="str">
        <f>IFERROR(IF(AND(H43="",ISNUMBER(VLOOKUP(B42,'NY BackOrder'!A:J,10,FALSE))),VLOOKUP(B42,'NY BackOrder'!A:J,10,FALSE)&amp;" set",IF(VLOOKUP(B42,'NY BackOrder'!A:J,10,FALSE)=0,"",VLOOKUP(B42,'NY BackOrder'!A:J,10,FALSE))),"")</f>
        <v/>
      </c>
      <c r="AB42" s="1356"/>
      <c r="AC42" s="1344" t="str">
        <f>IFERROR(IF(VLOOKUP(B42,'NY BackOrder'!A:K,11,FALSE)=0,"",VLOOKUP(B42,'NY BackOrder'!A:K,11,FALSE)),"")</f>
        <v/>
      </c>
      <c r="AD42" s="1345"/>
      <c r="AE42" s="1346"/>
      <c r="AF42" s="1344" t="str">
        <f t="array" ref="AF42">IFERROR(IF(AA42="","",_xlfn.CONCAT(IFERROR(MID(AA42,_xlfn.SEQUENCE(LEN(AA42)),1)*1,""))*AC42),"")</f>
        <v/>
      </c>
      <c r="AG42" s="1345"/>
      <c r="AH42" s="1346"/>
    </row>
    <row r="43" spans="2:34" ht="18.75" customHeight="1">
      <c r="B43" s="1438"/>
      <c r="C43" s="1340"/>
      <c r="D43" s="1341"/>
      <c r="E43" s="1342"/>
      <c r="F43" s="1342"/>
      <c r="G43" s="1343"/>
      <c r="H43" s="1347" t="str">
        <f>IFERROR(IF(VLOOKUP(B42,'NY BackOrder'!A:F,6,FALSE)="","",IF(VLOOKUP(B42,'NY BackOrder'!A:F,6,FALSE)=0,"",VLOOKUP(B42,'NY BackOrder'!A:F,6,FALSE))),"")</f>
        <v/>
      </c>
      <c r="I43" s="1348"/>
      <c r="J43" s="1348"/>
      <c r="K43" s="290" t="s">
        <v>358</v>
      </c>
      <c r="L43" s="1349" t="str">
        <f>IFERROR(IF(VLOOKUP(B42,'NY BackOrder'!A:E,5,FALSE)="","",IF(VLOOKUP(B42,'NY BackOrder'!A:G,7,FALSE)=0,"",VLOOKUP(B42,'NY BackOrder'!A:G,7,FALSE))),"")</f>
        <v/>
      </c>
      <c r="M43" s="1348"/>
      <c r="N43" s="1348"/>
      <c r="O43" s="1348"/>
      <c r="P43" s="1348"/>
      <c r="Q43" s="1348"/>
      <c r="R43" s="1348"/>
      <c r="S43" s="1348"/>
      <c r="T43" s="1350"/>
      <c r="U43" s="294" t="str">
        <f>IFERROR(IF(VLOOKUP(B42,'NY BackOrder'!A:M,13,FALSE)=0,"",(VLOOKUP(B42,'NY BackOrder'!A:M,13,FALSE))),"")</f>
        <v/>
      </c>
      <c r="V43" s="293"/>
      <c r="W43" s="1351"/>
      <c r="X43" s="1352"/>
      <c r="Y43" s="1353"/>
      <c r="Z43" s="1354"/>
      <c r="AA43" s="1355"/>
      <c r="AB43" s="1356"/>
      <c r="AC43" s="1344"/>
      <c r="AD43" s="1345"/>
      <c r="AE43" s="1346"/>
      <c r="AF43" s="1344"/>
      <c r="AG43" s="1345"/>
      <c r="AH43" s="1346"/>
    </row>
    <row r="44" spans="2:34" ht="18.75" customHeight="1">
      <c r="B44" s="1438"/>
      <c r="C44" s="1340" t="str">
        <f>IF(B44="","",C42+1)</f>
        <v/>
      </c>
      <c r="D44" s="1341" t="str">
        <f>IFERROR(IF(VLOOKUP(B44,'NY BackOrder'!A:C,3,FALSE)="","",VLOOKUP(B44,'NY BackOrder'!A:C,3,FALSE)),"")</f>
        <v/>
      </c>
      <c r="E44" s="1342"/>
      <c r="F44" s="1342"/>
      <c r="G44" s="1343"/>
      <c r="H44" s="1347" t="str">
        <f>IF(IFERROR(IF(VLOOKUP(B44,'NY BackOrder'!A:E,5,FALSE)="",VLOOKUP(B44,'NY BackOrder'!A:G,7,FALSE),IF(VLOOKUP(B44,'NY BackOrder'!A:E,5,FALSE)=0,"",VLOOKUP(B44,'NY BackOrder'!A:E,5,FALSE))),"")=0,"",IFERROR(IF(VLOOKUP(B44,'NY BackOrder'!A:E,5,FALSE)="",VLOOKUP(B44,'NY BackOrder'!A:G,7,FALSE),IF(VLOOKUP(B44,'NY BackOrder'!A:E,5,FALSE)=0,"",VLOOKUP(B44,'NY BackOrder'!A:E,5,FALSE))),""))</f>
        <v/>
      </c>
      <c r="I44" s="1348"/>
      <c r="J44" s="1348"/>
      <c r="K44" s="1348"/>
      <c r="L44" s="1348"/>
      <c r="M44" s="1348"/>
      <c r="N44" s="1348"/>
      <c r="O44" s="1348"/>
      <c r="P44" s="1348"/>
      <c r="Q44" s="1348"/>
      <c r="R44" s="1348"/>
      <c r="S44" s="1348"/>
      <c r="T44" s="1348"/>
      <c r="U44" s="1348"/>
      <c r="V44" s="1437"/>
      <c r="W44" s="1351" t="str">
        <f>IFERROR(IF(VLOOKUP(B44,'NY BackOrder'!A:H,8,FALSE)=0,"",VLOOKUP(B44,'NY BackOrder'!A:H,8,FALSE)),"")</f>
        <v/>
      </c>
      <c r="X44" s="1352"/>
      <c r="Y44" s="1353" t="str">
        <f>IFERROR(IF(VLOOKUP(B44,'NY BackOrder'!A:I,9,FALSE)=0,"",VLOOKUP(B44,'NY BackOrder'!A:I,9,FALSE)),"")</f>
        <v/>
      </c>
      <c r="Z44" s="1354"/>
      <c r="AA44" s="1355" t="str">
        <f>IFERROR(IF(AND(H45="",ISNUMBER(VLOOKUP(B44,'NY BackOrder'!A:J,10,FALSE))),VLOOKUP(B44,'NY BackOrder'!A:J,10,FALSE)&amp;" set",IF(VLOOKUP(B44,'NY BackOrder'!A:J,10,FALSE)=0,"",VLOOKUP(B44,'NY BackOrder'!A:J,10,FALSE))),"")</f>
        <v/>
      </c>
      <c r="AB44" s="1356"/>
      <c r="AC44" s="1344" t="str">
        <f>IFERROR(IF(VLOOKUP(B44,'NY BackOrder'!A:K,11,FALSE)=0,"",VLOOKUP(B44,'NY BackOrder'!A:K,11,FALSE)),"")</f>
        <v/>
      </c>
      <c r="AD44" s="1345"/>
      <c r="AE44" s="1346"/>
      <c r="AF44" s="1344" t="str">
        <f t="array" ref="AF44">IFERROR(IF(AA44="","",_xlfn.CONCAT(IFERROR(MID(AA44,_xlfn.SEQUENCE(LEN(AA44)),1)*1,""))*AC44),"")</f>
        <v/>
      </c>
      <c r="AG44" s="1345"/>
      <c r="AH44" s="1346"/>
    </row>
    <row r="45" spans="2:34" ht="18.75" customHeight="1">
      <c r="B45" s="1438"/>
      <c r="C45" s="1340"/>
      <c r="D45" s="1341"/>
      <c r="E45" s="1342"/>
      <c r="F45" s="1342"/>
      <c r="G45" s="1343"/>
      <c r="H45" s="1347" t="str">
        <f>IFERROR(IF(VLOOKUP(B44,'NY BackOrder'!A:F,6,FALSE)="","",IF(VLOOKUP(B44,'NY BackOrder'!A:F,6,FALSE)=0,"",VLOOKUP(B44,'NY BackOrder'!A:F,6,FALSE))),"")</f>
        <v/>
      </c>
      <c r="I45" s="1348"/>
      <c r="J45" s="1348"/>
      <c r="K45" s="290" t="s">
        <v>358</v>
      </c>
      <c r="L45" s="1349" t="str">
        <f>IFERROR(IF(VLOOKUP(B44,'NY BackOrder'!A:E,5,FALSE)="","",IF(VLOOKUP(B44,'NY BackOrder'!A:G,7,FALSE)=0,"",VLOOKUP(B44,'NY BackOrder'!A:G,7,FALSE))),"")</f>
        <v/>
      </c>
      <c r="M45" s="1348"/>
      <c r="N45" s="1348"/>
      <c r="O45" s="1348"/>
      <c r="P45" s="1348"/>
      <c r="Q45" s="1348"/>
      <c r="R45" s="1348"/>
      <c r="S45" s="1348"/>
      <c r="T45" s="1350"/>
      <c r="U45" s="294" t="str">
        <f>IFERROR(IF(VLOOKUP(B44,'NY BackOrder'!A:M,13,FALSE)=0,"",(VLOOKUP(B44,'NY BackOrder'!A:M,13,FALSE))),"")</f>
        <v/>
      </c>
      <c r="V45" s="293"/>
      <c r="W45" s="1351"/>
      <c r="X45" s="1352"/>
      <c r="Y45" s="1353"/>
      <c r="Z45" s="1354"/>
      <c r="AA45" s="1355"/>
      <c r="AB45" s="1356"/>
      <c r="AC45" s="1344"/>
      <c r="AD45" s="1345"/>
      <c r="AE45" s="1346"/>
      <c r="AF45" s="1344"/>
      <c r="AG45" s="1345"/>
      <c r="AH45" s="1346"/>
    </row>
    <row r="46" spans="2:34" ht="18.75" customHeight="1">
      <c r="B46" s="1438"/>
      <c r="C46" s="1340" t="str">
        <f>IF(B46="","",C44+1)</f>
        <v/>
      </c>
      <c r="D46" s="1341" t="str">
        <f>IFERROR(IF(VLOOKUP(B46,'NY BackOrder'!A:C,3,FALSE)="","",VLOOKUP(B46,'NY BackOrder'!A:C,3,FALSE)),"")</f>
        <v/>
      </c>
      <c r="E46" s="1342"/>
      <c r="F46" s="1342"/>
      <c r="G46" s="1343"/>
      <c r="H46" s="1347" t="str">
        <f>IF(IFERROR(IF(VLOOKUP(B46,'NY BackOrder'!A:E,5,FALSE)="",VLOOKUP(B46,'NY BackOrder'!A:G,7,FALSE),IF(VLOOKUP(B46,'NY BackOrder'!A:E,5,FALSE)=0,"",VLOOKUP(B46,'NY BackOrder'!A:E,5,FALSE))),"")=0,"",IFERROR(IF(VLOOKUP(B46,'NY BackOrder'!A:E,5,FALSE)="",VLOOKUP(B46,'NY BackOrder'!A:G,7,FALSE),IF(VLOOKUP(B46,'NY BackOrder'!A:E,5,FALSE)=0,"",VLOOKUP(B46,'NY BackOrder'!A:E,5,FALSE))),""))</f>
        <v/>
      </c>
      <c r="I46" s="1348"/>
      <c r="J46" s="1348"/>
      <c r="K46" s="1348"/>
      <c r="L46" s="1348"/>
      <c r="M46" s="1348"/>
      <c r="N46" s="1348"/>
      <c r="O46" s="1348"/>
      <c r="P46" s="1348"/>
      <c r="Q46" s="1348"/>
      <c r="R46" s="1348"/>
      <c r="S46" s="1348"/>
      <c r="T46" s="1348"/>
      <c r="U46" s="1348"/>
      <c r="V46" s="1437"/>
      <c r="W46" s="1351" t="str">
        <f>IFERROR(IF(VLOOKUP(B46,'NY BackOrder'!A:H,8,FALSE)=0,"",VLOOKUP(B46,'NY BackOrder'!A:H,8,FALSE)),"")</f>
        <v/>
      </c>
      <c r="X46" s="1352"/>
      <c r="Y46" s="1353" t="str">
        <f>IFERROR(IF(VLOOKUP(B46,'NY BackOrder'!A:I,9,FALSE)=0,"",VLOOKUP(B46,'NY BackOrder'!A:I,9,FALSE)),"")</f>
        <v/>
      </c>
      <c r="Z46" s="1354"/>
      <c r="AA46" s="1355" t="str">
        <f>IFERROR(IF(AND(H47="",ISNUMBER(VLOOKUP(B46,'NY BackOrder'!A:J,10,FALSE))),VLOOKUP(B46,'NY BackOrder'!A:J,10,FALSE)&amp;" set",IF(VLOOKUP(B46,'NY BackOrder'!A:J,10,FALSE)=0,"",VLOOKUP(B46,'NY BackOrder'!A:J,10,FALSE))),"")</f>
        <v/>
      </c>
      <c r="AB46" s="1356"/>
      <c r="AC46" s="1344" t="str">
        <f>IFERROR(IF(VLOOKUP(B46,'NY BackOrder'!A:K,11,FALSE)=0,"",VLOOKUP(B46,'NY BackOrder'!A:K,11,FALSE)),"")</f>
        <v/>
      </c>
      <c r="AD46" s="1345"/>
      <c r="AE46" s="1346"/>
      <c r="AF46" s="1344" t="str">
        <f t="array" ref="AF46">IFERROR(IF(AA46="","",_xlfn.CONCAT(IFERROR(MID(AA46,_xlfn.SEQUENCE(LEN(AA46)),1)*1,""))*AC46),"")</f>
        <v/>
      </c>
      <c r="AG46" s="1345"/>
      <c r="AH46" s="1346"/>
    </row>
    <row r="47" spans="2:34" ht="18.75" customHeight="1">
      <c r="B47" s="1438"/>
      <c r="C47" s="1340"/>
      <c r="D47" s="1341"/>
      <c r="E47" s="1342"/>
      <c r="F47" s="1342"/>
      <c r="G47" s="1343"/>
      <c r="H47" s="1347" t="str">
        <f>IFERROR(IF(VLOOKUP(B46,'NY BackOrder'!A:F,6,FALSE)="","",IF(VLOOKUP(B46,'NY BackOrder'!A:F,6,FALSE)=0,"",VLOOKUP(B46,'NY BackOrder'!A:F,6,FALSE))),"")</f>
        <v/>
      </c>
      <c r="I47" s="1348"/>
      <c r="J47" s="1348"/>
      <c r="K47" s="290" t="s">
        <v>358</v>
      </c>
      <c r="L47" s="1349" t="str">
        <f>IFERROR(IF(VLOOKUP(B46,'NY BackOrder'!A:E,5,FALSE)="","",IF(VLOOKUP(B46,'NY BackOrder'!A:G,7,FALSE)=0,"",VLOOKUP(B46,'NY BackOrder'!A:G,7,FALSE))),"")</f>
        <v/>
      </c>
      <c r="M47" s="1348"/>
      <c r="N47" s="1348"/>
      <c r="O47" s="1348"/>
      <c r="P47" s="1348"/>
      <c r="Q47" s="1348"/>
      <c r="R47" s="1348"/>
      <c r="S47" s="1348"/>
      <c r="T47" s="1350"/>
      <c r="U47" s="294" t="str">
        <f>IFERROR(IF(VLOOKUP(B46,'NY BackOrder'!A:M,13,FALSE)=0,"",(VLOOKUP(B46,'NY BackOrder'!A:M,13,FALSE))),"")</f>
        <v/>
      </c>
      <c r="V47" s="293"/>
      <c r="W47" s="1351"/>
      <c r="X47" s="1352"/>
      <c r="Y47" s="1353"/>
      <c r="Z47" s="1354"/>
      <c r="AA47" s="1355"/>
      <c r="AB47" s="1356"/>
      <c r="AC47" s="1344"/>
      <c r="AD47" s="1345"/>
      <c r="AE47" s="1346"/>
      <c r="AF47" s="1344"/>
      <c r="AG47" s="1345"/>
      <c r="AH47" s="1346"/>
    </row>
    <row r="48" spans="2:34" ht="18.75" customHeight="1">
      <c r="B48" s="1438"/>
      <c r="C48" s="1340" t="str">
        <f>IF(B48="","",C46+1)</f>
        <v/>
      </c>
      <c r="D48" s="1341" t="str">
        <f>IFERROR(IF(VLOOKUP(B48,'NY BackOrder'!A:C,3,FALSE)="","",VLOOKUP(B48,'NY BackOrder'!A:C,3,FALSE)),"")</f>
        <v/>
      </c>
      <c r="E48" s="1342"/>
      <c r="F48" s="1342"/>
      <c r="G48" s="1343"/>
      <c r="H48" s="1347" t="str">
        <f>IF(IFERROR(IF(VLOOKUP(B48,'NY BackOrder'!A:E,5,FALSE)="",VLOOKUP(B48,'NY BackOrder'!A:G,7,FALSE),IF(VLOOKUP(B48,'NY BackOrder'!A:E,5,FALSE)=0,"",VLOOKUP(B48,'NY BackOrder'!A:E,5,FALSE))),"")=0,"",IFERROR(IF(VLOOKUP(B48,'NY BackOrder'!A:E,5,FALSE)="",VLOOKUP(B48,'NY BackOrder'!A:G,7,FALSE),IF(VLOOKUP(B48,'NY BackOrder'!A:E,5,FALSE)=0,"",VLOOKUP(B48,'NY BackOrder'!A:E,5,FALSE))),""))</f>
        <v/>
      </c>
      <c r="I48" s="1348"/>
      <c r="J48" s="1348"/>
      <c r="K48" s="1348"/>
      <c r="L48" s="1348"/>
      <c r="M48" s="1348"/>
      <c r="N48" s="1348"/>
      <c r="O48" s="1348"/>
      <c r="P48" s="1348"/>
      <c r="Q48" s="1348"/>
      <c r="R48" s="1348"/>
      <c r="S48" s="1348"/>
      <c r="T48" s="1348"/>
      <c r="U48" s="1348"/>
      <c r="V48" s="1437"/>
      <c r="W48" s="1351" t="str">
        <f>IFERROR(IF(VLOOKUP(B48,'NY BackOrder'!A:H,8,FALSE)=0,"",VLOOKUP(B48,'NY BackOrder'!A:H,8,FALSE)),"")</f>
        <v/>
      </c>
      <c r="X48" s="1352"/>
      <c r="Y48" s="1353" t="str">
        <f>IFERROR(IF(VLOOKUP(B48,'NY BackOrder'!A:I,9,FALSE)=0,"",VLOOKUP(B48,'NY BackOrder'!A:I,9,FALSE)),"")</f>
        <v/>
      </c>
      <c r="Z48" s="1354"/>
      <c r="AA48" s="1355" t="str">
        <f>IFERROR(IF(AND(H49="",ISNUMBER(VLOOKUP(B48,'NY BackOrder'!A:J,10,FALSE))),VLOOKUP(B48,'NY BackOrder'!A:J,10,FALSE)&amp;" set",IF(VLOOKUP(B48,'NY BackOrder'!A:J,10,FALSE)=0,"",VLOOKUP(B48,'NY BackOrder'!A:J,10,FALSE))),"")</f>
        <v/>
      </c>
      <c r="AB48" s="1356"/>
      <c r="AC48" s="1344" t="str">
        <f>IFERROR(IF(VLOOKUP(B48,'NY BackOrder'!A:K,11,FALSE)=0,"",VLOOKUP(B48,'NY BackOrder'!A:K,11,FALSE)),"")</f>
        <v/>
      </c>
      <c r="AD48" s="1345"/>
      <c r="AE48" s="1346"/>
      <c r="AF48" s="1344" t="str">
        <f t="array" ref="AF48">IFERROR(IF(AA48="","",_xlfn.CONCAT(IFERROR(MID(AA48,_xlfn.SEQUENCE(LEN(AA48)),1)*1,""))*AC48),"")</f>
        <v/>
      </c>
      <c r="AG48" s="1345"/>
      <c r="AH48" s="1346"/>
    </row>
    <row r="49" spans="2:34" ht="18.75" customHeight="1">
      <c r="B49" s="1438"/>
      <c r="C49" s="1340"/>
      <c r="D49" s="1341"/>
      <c r="E49" s="1342"/>
      <c r="F49" s="1342"/>
      <c r="G49" s="1343"/>
      <c r="H49" s="1347" t="str">
        <f>IFERROR(IF(VLOOKUP(B48,'NY BackOrder'!A:F,6,FALSE)="","",IF(VLOOKUP(B48,'NY BackOrder'!A:F,6,FALSE)=0,"",VLOOKUP(B48,'NY BackOrder'!A:F,6,FALSE))),"")</f>
        <v/>
      </c>
      <c r="I49" s="1348"/>
      <c r="J49" s="1348"/>
      <c r="K49" s="290" t="s">
        <v>358</v>
      </c>
      <c r="L49" s="1349" t="str">
        <f>IFERROR(IF(VLOOKUP(B48,'NY BackOrder'!A:E,5,FALSE)="","",IF(VLOOKUP(B48,'NY BackOrder'!A:G,7,FALSE)=0,"",VLOOKUP(B48,'NY BackOrder'!A:G,7,FALSE))),"")</f>
        <v/>
      </c>
      <c r="M49" s="1348"/>
      <c r="N49" s="1348"/>
      <c r="O49" s="1348"/>
      <c r="P49" s="1348"/>
      <c r="Q49" s="1348"/>
      <c r="R49" s="1348"/>
      <c r="S49" s="1348"/>
      <c r="T49" s="1350"/>
      <c r="U49" s="294" t="str">
        <f>IFERROR(IF(VLOOKUP(B48,'NY BackOrder'!A:M,13,FALSE)=0,"",(VLOOKUP(B48,'NY BackOrder'!A:M,13,FALSE))),"")</f>
        <v/>
      </c>
      <c r="V49" s="293"/>
      <c r="W49" s="1351"/>
      <c r="X49" s="1352"/>
      <c r="Y49" s="1353"/>
      <c r="Z49" s="1354"/>
      <c r="AA49" s="1355"/>
      <c r="AB49" s="1356"/>
      <c r="AC49" s="1344"/>
      <c r="AD49" s="1345"/>
      <c r="AE49" s="1346"/>
      <c r="AF49" s="1344"/>
      <c r="AG49" s="1345"/>
      <c r="AH49" s="1346"/>
    </row>
    <row r="50" spans="2:34" ht="18.75" customHeight="1">
      <c r="B50" s="1438"/>
      <c r="C50" s="1340" t="str">
        <f>IF(B50="","",C48+1)</f>
        <v/>
      </c>
      <c r="D50" s="1341" t="str">
        <f>IFERROR(IF(VLOOKUP(B50,'NY BackOrder'!A:C,3,FALSE)="","",VLOOKUP(B50,'NY BackOrder'!A:C,3,FALSE)),"")</f>
        <v/>
      </c>
      <c r="E50" s="1342"/>
      <c r="F50" s="1342"/>
      <c r="G50" s="1343"/>
      <c r="H50" s="1347" t="str">
        <f>IF(IFERROR(IF(VLOOKUP(B50,'NY BackOrder'!A:E,5,FALSE)="",VLOOKUP(B50,'NY BackOrder'!A:G,7,FALSE),IF(VLOOKUP(B50,'NY BackOrder'!A:E,5,FALSE)=0,"",VLOOKUP(B50,'NY BackOrder'!A:E,5,FALSE))),"")=0,"",IFERROR(IF(VLOOKUP(B50,'NY BackOrder'!A:E,5,FALSE)="",VLOOKUP(B50,'NY BackOrder'!A:G,7,FALSE),IF(VLOOKUP(B50,'NY BackOrder'!A:E,5,FALSE)=0,"",VLOOKUP(B50,'NY BackOrder'!A:E,5,FALSE))),""))</f>
        <v/>
      </c>
      <c r="I50" s="1348"/>
      <c r="J50" s="1348"/>
      <c r="K50" s="1348"/>
      <c r="L50" s="1348"/>
      <c r="M50" s="1348"/>
      <c r="N50" s="1348"/>
      <c r="O50" s="1348"/>
      <c r="P50" s="1348"/>
      <c r="Q50" s="1348"/>
      <c r="R50" s="1348"/>
      <c r="S50" s="1348"/>
      <c r="T50" s="1348"/>
      <c r="U50" s="1348"/>
      <c r="V50" s="1437"/>
      <c r="W50" s="1351" t="str">
        <f>IFERROR(IF(VLOOKUP(B50,'NY BackOrder'!A:H,8,FALSE)=0,"",VLOOKUP(B50,'NY BackOrder'!A:H,8,FALSE)),"")</f>
        <v/>
      </c>
      <c r="X50" s="1352"/>
      <c r="Y50" s="1353" t="str">
        <f>IFERROR(IF(VLOOKUP(B50,'NY BackOrder'!A:I,9,FALSE)=0,"",VLOOKUP(B50,'NY BackOrder'!A:I,9,FALSE)),"")</f>
        <v/>
      </c>
      <c r="Z50" s="1354"/>
      <c r="AA50" s="1355" t="str">
        <f>IFERROR(IF(AND(H51="",ISNUMBER(VLOOKUP(B50,'NY BackOrder'!A:J,10,FALSE))),VLOOKUP(B50,'NY BackOrder'!A:J,10,FALSE)&amp;" set",IF(VLOOKUP(B50,'NY BackOrder'!A:J,10,FALSE)=0,"",VLOOKUP(B50,'NY BackOrder'!A:J,10,FALSE))),"")</f>
        <v/>
      </c>
      <c r="AB50" s="1356"/>
      <c r="AC50" s="1344" t="str">
        <f>IFERROR(IF(VLOOKUP(B50,'NY BackOrder'!A:K,11,FALSE)=0,"",VLOOKUP(B50,'NY BackOrder'!A:K,11,FALSE)),"")</f>
        <v/>
      </c>
      <c r="AD50" s="1345"/>
      <c r="AE50" s="1346"/>
      <c r="AF50" s="1344" t="str">
        <f t="array" ref="AF50">IFERROR(IF(AA50="","",_xlfn.CONCAT(IFERROR(MID(AA50,_xlfn.SEQUENCE(LEN(AA50)),1)*1,""))*AC50),"")</f>
        <v/>
      </c>
      <c r="AG50" s="1345"/>
      <c r="AH50" s="1346"/>
    </row>
    <row r="51" spans="2:34" ht="18.75" customHeight="1">
      <c r="B51" s="1438"/>
      <c r="C51" s="1340"/>
      <c r="D51" s="1341"/>
      <c r="E51" s="1342"/>
      <c r="F51" s="1342"/>
      <c r="G51" s="1343"/>
      <c r="H51" s="1347" t="str">
        <f>IFERROR(IF(VLOOKUP(B50,'NY BackOrder'!A:F,6,FALSE)="","",IF(VLOOKUP(B50,'NY BackOrder'!A:F,6,FALSE)=0,"",VLOOKUP(B50,'NY BackOrder'!A:F,6,FALSE))),"")</f>
        <v/>
      </c>
      <c r="I51" s="1348"/>
      <c r="J51" s="1348"/>
      <c r="K51" s="290" t="s">
        <v>358</v>
      </c>
      <c r="L51" s="1349" t="str">
        <f>IFERROR(IF(VLOOKUP(B50,'NY BackOrder'!A:E,5,FALSE)="","",IF(VLOOKUP(B50,'NY BackOrder'!A:G,7,FALSE)=0,"",VLOOKUP(B50,'NY BackOrder'!A:G,7,FALSE))),"")</f>
        <v/>
      </c>
      <c r="M51" s="1348"/>
      <c r="N51" s="1348"/>
      <c r="O51" s="1348"/>
      <c r="P51" s="1348"/>
      <c r="Q51" s="1348"/>
      <c r="R51" s="1348"/>
      <c r="S51" s="1348"/>
      <c r="T51" s="1350"/>
      <c r="U51" s="294" t="str">
        <f>IFERROR(IF(VLOOKUP(B50,'NY BackOrder'!A:M,13,FALSE)=0,"",(VLOOKUP(B50,'NY BackOrder'!A:M,13,FALSE))),"")</f>
        <v/>
      </c>
      <c r="V51" s="293"/>
      <c r="W51" s="1351"/>
      <c r="X51" s="1352"/>
      <c r="Y51" s="1353"/>
      <c r="Z51" s="1354"/>
      <c r="AA51" s="1355"/>
      <c r="AB51" s="1356"/>
      <c r="AC51" s="1344"/>
      <c r="AD51" s="1345"/>
      <c r="AE51" s="1346"/>
      <c r="AF51" s="1344"/>
      <c r="AG51" s="1345"/>
      <c r="AH51" s="1346"/>
    </row>
    <row r="52" spans="2:34" ht="18.75" customHeight="1">
      <c r="B52" s="1438"/>
      <c r="C52" s="1340" t="str">
        <f>IF(B52="","",C50+1)</f>
        <v/>
      </c>
      <c r="D52" s="1341" t="str">
        <f>IFERROR(IF(VLOOKUP(B52,'NY BackOrder'!A:C,3,FALSE)="","",VLOOKUP(B52,'NY BackOrder'!A:C,3,FALSE)),"")</f>
        <v/>
      </c>
      <c r="E52" s="1342"/>
      <c r="F52" s="1342"/>
      <c r="G52" s="1343"/>
      <c r="H52" s="1347" t="str">
        <f>IF(IFERROR(IF(VLOOKUP(B52,'NY BackOrder'!A:E,5,FALSE)="",VLOOKUP(B52,'NY BackOrder'!A:G,7,FALSE),IF(VLOOKUP(B52,'NY BackOrder'!A:E,5,FALSE)=0,"",VLOOKUP(B52,'NY BackOrder'!A:E,5,FALSE))),"")=0,"",IFERROR(IF(VLOOKUP(B52,'NY BackOrder'!A:E,5,FALSE)="",VLOOKUP(B52,'NY BackOrder'!A:G,7,FALSE),IF(VLOOKUP(B52,'NY BackOrder'!A:E,5,FALSE)=0,"",VLOOKUP(B52,'NY BackOrder'!A:E,5,FALSE))),""))</f>
        <v/>
      </c>
      <c r="I52" s="1348"/>
      <c r="J52" s="1348"/>
      <c r="K52" s="1348"/>
      <c r="L52" s="1348"/>
      <c r="M52" s="1348"/>
      <c r="N52" s="1348"/>
      <c r="O52" s="1348"/>
      <c r="P52" s="1348"/>
      <c r="Q52" s="1348"/>
      <c r="R52" s="1348"/>
      <c r="S52" s="1348"/>
      <c r="T52" s="1348"/>
      <c r="U52" s="1348"/>
      <c r="V52" s="1437"/>
      <c r="W52" s="1351" t="str">
        <f>IFERROR(IF(VLOOKUP(B52,'NY BackOrder'!A:H,8,FALSE)=0,"",VLOOKUP(B52,'NY BackOrder'!A:H,8,FALSE)),"")</f>
        <v/>
      </c>
      <c r="X52" s="1352"/>
      <c r="Y52" s="1353" t="str">
        <f>IFERROR(IF(VLOOKUP(B52,'NY BackOrder'!A:I,9,FALSE)=0,"",VLOOKUP(B52,'NY BackOrder'!A:I,9,FALSE)),"")</f>
        <v/>
      </c>
      <c r="Z52" s="1354"/>
      <c r="AA52" s="1355" t="str">
        <f>IFERROR(IF(AND(H53="",ISNUMBER(VLOOKUP(B52,'NY BackOrder'!A:J,10,FALSE))),VLOOKUP(B52,'NY BackOrder'!A:J,10,FALSE)&amp;" set",IF(VLOOKUP(B52,'NY BackOrder'!A:J,10,FALSE)=0,"",VLOOKUP(B52,'NY BackOrder'!A:J,10,FALSE))),"")</f>
        <v/>
      </c>
      <c r="AB52" s="1356"/>
      <c r="AC52" s="1344" t="str">
        <f>IFERROR(IF(VLOOKUP(B52,'NY BackOrder'!A:K,11,FALSE)=0,"",VLOOKUP(B52,'NY BackOrder'!A:K,11,FALSE)),"")</f>
        <v/>
      </c>
      <c r="AD52" s="1345"/>
      <c r="AE52" s="1346"/>
      <c r="AF52" s="1344" t="str">
        <f t="array" ref="AF52">IFERROR(IF(AA52="","",_xlfn.CONCAT(IFERROR(MID(AA52,_xlfn.SEQUENCE(LEN(AA52)),1)*1,""))*AC52),"")</f>
        <v/>
      </c>
      <c r="AG52" s="1345"/>
      <c r="AH52" s="1346"/>
    </row>
    <row r="53" spans="2:34" ht="18.75" customHeight="1">
      <c r="B53" s="1438"/>
      <c r="C53" s="1340"/>
      <c r="D53" s="1434"/>
      <c r="E53" s="1435"/>
      <c r="F53" s="1435"/>
      <c r="G53" s="1436"/>
      <c r="H53" s="1494" t="str">
        <f>IFERROR(IF(VLOOKUP(B52,'NY BackOrder'!A:F,6,FALSE)="","",IF(VLOOKUP(B52,'NY BackOrder'!A:F,6,FALSE)=0,"",VLOOKUP(B52,'NY BackOrder'!A:F,6,FALSE))),"")</f>
        <v/>
      </c>
      <c r="I53" s="1474"/>
      <c r="J53" s="1474"/>
      <c r="K53" s="291" t="s">
        <v>358</v>
      </c>
      <c r="L53" s="1473" t="str">
        <f>IFERROR(IF(VLOOKUP(B52,'NY BackOrder'!A:E,5,FALSE)="","",IF(VLOOKUP(B52,'NY BackOrder'!A:G,7,FALSE)=0,"",VLOOKUP(B52,'NY BackOrder'!A:G,7,FALSE))),"")</f>
        <v/>
      </c>
      <c r="M53" s="1474"/>
      <c r="N53" s="1474"/>
      <c r="O53" s="1474"/>
      <c r="P53" s="1474"/>
      <c r="Q53" s="1474"/>
      <c r="R53" s="1474"/>
      <c r="S53" s="1474"/>
      <c r="T53" s="1475"/>
      <c r="U53" s="279" t="str">
        <f>IFERROR(IF(VLOOKUP(B52,'NY BackOrder'!A:M,13,FALSE)=0,"",(VLOOKUP(B52,'NY BackOrder'!A:M,13,FALSE))),"")</f>
        <v/>
      </c>
      <c r="V53" s="280"/>
      <c r="W53" s="1492"/>
      <c r="X53" s="1493"/>
      <c r="Y53" s="1451"/>
      <c r="Z53" s="1452"/>
      <c r="AA53" s="1453"/>
      <c r="AB53" s="1454"/>
      <c r="AC53" s="1443"/>
      <c r="AD53" s="1444"/>
      <c r="AE53" s="1445"/>
      <c r="AF53" s="1443"/>
      <c r="AG53" s="1444"/>
      <c r="AH53" s="1445"/>
    </row>
    <row r="54" spans="2:34" ht="18.75" customHeight="1">
      <c r="C54" s="277"/>
      <c r="D54" s="277"/>
      <c r="E54" s="277"/>
      <c r="F54" s="277"/>
      <c r="G54" s="1446"/>
      <c r="H54" s="1446"/>
      <c r="I54" s="1447"/>
      <c r="J54" s="1447"/>
      <c r="K54" s="277"/>
      <c r="L54" s="277"/>
      <c r="M54" s="277"/>
      <c r="N54" s="277"/>
      <c r="O54" s="277"/>
      <c r="P54" s="277"/>
      <c r="Q54" s="277"/>
      <c r="R54" s="277"/>
      <c r="S54" s="277"/>
      <c r="T54" s="277"/>
      <c r="U54" s="277"/>
      <c r="V54" s="277"/>
      <c r="W54" s="1446"/>
      <c r="X54" s="1446"/>
      <c r="Y54" s="1446"/>
      <c r="Z54" s="1446"/>
      <c r="AA54" s="1447"/>
      <c r="AB54" s="1448"/>
      <c r="AC54" s="1449" t="s">
        <v>340</v>
      </c>
      <c r="AD54" s="1450"/>
      <c r="AE54" s="1450"/>
      <c r="AF54" s="1470">
        <f>SUM(AF26:AH53)</f>
        <v>0</v>
      </c>
      <c r="AG54" s="1471"/>
      <c r="AH54" s="1472"/>
    </row>
    <row r="55" spans="2:34" ht="18.75" customHeight="1" thickBot="1">
      <c r="C55" s="269" t="s">
        <v>364</v>
      </c>
      <c r="AC55" s="1466" t="s">
        <v>360</v>
      </c>
      <c r="AD55" s="1467"/>
      <c r="AE55" s="1467"/>
      <c r="AF55" s="1440"/>
      <c r="AG55" s="1441"/>
      <c r="AH55" s="1442"/>
    </row>
    <row r="56" spans="2:34" ht="18.75" customHeight="1" thickBot="1">
      <c r="C56" s="269" t="s">
        <v>366</v>
      </c>
      <c r="N56" s="269" t="s">
        <v>371</v>
      </c>
      <c r="AC56" s="1490" t="s">
        <v>341</v>
      </c>
      <c r="AD56" s="1491"/>
      <c r="AE56" s="1491"/>
      <c r="AF56" s="1460">
        <f>SUM(AF54:AH55)</f>
        <v>0</v>
      </c>
      <c r="AG56" s="1461"/>
      <c r="AH56" s="1462"/>
    </row>
    <row r="57" spans="2:34" ht="18.75" customHeight="1">
      <c r="C57" s="292" t="s">
        <v>367</v>
      </c>
      <c r="N57" s="1489" t="s">
        <v>372</v>
      </c>
      <c r="O57" s="1489"/>
      <c r="P57" s="1489"/>
      <c r="Q57" s="1489"/>
      <c r="R57" s="1489"/>
      <c r="S57" s="1489"/>
      <c r="T57" s="1489"/>
      <c r="U57" s="1489"/>
      <c r="V57" s="1489"/>
    </row>
    <row r="58" spans="2:34" ht="18.75" customHeight="1">
      <c r="C58" s="269" t="s">
        <v>368</v>
      </c>
      <c r="N58" s="1489" t="s">
        <v>373</v>
      </c>
      <c r="O58" s="1489"/>
      <c r="P58" s="1489"/>
      <c r="Q58" s="1438"/>
      <c r="R58" s="1438"/>
      <c r="S58" s="1438"/>
      <c r="T58" s="1438"/>
    </row>
    <row r="59" spans="2:34" ht="18.75" customHeight="1">
      <c r="C59" s="269" t="s">
        <v>369</v>
      </c>
      <c r="Y59" s="292" t="s">
        <v>374</v>
      </c>
      <c r="Z59" s="292"/>
      <c r="AA59" s="292"/>
      <c r="AB59" s="292"/>
      <c r="AC59" s="292"/>
      <c r="AD59" s="292"/>
      <c r="AE59" s="292"/>
      <c r="AF59" s="292"/>
      <c r="AG59" s="292"/>
      <c r="AH59" s="292"/>
    </row>
    <row r="60" spans="2:34" ht="18.75" customHeight="1">
      <c r="C60" s="269" t="s">
        <v>370</v>
      </c>
      <c r="Y60" s="1438"/>
      <c r="Z60" s="1438"/>
      <c r="AA60" s="1438"/>
      <c r="AB60" s="1438"/>
      <c r="AC60" s="1438"/>
      <c r="AD60" s="1438"/>
      <c r="AE60" s="1438"/>
      <c r="AF60" s="1438"/>
      <c r="AG60" s="1438"/>
      <c r="AH60" s="1438"/>
    </row>
    <row r="61" spans="2:34" ht="18.75" customHeight="1">
      <c r="Y61" s="1438"/>
      <c r="Z61" s="1438"/>
      <c r="AA61" s="1438"/>
      <c r="AB61" s="1438"/>
      <c r="AC61" s="1438"/>
      <c r="AD61" s="1438"/>
      <c r="AE61" s="1438"/>
      <c r="AF61" s="1438"/>
      <c r="AG61" s="1438"/>
      <c r="AH61" s="1438"/>
    </row>
    <row r="62" spans="2:34" ht="18.75" customHeight="1" thickBot="1">
      <c r="Y62" s="1439"/>
      <c r="Z62" s="1439"/>
      <c r="AA62" s="1439"/>
      <c r="AB62" s="1439"/>
      <c r="AC62" s="1439"/>
      <c r="AD62" s="1439"/>
      <c r="AE62" s="1439"/>
      <c r="AF62" s="1439"/>
      <c r="AG62" s="1439"/>
      <c r="AH62" s="1439"/>
    </row>
    <row r="63" spans="2:34" ht="18.75" customHeight="1">
      <c r="Y63" s="1455" t="s">
        <v>375</v>
      </c>
      <c r="Z63" s="1455"/>
      <c r="AA63" s="1455"/>
      <c r="AB63" s="1455"/>
      <c r="AC63" s="1455"/>
      <c r="AD63" s="1455"/>
      <c r="AE63" s="1455"/>
      <c r="AF63" s="1455"/>
      <c r="AG63" s="1455"/>
      <c r="AH63" s="1455"/>
    </row>
  </sheetData>
  <mergeCells count="238">
    <mergeCell ref="B52:B53"/>
    <mergeCell ref="W52:X53"/>
    <mergeCell ref="H53:J53"/>
    <mergeCell ref="B40:B41"/>
    <mergeCell ref="B48:B49"/>
    <mergeCell ref="W40:X41"/>
    <mergeCell ref="AF36:AH37"/>
    <mergeCell ref="AF34:AH35"/>
    <mergeCell ref="Y40:Z41"/>
    <mergeCell ref="H41:J41"/>
    <mergeCell ref="L41:T41"/>
    <mergeCell ref="B42:B43"/>
    <mergeCell ref="B44:B45"/>
    <mergeCell ref="B46:B47"/>
    <mergeCell ref="C48:C49"/>
    <mergeCell ref="C52:C53"/>
    <mergeCell ref="B50:B51"/>
    <mergeCell ref="C50:C51"/>
    <mergeCell ref="AC38:AE39"/>
    <mergeCell ref="N58:P58"/>
    <mergeCell ref="Q58:T58"/>
    <mergeCell ref="Y50:Z51"/>
    <mergeCell ref="H40:V40"/>
    <mergeCell ref="N57:P57"/>
    <mergeCell ref="Q57:V57"/>
    <mergeCell ref="G54:H54"/>
    <mergeCell ref="AF52:AH53"/>
    <mergeCell ref="AA40:AB41"/>
    <mergeCell ref="AC40:AE41"/>
    <mergeCell ref="AF40:AH41"/>
    <mergeCell ref="AC56:AE56"/>
    <mergeCell ref="D48:G49"/>
    <mergeCell ref="H48:V48"/>
    <mergeCell ref="H51:J51"/>
    <mergeCell ref="L51:T51"/>
    <mergeCell ref="H50:V50"/>
    <mergeCell ref="D50:G51"/>
    <mergeCell ref="W50:X51"/>
    <mergeCell ref="H46:V46"/>
    <mergeCell ref="W48:X49"/>
    <mergeCell ref="I54:J54"/>
    <mergeCell ref="B28:B29"/>
    <mergeCell ref="W28:X29"/>
    <mergeCell ref="AA28:AB29"/>
    <mergeCell ref="AC28:AE29"/>
    <mergeCell ref="AF28:AH29"/>
    <mergeCell ref="B26:B27"/>
    <mergeCell ref="H27:J27"/>
    <mergeCell ref="L27:T27"/>
    <mergeCell ref="AF30:AH31"/>
    <mergeCell ref="AF26:AH27"/>
    <mergeCell ref="AC26:AE27"/>
    <mergeCell ref="AA26:AB27"/>
    <mergeCell ref="Y26:Z27"/>
    <mergeCell ref="W26:X27"/>
    <mergeCell ref="W30:X31"/>
    <mergeCell ref="L31:T31"/>
    <mergeCell ref="Y30:Z31"/>
    <mergeCell ref="AA30:AB31"/>
    <mergeCell ref="AC30:AE31"/>
    <mergeCell ref="H31:J31"/>
    <mergeCell ref="H29:J29"/>
    <mergeCell ref="B30:B31"/>
    <mergeCell ref="H28:V28"/>
    <mergeCell ref="H30:V30"/>
    <mergeCell ref="B32:B33"/>
    <mergeCell ref="L33:T33"/>
    <mergeCell ref="L39:T39"/>
    <mergeCell ref="C44:C45"/>
    <mergeCell ref="D44:G45"/>
    <mergeCell ref="H44:V44"/>
    <mergeCell ref="H32:V32"/>
    <mergeCell ref="B34:B35"/>
    <mergeCell ref="H35:J35"/>
    <mergeCell ref="H33:J33"/>
    <mergeCell ref="B38:B39"/>
    <mergeCell ref="H39:J39"/>
    <mergeCell ref="B36:B37"/>
    <mergeCell ref="H38:V38"/>
    <mergeCell ref="H37:J37"/>
    <mergeCell ref="L37:T37"/>
    <mergeCell ref="Y63:AH63"/>
    <mergeCell ref="G2:M2"/>
    <mergeCell ref="G1:M1"/>
    <mergeCell ref="C1:F1"/>
    <mergeCell ref="C2:F2"/>
    <mergeCell ref="AF24:AH25"/>
    <mergeCell ref="AC24:AE25"/>
    <mergeCell ref="AF56:AH56"/>
    <mergeCell ref="AC23:AH23"/>
    <mergeCell ref="AC55:AE55"/>
    <mergeCell ref="U25:V25"/>
    <mergeCell ref="AF54:AH54"/>
    <mergeCell ref="L29:T29"/>
    <mergeCell ref="L53:T53"/>
    <mergeCell ref="L35:T35"/>
    <mergeCell ref="AA25:AB25"/>
    <mergeCell ref="Y25:Z25"/>
    <mergeCell ref="W25:X25"/>
    <mergeCell ref="H36:V36"/>
    <mergeCell ref="AA44:AB45"/>
    <mergeCell ref="Y32:Z33"/>
    <mergeCell ref="AA32:AB33"/>
    <mergeCell ref="AA34:AB35"/>
    <mergeCell ref="AC34:AE35"/>
    <mergeCell ref="Y60:AH62"/>
    <mergeCell ref="AC46:AE47"/>
    <mergeCell ref="AF46:AH47"/>
    <mergeCell ref="AC48:AE49"/>
    <mergeCell ref="AF48:AH49"/>
    <mergeCell ref="AF55:AH55"/>
    <mergeCell ref="AC52:AE53"/>
    <mergeCell ref="Y48:Z49"/>
    <mergeCell ref="AA48:AB49"/>
    <mergeCell ref="AA50:AB51"/>
    <mergeCell ref="AC50:AE51"/>
    <mergeCell ref="AF50:AH51"/>
    <mergeCell ref="W54:Z54"/>
    <mergeCell ref="AA54:AB54"/>
    <mergeCell ref="AC54:AE54"/>
    <mergeCell ref="Y52:Z53"/>
    <mergeCell ref="AA52:AB53"/>
    <mergeCell ref="C28:C29"/>
    <mergeCell ref="D52:G53"/>
    <mergeCell ref="H52:V52"/>
    <mergeCell ref="AC32:AE33"/>
    <mergeCell ref="AA36:AB37"/>
    <mergeCell ref="AC36:AE37"/>
    <mergeCell ref="W46:X47"/>
    <mergeCell ref="Y46:Z47"/>
    <mergeCell ref="AA46:AB47"/>
    <mergeCell ref="H47:J47"/>
    <mergeCell ref="L47:T47"/>
    <mergeCell ref="C46:C47"/>
    <mergeCell ref="D46:G47"/>
    <mergeCell ref="H49:J49"/>
    <mergeCell ref="L49:T49"/>
    <mergeCell ref="C34:C35"/>
    <mergeCell ref="C36:C37"/>
    <mergeCell ref="C38:C39"/>
    <mergeCell ref="C40:C41"/>
    <mergeCell ref="C42:C43"/>
    <mergeCell ref="H34:V34"/>
    <mergeCell ref="Y28:Z29"/>
    <mergeCell ref="AA42:AB43"/>
    <mergeCell ref="H42:V42"/>
    <mergeCell ref="C20:K20"/>
    <mergeCell ref="U20:Y20"/>
    <mergeCell ref="G17:T17"/>
    <mergeCell ref="U17:V17"/>
    <mergeCell ref="W17:Z17"/>
    <mergeCell ref="C22:K22"/>
    <mergeCell ref="U22:Y22"/>
    <mergeCell ref="C23:K23"/>
    <mergeCell ref="H26:V26"/>
    <mergeCell ref="U23:Z23"/>
    <mergeCell ref="L21:T21"/>
    <mergeCell ref="U21:Z21"/>
    <mergeCell ref="L23:T23"/>
    <mergeCell ref="C14:F19"/>
    <mergeCell ref="G19:T19"/>
    <mergeCell ref="D26:G27"/>
    <mergeCell ref="D24:G25"/>
    <mergeCell ref="C24:C25"/>
    <mergeCell ref="C26:C27"/>
    <mergeCell ref="W24:AB24"/>
    <mergeCell ref="H24:V24"/>
    <mergeCell ref="C4:T7"/>
    <mergeCell ref="U4:AH5"/>
    <mergeCell ref="U6:V6"/>
    <mergeCell ref="W6:AH6"/>
    <mergeCell ref="U7:V7"/>
    <mergeCell ref="X7:Y7"/>
    <mergeCell ref="AD7:AF7"/>
    <mergeCell ref="AG7:AH7"/>
    <mergeCell ref="U13:V13"/>
    <mergeCell ref="W13:AH13"/>
    <mergeCell ref="C8:F13"/>
    <mergeCell ref="G8:T8"/>
    <mergeCell ref="U8:Z8"/>
    <mergeCell ref="AA8:AH8"/>
    <mergeCell ref="G9:T9"/>
    <mergeCell ref="U9:Z9"/>
    <mergeCell ref="AA9:AH9"/>
    <mergeCell ref="G10:T10"/>
    <mergeCell ref="G11:T11"/>
    <mergeCell ref="U11:Z11"/>
    <mergeCell ref="AA11:AH11"/>
    <mergeCell ref="G12:T12"/>
    <mergeCell ref="U12:AH12"/>
    <mergeCell ref="G13:T13"/>
    <mergeCell ref="U10:Z10"/>
    <mergeCell ref="AA10:AH10"/>
    <mergeCell ref="W15:AH15"/>
    <mergeCell ref="G16:T16"/>
    <mergeCell ref="U16:V16"/>
    <mergeCell ref="W16:AH16"/>
    <mergeCell ref="AA17:AC17"/>
    <mergeCell ref="AD17:AH17"/>
    <mergeCell ref="G18:T18"/>
    <mergeCell ref="U18:AH18"/>
    <mergeCell ref="G14:T14"/>
    <mergeCell ref="U14:V14"/>
    <mergeCell ref="W14:AH14"/>
    <mergeCell ref="G15:T15"/>
    <mergeCell ref="U15:V15"/>
    <mergeCell ref="D28:G29"/>
    <mergeCell ref="D30:G31"/>
    <mergeCell ref="D32:G33"/>
    <mergeCell ref="D34:G35"/>
    <mergeCell ref="AC44:AE45"/>
    <mergeCell ref="AF44:AH45"/>
    <mergeCell ref="H45:J45"/>
    <mergeCell ref="L45:T45"/>
    <mergeCell ref="W44:X45"/>
    <mergeCell ref="Y44:Z45"/>
    <mergeCell ref="AF32:AH33"/>
    <mergeCell ref="AF38:AH39"/>
    <mergeCell ref="W34:X35"/>
    <mergeCell ref="Y34:Z35"/>
    <mergeCell ref="W32:X33"/>
    <mergeCell ref="W38:X39"/>
    <mergeCell ref="W36:X37"/>
    <mergeCell ref="Y36:Z37"/>
    <mergeCell ref="Y38:Z39"/>
    <mergeCell ref="AA38:AB39"/>
    <mergeCell ref="C30:C31"/>
    <mergeCell ref="C32:C33"/>
    <mergeCell ref="D36:G37"/>
    <mergeCell ref="D38:G39"/>
    <mergeCell ref="D40:G41"/>
    <mergeCell ref="D42:G43"/>
    <mergeCell ref="AC42:AE43"/>
    <mergeCell ref="AF42:AH43"/>
    <mergeCell ref="H43:J43"/>
    <mergeCell ref="L43:T43"/>
    <mergeCell ref="W42:X43"/>
    <mergeCell ref="Y42:Z43"/>
  </mergeCells>
  <phoneticPr fontId="3"/>
  <conditionalFormatting sqref="G21">
    <cfRule type="notContainsBlanks" dxfId="12" priority="13" stopIfTrue="1">
      <formula>LEN(TRIM(G21))&gt;0</formula>
    </cfRule>
    <cfRule type="expression" dxfId="11" priority="14" stopIfTrue="1">
      <formula>$C$21="Other"</formula>
    </cfRule>
    <cfRule type="expression" dxfId="10" priority="15" stopIfTrue="1">
      <formula>$C$21="AIR"</formula>
    </cfRule>
    <cfRule type="expression" dxfId="9" priority="17" stopIfTrue="1">
      <formula>$C$21="Vessel"</formula>
    </cfRule>
  </conditionalFormatting>
  <conditionalFormatting sqref="C21:F21">
    <cfRule type="expression" dxfId="8" priority="16" stopIfTrue="1">
      <formula>$C$21="(SELECT)"</formula>
    </cfRule>
  </conditionalFormatting>
  <conditionalFormatting sqref="L21:Z21">
    <cfRule type="containsBlanks" dxfId="7" priority="12" stopIfTrue="1">
      <formula>LEN(TRIM(L21))=0</formula>
    </cfRule>
  </conditionalFormatting>
  <conditionalFormatting sqref="U19:V19">
    <cfRule type="expression" dxfId="6" priority="11" stopIfTrue="1">
      <formula>$U$19="(SELECT)"</formula>
    </cfRule>
  </conditionalFormatting>
  <conditionalFormatting sqref="AG7:AH7">
    <cfRule type="containsBlanks" dxfId="5" priority="10" stopIfTrue="1">
      <formula>LEN(TRIM(AG7))=0</formula>
    </cfRule>
  </conditionalFormatting>
  <conditionalFormatting sqref="C23:Z23">
    <cfRule type="containsBlanks" dxfId="4" priority="9" stopIfTrue="1">
      <formula>LEN(TRIM(C23))=0</formula>
    </cfRule>
  </conditionalFormatting>
  <conditionalFormatting sqref="AC23:AH23">
    <cfRule type="containsBlanks" dxfId="3" priority="8" stopIfTrue="1">
      <formula>LEN(TRIM(AC23))=0</formula>
    </cfRule>
  </conditionalFormatting>
  <conditionalFormatting sqref="G8:T13">
    <cfRule type="expression" dxfId="2" priority="7" stopIfTrue="1">
      <formula>$G$8=""</formula>
    </cfRule>
  </conditionalFormatting>
  <conditionalFormatting sqref="G14:T19">
    <cfRule type="expression" dxfId="1" priority="6" stopIfTrue="1">
      <formula>$G$14=""</formula>
    </cfRule>
  </conditionalFormatting>
  <conditionalFormatting sqref="H27:T27 H26 H29:T29 H28 H31:T31 H30 H33:T33 H32 H35:T35 H34 H37:T37 H36 H39:T39 H38 H41:T41 H40 H43:T43 H42 H45:T45 H44 H47:T47 H46 H49:T49 H48 H51:T51 H50 H53:T53 H52">
    <cfRule type="expression" dxfId="0" priority="3" stopIfTrue="1">
      <formula>COUNTIF($AC26,"*per*")</formula>
    </cfRule>
  </conditionalFormatting>
  <dataValidations count="3">
    <dataValidation type="list" allowBlank="1" showInputMessage="1" showErrorMessage="1" sqref="U19:V19" xr:uid="{00000000-0002-0000-0800-000000000000}">
      <formula1>"(SELECT),Advanced Payment,NET 30days,NET 60days"</formula1>
    </dataValidation>
    <dataValidation type="list" allowBlank="1" showInputMessage="1" showErrorMessage="1" sqref="K27 K49 K29 K31 K33 K35 K37 K51 K43 K45 K39 K41 K47 K53" xr:uid="{00000000-0002-0000-0800-000001000000}">
      <formula1>"mm,cm,m,　"</formula1>
    </dataValidation>
    <dataValidation type="list" allowBlank="1" showInputMessage="1" showErrorMessage="1" sqref="C21:F21" xr:uid="{00000000-0002-0000-0800-000002000000}">
      <formula1>"(SELECT),FedEx,UPS,DHL,Other,Vessel,AIR"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22</xdr:col>
                    <xdr:colOff>19050</xdr:colOff>
                    <xdr:row>5</xdr:row>
                    <xdr:rowOff>228600</xdr:rowOff>
                  </from>
                  <to>
                    <xdr:col>22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25</xdr:col>
                    <xdr:colOff>133350</xdr:colOff>
                    <xdr:row>5</xdr:row>
                    <xdr:rowOff>228600</xdr:rowOff>
                  </from>
                  <to>
                    <xdr:col>26</xdr:col>
                    <xdr:colOff>66675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8</vt:i4>
      </vt:variant>
    </vt:vector>
  </HeadingPairs>
  <TitlesOfParts>
    <vt:vector size="19" baseType="lpstr">
      <vt:lpstr>NY BackOrder</vt:lpstr>
      <vt:lpstr>取引先マスタ</vt:lpstr>
      <vt:lpstr>仕入先マスタ</vt:lpstr>
      <vt:lpstr>Invoice(SF米国)</vt:lpstr>
      <vt:lpstr>Invoice(SF大阪)</vt:lpstr>
      <vt:lpstr>発注書</vt:lpstr>
      <vt:lpstr>carton mark </vt:lpstr>
      <vt:lpstr>顧客連絡用シート</vt:lpstr>
      <vt:lpstr>Sheet2</vt:lpstr>
      <vt:lpstr>Sheet1</vt:lpstr>
      <vt:lpstr>Invoice(Sample)</vt:lpstr>
      <vt:lpstr>'carton mark '!Print_Area</vt:lpstr>
      <vt:lpstr>'Invoice(Sample)'!Print_Area</vt:lpstr>
      <vt:lpstr>'Invoice(SF大阪)'!Print_Area</vt:lpstr>
      <vt:lpstr>'Invoice(SF米国)'!Print_Area</vt:lpstr>
      <vt:lpstr>'NY BackOrder'!Print_Area</vt:lpstr>
      <vt:lpstr>発注書!Print_Area</vt:lpstr>
      <vt:lpstr>'Invoice(SF大阪)'!Print_Titles</vt:lpstr>
      <vt:lpstr>'Invoice(SF米国)'!Print_Titles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Ishida</dc:creator>
  <cp:lastModifiedBy>Megumi Chiba</cp:lastModifiedBy>
  <cp:lastPrinted>2025-06-11T06:14:12Z</cp:lastPrinted>
  <dcterms:created xsi:type="dcterms:W3CDTF">2004-11-16T02:15:36Z</dcterms:created>
  <dcterms:modified xsi:type="dcterms:W3CDTF">2026-04-02T09:27:08Z</dcterms:modified>
</cp:coreProperties>
</file>