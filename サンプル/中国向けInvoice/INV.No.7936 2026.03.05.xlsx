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F5AACD3E-DD0A-45A4-8F06-34D8898E3E9A}" xr6:coauthVersionLast="47" xr6:coauthVersionMax="47" xr10:uidLastSave="{00000000-0000-0000-0000-000000000000}"/>
  <bookViews>
    <workbookView xWindow="-28920" yWindow="-75" windowWidth="29040" windowHeight="15720" xr2:uid="{1B2882D9-DB91-4C65-8C95-1809003E465F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FE307AE4-0E7A-4754-A683-10A58BC504F0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<sst xmlns="http://schemas.openxmlformats.org/spreadsheetml/2006/main" count="543" uniqueCount="107">
  <si>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</si>
  <si>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</si>
  <si>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</si>
  <si>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</si>
  <si>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</si>
  <si>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</si>
  <si>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</si>
  <si>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</si>
  <si>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</si>
  <si>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</si>
  <si>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</si>
  <si>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</si>
  <si>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</si>
  <si>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</si>
  <si>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</si>
  <si>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</si>
  <si>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</si>
  <si>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</si>
  <si>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</si>
  <si>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</si>
  <si>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</si>
  <si>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</si>
  <si>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</si>
  <si>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</si>
  <si>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</si>
  <si>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</si>
  <si>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</si>
  <si>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</si>
  <si>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</si>
  <si>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</si>
  <si>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</si>
  <si>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</si>
  <si>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</si>
  <si>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</si>
  <si>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</si>
  <si>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</si>
  <si>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</si>
  <si>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</si>
  <si>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</si>
  <si>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</si>
  <si>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</si>
  <si>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</si>
  <si>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</si>
  <si>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</si>
  <si>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</si>
  <si>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</si>
  <si>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</si>
  <si>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</si>
  <si>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</si>
  <si>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</si>
  <si>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</si>
  <si>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</si>
  <si>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</si>
  <si>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</si>
  <si>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</si>
  <si>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</si>
  <si>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</si>
  <si>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</si>
  <si>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</si>
  <si>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</si>
  <si>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Bemberg Grosgrain Ribbon / 100% Cupro</t>
  </si>
  <si>
    <t>SHW-26001</t>
  </si>
  <si>
    <t>9mm</t>
  </si>
  <si>
    <t>30</t>
  </si>
  <si>
    <t>m</t>
  </si>
  <si>
    <t>roll</t>
  </si>
  <si>
    <t>90m</t>
  </si>
  <si>
    <t>Lace / 100% Cotton</t>
  </si>
  <si>
    <t>SHG-2026004</t>
  </si>
  <si>
    <t>KYL-3444-1</t>
  </si>
  <si>
    <t>Mill's Off White</t>
  </si>
  <si>
    <t>1</t>
  </si>
  <si>
    <t>13.5m</t>
  </si>
  <si>
    <t>Operon Rubber / 87% polyester, 13% Polyurethane</t>
  </si>
  <si>
    <t>SHA-26009</t>
  </si>
  <si>
    <t>FKS-10000</t>
  </si>
  <si>
    <t>70mm</t>
  </si>
  <si>
    <t>bk</t>
  </si>
  <si>
    <t>30m</t>
  </si>
  <si>
    <t>white</t>
  </si>
  <si>
    <t>FKS-10000S</t>
  </si>
  <si>
    <t>40mm</t>
  </si>
  <si>
    <t>60m</t>
  </si>
  <si>
    <t>SHW-26002</t>
  </si>
  <si>
    <t>20mm</t>
  </si>
  <si>
    <t>180m</t>
  </si>
  <si>
    <t>30mm</t>
  </si>
  <si>
    <t>300m</t>
  </si>
  <si>
    <t>Organic Cotton Herringbone Tape / 100% Cotton</t>
  </si>
  <si>
    <t>SHG-2026003</t>
  </si>
  <si>
    <t>E3911</t>
  </si>
  <si>
    <t>Recycled Polyester Stretch Herrigbone Tape / 100% Recycled Polyester</t>
  </si>
  <si>
    <t>SHA-26008</t>
  </si>
  <si>
    <t>E3921</t>
  </si>
  <si>
    <t>Torchon Lace / 100% Cotton</t>
  </si>
  <si>
    <t>SHW-26003</t>
  </si>
  <si>
    <t>FWL-2544</t>
  </si>
  <si>
    <t>Torchon Lace / 55% Nylon, 44% Polyester, 1% Polyurethane</t>
  </si>
  <si>
    <t>SHG-2026001</t>
  </si>
  <si>
    <t>DS.22090-S</t>
  </si>
  <si>
    <t xml:space="preserve">B </t>
  </si>
  <si>
    <t>set</t>
  </si>
  <si>
    <t>(per roll, m)</t>
    <phoneticPr fontId="4"/>
  </si>
  <si>
    <t>roll</t>
    <phoneticPr fontId="3"/>
  </si>
  <si>
    <t>Upcharge</t>
    <phoneticPr fontId="3"/>
  </si>
  <si>
    <t>Inland freight+Upcharge</t>
    <phoneticPr fontId="3"/>
  </si>
  <si>
    <t>889311796199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</si>
</sst>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52D7E46-9C73-4BE1-BBF3-2C959A8BBE3B}"/>
            </a:ext>
          </a:extLst>
        </xdr:cNvPr>
        <xdr:cNvGrpSpPr/>
      </xdr:nvGrpSpPr>
      <xdr:grpSpPr>
        <a:xfrm>
          <a:off x="46406" y="98485"/>
          <a:ext cx="2957222" cy="309206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BC814453-F967-CF53-E204-34588BB180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C324CD2E-C5E2-DD79-E15C-9A80CE4841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B7E7-0180-4D91-965D-61C42B4A6019}">
  <sheetPr codeName="Sheet7">
    <tabColor rgb="FFC00000"/>
    <pageSetUpPr fitToPage="1"/>
  </sheetPr>
  <dimension ref="A1:P97"/>
  <sheetViews>
    <sheetView tabSelected="1" zoomScale="70" zoomScaleNormal="70" workbookViewId="0">
      <selection activeCell="R60" sqref="R60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30" t="s">
        <v>0</v>
      </c>
      <c r="E1" s="130"/>
      <c r="F1" s="130"/>
      <c r="G1" s="130"/>
      <c r="H1" s="130"/>
      <c r="I1" s="130"/>
      <c r="J1" s="130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30">
        <v>7936</v>
      </c>
      <c r="M2" s="130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31"/>
      <c r="M3" s="131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32">
        <v>46086</v>
      </c>
      <c r="M4" s="132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33"/>
      <c r="M5" s="133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34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35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35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35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35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36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34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35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36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37" t="s">
        <v>25</v>
      </c>
      <c r="B16" s="138"/>
      <c r="C16" s="137" t="s">
        <v>26</v>
      </c>
      <c r="D16" s="139"/>
      <c r="E16" s="138"/>
      <c r="F16" s="137" t="s">
        <v>27</v>
      </c>
      <c r="G16" s="139"/>
      <c r="H16" s="139"/>
      <c r="I16" s="139"/>
      <c r="J16" s="138"/>
      <c r="K16" s="140" t="s">
        <v>28</v>
      </c>
      <c r="L16" s="141"/>
      <c r="M16" s="142"/>
      <c r="N16" s="6"/>
    </row>
    <row r="17" spans="1:16">
      <c r="A17" s="149" t="s">
        <v>29</v>
      </c>
      <c r="B17" s="150"/>
      <c r="C17" s="149" t="s">
        <v>30</v>
      </c>
      <c r="D17" s="151"/>
      <c r="E17" s="150"/>
      <c r="F17" s="152">
        <v>46086</v>
      </c>
      <c r="G17" s="153"/>
      <c r="H17" s="153"/>
      <c r="I17" s="153"/>
      <c r="J17" s="154"/>
      <c r="K17" s="143"/>
      <c r="L17" s="144"/>
      <c r="M17" s="145"/>
      <c r="N17" s="6"/>
    </row>
    <row r="18" spans="1:16">
      <c r="A18" s="137" t="s">
        <v>31</v>
      </c>
      <c r="B18" s="138"/>
      <c r="C18" s="137" t="s">
        <v>32</v>
      </c>
      <c r="D18" s="139"/>
      <c r="E18" s="138"/>
      <c r="F18" s="137" t="s">
        <v>33</v>
      </c>
      <c r="G18" s="139"/>
      <c r="H18" s="139"/>
      <c r="I18" s="139"/>
      <c r="J18" s="138"/>
      <c r="K18" s="143"/>
      <c r="L18" s="144"/>
      <c r="M18" s="145"/>
      <c r="N18" s="6"/>
    </row>
    <row r="19" spans="1:16" ht="18.600000000000001" thickBot="1">
      <c r="A19" s="127" t="s">
        <v>34</v>
      </c>
      <c r="B19" s="128"/>
      <c r="C19" s="127" t="s">
        <v>35</v>
      </c>
      <c r="D19" s="129"/>
      <c r="E19" s="128"/>
      <c r="F19" s="127" t="s">
        <v>36</v>
      </c>
      <c r="G19" s="129"/>
      <c r="H19" s="129"/>
      <c r="I19" s="129"/>
      <c r="J19" s="128"/>
      <c r="K19" s="146"/>
      <c r="L19" s="147"/>
      <c r="M19" s="148"/>
      <c r="N19" s="6"/>
    </row>
    <row r="20" spans="1:16" ht="19.2" thickTop="1" thickBot="1">
      <c r="A20" s="50" t="s">
        <v>37</v>
      </c>
      <c r="B20" s="51" t="s">
        <v>38</v>
      </c>
      <c r="C20" s="157" t="s">
        <v>39</v>
      </c>
      <c r="D20" s="158"/>
      <c r="E20" s="158"/>
      <c r="F20" s="157" t="s">
        <v>40</v>
      </c>
      <c r="G20" s="158"/>
      <c r="H20" s="158"/>
      <c r="I20" s="158"/>
      <c r="J20" s="158"/>
      <c r="K20" s="159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0" t="s">
        <v>47</v>
      </c>
      <c r="G21" s="161"/>
      <c r="H21" s="162" t="s">
        <v>48</v>
      </c>
      <c r="I21" s="162"/>
      <c r="J21" s="161" t="s">
        <v>49</v>
      </c>
      <c r="K21" s="163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102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6" t="s">
        <v>60</v>
      </c>
      <c r="D23" s="72"/>
      <c r="E23" s="73"/>
      <c r="F23" s="74"/>
      <c r="G23" s="75"/>
      <c r="H23" s="76"/>
      <c r="I23" s="75"/>
      <c r="J23" s="155" t="s">
        <v>59</v>
      </c>
      <c r="K23" s="156"/>
      <c r="L23" s="77" t="s">
        <v>59</v>
      </c>
      <c r="M23" s="78" t="s">
        <v>59</v>
      </c>
      <c r="N23" s="79"/>
      <c r="O23" s="68"/>
      <c r="P23" s="68"/>
    </row>
    <row r="24" spans="1:16" ht="20.399999999999999">
      <c r="A24" s="80"/>
      <c r="B24" s="70" t="s">
        <v>61</v>
      </c>
      <c r="C24" s="71">
        <v>3717</v>
      </c>
      <c r="D24" s="72" t="s">
        <v>62</v>
      </c>
      <c r="E24" s="73">
        <v>0</v>
      </c>
      <c r="F24" s="74" t="s">
        <v>63</v>
      </c>
      <c r="G24" s="75" t="s">
        <v>64</v>
      </c>
      <c r="H24" s="76">
        <v>3</v>
      </c>
      <c r="I24" s="75" t="s">
        <v>65</v>
      </c>
      <c r="J24" s="155" t="s">
        <v>66</v>
      </c>
      <c r="K24" s="156"/>
      <c r="L24" s="77">
        <v>665</v>
      </c>
      <c r="M24" s="78">
        <v>1995</v>
      </c>
      <c r="N24" s="81"/>
      <c r="O24" s="68"/>
      <c r="P24" s="68"/>
    </row>
    <row r="25" spans="1:16" ht="21">
      <c r="A25" s="69"/>
      <c r="B25" s="70" t="s">
        <v>59</v>
      </c>
      <c r="C25" s="126" t="s">
        <v>67</v>
      </c>
      <c r="D25" s="72"/>
      <c r="E25" s="73"/>
      <c r="F25" s="74"/>
      <c r="G25" s="75"/>
      <c r="H25" s="76"/>
      <c r="I25" s="75"/>
      <c r="J25" s="155" t="s">
        <v>59</v>
      </c>
      <c r="K25" s="156"/>
      <c r="L25" s="77" t="s">
        <v>59</v>
      </c>
      <c r="M25" s="78" t="s">
        <v>59</v>
      </c>
      <c r="N25" s="81"/>
      <c r="O25" s="68"/>
      <c r="P25" s="68"/>
    </row>
    <row r="26" spans="1:16" ht="20.399999999999999">
      <c r="A26" s="69"/>
      <c r="B26" s="70" t="s">
        <v>68</v>
      </c>
      <c r="C26" s="71" t="s">
        <v>69</v>
      </c>
      <c r="D26" s="72" t="s">
        <v>59</v>
      </c>
      <c r="E26" s="73" t="s">
        <v>70</v>
      </c>
      <c r="F26" s="74">
        <v>13.5</v>
      </c>
      <c r="G26" s="75" t="s">
        <v>64</v>
      </c>
      <c r="H26" s="76">
        <v>1</v>
      </c>
      <c r="I26" s="75" t="s">
        <v>103</v>
      </c>
      <c r="J26" s="155" t="s">
        <v>72</v>
      </c>
      <c r="K26" s="156"/>
      <c r="L26" s="77">
        <v>94</v>
      </c>
      <c r="M26" s="78">
        <v>1269</v>
      </c>
      <c r="N26" s="81"/>
      <c r="O26" s="68"/>
      <c r="P26" s="68"/>
    </row>
    <row r="27" spans="1:16" ht="21">
      <c r="A27" s="69"/>
      <c r="B27" s="70" t="s">
        <v>59</v>
      </c>
      <c r="C27" s="126" t="s">
        <v>73</v>
      </c>
      <c r="D27" s="72"/>
      <c r="E27" s="73"/>
      <c r="F27" s="74"/>
      <c r="G27" s="75"/>
      <c r="H27" s="76"/>
      <c r="I27" s="75"/>
      <c r="J27" s="155" t="s">
        <v>59</v>
      </c>
      <c r="K27" s="156"/>
      <c r="L27" s="77" t="s">
        <v>59</v>
      </c>
      <c r="M27" s="78" t="s">
        <v>59</v>
      </c>
      <c r="N27" s="81"/>
      <c r="O27" s="68"/>
      <c r="P27" s="68"/>
    </row>
    <row r="28" spans="1:16" ht="20.399999999999999">
      <c r="A28" s="69"/>
      <c r="B28" s="70" t="s">
        <v>74</v>
      </c>
      <c r="C28" s="71" t="s">
        <v>75</v>
      </c>
      <c r="D28" s="72" t="s">
        <v>76</v>
      </c>
      <c r="E28" s="73" t="s">
        <v>77</v>
      </c>
      <c r="F28" s="74" t="s">
        <v>63</v>
      </c>
      <c r="G28" s="75" t="s">
        <v>64</v>
      </c>
      <c r="H28" s="76">
        <v>1</v>
      </c>
      <c r="I28" s="75" t="s">
        <v>65</v>
      </c>
      <c r="J28" s="155" t="s">
        <v>78</v>
      </c>
      <c r="K28" s="156"/>
      <c r="L28" s="77">
        <v>4650</v>
      </c>
      <c r="M28" s="78">
        <v>4650</v>
      </c>
      <c r="N28" s="81"/>
      <c r="O28" s="68"/>
      <c r="P28" s="68"/>
    </row>
    <row r="29" spans="1:16" ht="20.399999999999999">
      <c r="A29" s="82"/>
      <c r="B29" s="70" t="s">
        <v>74</v>
      </c>
      <c r="C29" s="71" t="s">
        <v>75</v>
      </c>
      <c r="D29" s="72" t="s">
        <v>76</v>
      </c>
      <c r="E29" s="73" t="s">
        <v>79</v>
      </c>
      <c r="F29" s="74" t="s">
        <v>63</v>
      </c>
      <c r="G29" s="75" t="s">
        <v>64</v>
      </c>
      <c r="H29" s="76">
        <v>1</v>
      </c>
      <c r="I29" s="75" t="s">
        <v>65</v>
      </c>
      <c r="J29" s="155" t="s">
        <v>78</v>
      </c>
      <c r="K29" s="156"/>
      <c r="L29" s="77">
        <v>3938</v>
      </c>
      <c r="M29" s="78">
        <v>3938</v>
      </c>
      <c r="N29" s="79"/>
      <c r="O29" s="68"/>
      <c r="P29" s="68"/>
    </row>
    <row r="30" spans="1:16" ht="20.399999999999999">
      <c r="A30" s="82"/>
      <c r="B30" s="70" t="s">
        <v>74</v>
      </c>
      <c r="C30" s="71" t="s">
        <v>80</v>
      </c>
      <c r="D30" s="72" t="s">
        <v>81</v>
      </c>
      <c r="E30" s="73" t="s">
        <v>79</v>
      </c>
      <c r="F30" s="74" t="s">
        <v>63</v>
      </c>
      <c r="G30" s="75" t="s">
        <v>64</v>
      </c>
      <c r="H30" s="76">
        <v>2</v>
      </c>
      <c r="I30" s="75" t="s">
        <v>65</v>
      </c>
      <c r="J30" s="155" t="s">
        <v>82</v>
      </c>
      <c r="K30" s="156"/>
      <c r="L30" s="77">
        <v>2138</v>
      </c>
      <c r="M30" s="78">
        <v>4276</v>
      </c>
      <c r="N30" s="79"/>
      <c r="O30" s="68"/>
      <c r="P30" s="68"/>
    </row>
    <row r="31" spans="1:16" ht="20.399999999999999">
      <c r="A31" s="69"/>
      <c r="B31" s="70" t="s">
        <v>83</v>
      </c>
      <c r="C31" s="71" t="s">
        <v>75</v>
      </c>
      <c r="D31" s="72" t="s">
        <v>84</v>
      </c>
      <c r="E31" s="73" t="s">
        <v>77</v>
      </c>
      <c r="F31" s="74" t="s">
        <v>63</v>
      </c>
      <c r="G31" s="75" t="s">
        <v>64</v>
      </c>
      <c r="H31" s="76">
        <v>6</v>
      </c>
      <c r="I31" s="75" t="s">
        <v>65</v>
      </c>
      <c r="J31" s="155" t="s">
        <v>85</v>
      </c>
      <c r="K31" s="156"/>
      <c r="L31" s="77">
        <v>2063</v>
      </c>
      <c r="M31" s="78">
        <v>12378</v>
      </c>
      <c r="N31" s="79"/>
      <c r="O31" s="68"/>
      <c r="P31" s="68"/>
    </row>
    <row r="32" spans="1:16" ht="20.399999999999999">
      <c r="A32" s="69"/>
      <c r="B32" s="70" t="s">
        <v>83</v>
      </c>
      <c r="C32" s="71" t="s">
        <v>75</v>
      </c>
      <c r="D32" s="72" t="s">
        <v>86</v>
      </c>
      <c r="E32" s="73" t="s">
        <v>77</v>
      </c>
      <c r="F32" s="74" t="s">
        <v>63</v>
      </c>
      <c r="G32" s="75" t="s">
        <v>64</v>
      </c>
      <c r="H32" s="76">
        <v>10</v>
      </c>
      <c r="I32" s="75" t="s">
        <v>65</v>
      </c>
      <c r="J32" s="155" t="s">
        <v>87</v>
      </c>
      <c r="K32" s="156"/>
      <c r="L32" s="77">
        <v>2363</v>
      </c>
      <c r="M32" s="78">
        <v>23630</v>
      </c>
      <c r="N32" s="81"/>
      <c r="O32" s="68"/>
      <c r="P32" s="68"/>
    </row>
    <row r="33" spans="1:16" ht="21">
      <c r="A33" s="69"/>
      <c r="B33" s="70" t="s">
        <v>59</v>
      </c>
      <c r="C33" s="126" t="s">
        <v>88</v>
      </c>
      <c r="D33" s="72"/>
      <c r="E33" s="73"/>
      <c r="F33" s="74"/>
      <c r="G33" s="75"/>
      <c r="H33" s="76"/>
      <c r="I33" s="75"/>
      <c r="J33" s="155" t="s">
        <v>59</v>
      </c>
      <c r="K33" s="156"/>
      <c r="L33" s="77" t="s">
        <v>59</v>
      </c>
      <c r="M33" s="78" t="s">
        <v>59</v>
      </c>
      <c r="N33" s="81"/>
      <c r="O33" s="68"/>
      <c r="P33" s="68"/>
    </row>
    <row r="34" spans="1:16" ht="20.399999999999999">
      <c r="A34" s="69"/>
      <c r="B34" s="70" t="s">
        <v>89</v>
      </c>
      <c r="C34" s="71" t="s">
        <v>90</v>
      </c>
      <c r="D34" s="72" t="s">
        <v>62</v>
      </c>
      <c r="E34" s="73">
        <v>0</v>
      </c>
      <c r="F34" s="74" t="s">
        <v>63</v>
      </c>
      <c r="G34" s="75" t="s">
        <v>64</v>
      </c>
      <c r="H34" s="76">
        <v>10</v>
      </c>
      <c r="I34" s="75" t="s">
        <v>65</v>
      </c>
      <c r="J34" s="155" t="s">
        <v>87</v>
      </c>
      <c r="K34" s="156"/>
      <c r="L34" s="77">
        <v>970</v>
      </c>
      <c r="M34" s="78">
        <v>9700</v>
      </c>
      <c r="N34" s="81"/>
      <c r="O34" s="68"/>
      <c r="P34" s="68"/>
    </row>
    <row r="35" spans="1:16" ht="21">
      <c r="A35" s="69"/>
      <c r="B35" s="70" t="s">
        <v>59</v>
      </c>
      <c r="C35" s="126" t="s">
        <v>91</v>
      </c>
      <c r="D35" s="72"/>
      <c r="E35" s="73"/>
      <c r="F35" s="74"/>
      <c r="G35" s="75"/>
      <c r="H35" s="76"/>
      <c r="I35" s="75"/>
      <c r="J35" s="155" t="s">
        <v>59</v>
      </c>
      <c r="K35" s="156"/>
      <c r="L35" s="77" t="s">
        <v>59</v>
      </c>
      <c r="M35" s="78" t="s">
        <v>59</v>
      </c>
      <c r="N35" s="81"/>
      <c r="O35" s="68"/>
      <c r="P35" s="68"/>
    </row>
    <row r="36" spans="1:16" ht="20.399999999999999">
      <c r="A36" s="69"/>
      <c r="B36" s="70" t="s">
        <v>92</v>
      </c>
      <c r="C36" s="71" t="s">
        <v>93</v>
      </c>
      <c r="D36" s="72" t="s">
        <v>62</v>
      </c>
      <c r="E36" s="73">
        <v>5</v>
      </c>
      <c r="F36" s="74" t="s">
        <v>63</v>
      </c>
      <c r="G36" s="75" t="s">
        <v>64</v>
      </c>
      <c r="H36" s="76">
        <v>1</v>
      </c>
      <c r="I36" s="75" t="s">
        <v>65</v>
      </c>
      <c r="J36" s="155" t="s">
        <v>78</v>
      </c>
      <c r="K36" s="156"/>
      <c r="L36" s="77">
        <v>787</v>
      </c>
      <c r="M36" s="78">
        <v>787</v>
      </c>
      <c r="N36" s="81"/>
      <c r="O36" s="68"/>
      <c r="P36" s="68"/>
    </row>
    <row r="37" spans="1:16" ht="20.399999999999999">
      <c r="A37" s="69"/>
      <c r="B37" s="70" t="s">
        <v>92</v>
      </c>
      <c r="C37" s="71" t="s">
        <v>93</v>
      </c>
      <c r="D37" s="72" t="s">
        <v>62</v>
      </c>
      <c r="E37" s="73">
        <v>29</v>
      </c>
      <c r="F37" s="74" t="s">
        <v>63</v>
      </c>
      <c r="G37" s="75" t="s">
        <v>64</v>
      </c>
      <c r="H37" s="76">
        <v>2</v>
      </c>
      <c r="I37" s="75" t="s">
        <v>65</v>
      </c>
      <c r="J37" s="155" t="s">
        <v>82</v>
      </c>
      <c r="K37" s="156"/>
      <c r="L37" s="77">
        <v>787</v>
      </c>
      <c r="M37" s="78">
        <v>1574</v>
      </c>
      <c r="N37" s="81"/>
      <c r="O37" s="68"/>
      <c r="P37" s="68"/>
    </row>
    <row r="38" spans="1:16" ht="21">
      <c r="A38" s="69"/>
      <c r="B38" s="70" t="s">
        <v>59</v>
      </c>
      <c r="C38" s="126" t="s">
        <v>94</v>
      </c>
      <c r="D38" s="72"/>
      <c r="E38" s="73"/>
      <c r="F38" s="74"/>
      <c r="G38" s="75"/>
      <c r="H38" s="76"/>
      <c r="I38" s="75"/>
      <c r="J38" s="155" t="s">
        <v>59</v>
      </c>
      <c r="K38" s="156"/>
      <c r="L38" s="77" t="s">
        <v>59</v>
      </c>
      <c r="M38" s="78" t="s">
        <v>59</v>
      </c>
      <c r="N38" s="81"/>
      <c r="O38" s="68"/>
      <c r="P38" s="68"/>
    </row>
    <row r="39" spans="1:16" ht="20.399999999999999">
      <c r="A39" s="69"/>
      <c r="B39" s="70" t="s">
        <v>95</v>
      </c>
      <c r="C39" s="71" t="s">
        <v>96</v>
      </c>
      <c r="D39" s="72" t="s">
        <v>59</v>
      </c>
      <c r="E39" s="73" t="s">
        <v>70</v>
      </c>
      <c r="F39" s="74" t="s">
        <v>71</v>
      </c>
      <c r="G39" s="75" t="s">
        <v>64</v>
      </c>
      <c r="H39" s="76">
        <v>60</v>
      </c>
      <c r="I39" s="75" t="s">
        <v>64</v>
      </c>
      <c r="J39" s="155" t="s">
        <v>82</v>
      </c>
      <c r="K39" s="156"/>
      <c r="L39" s="77">
        <v>47</v>
      </c>
      <c r="M39" s="78">
        <v>2820</v>
      </c>
      <c r="N39" s="81"/>
      <c r="O39" s="68"/>
      <c r="P39" s="68"/>
    </row>
    <row r="40" spans="1:16" ht="21">
      <c r="A40" s="69"/>
      <c r="B40" s="70" t="s">
        <v>59</v>
      </c>
      <c r="C40" s="126" t="s">
        <v>97</v>
      </c>
      <c r="D40" s="72"/>
      <c r="E40" s="73"/>
      <c r="F40" s="74"/>
      <c r="G40" s="75"/>
      <c r="H40" s="76"/>
      <c r="I40" s="75"/>
      <c r="J40" s="155" t="s">
        <v>59</v>
      </c>
      <c r="K40" s="156"/>
      <c r="L40" s="77" t="s">
        <v>59</v>
      </c>
      <c r="M40" s="78" t="s">
        <v>59</v>
      </c>
      <c r="N40" s="81"/>
      <c r="O40" s="68"/>
      <c r="P40" s="68"/>
    </row>
    <row r="41" spans="1:16" ht="20.399999999999999">
      <c r="A41" s="69"/>
      <c r="B41" s="70" t="s">
        <v>98</v>
      </c>
      <c r="C41" s="71" t="s">
        <v>99</v>
      </c>
      <c r="D41" s="72" t="s">
        <v>59</v>
      </c>
      <c r="E41" s="73" t="s">
        <v>100</v>
      </c>
      <c r="F41" s="74" t="s">
        <v>71</v>
      </c>
      <c r="G41" s="75" t="s">
        <v>64</v>
      </c>
      <c r="H41" s="76">
        <v>30</v>
      </c>
      <c r="I41" s="75" t="s">
        <v>64</v>
      </c>
      <c r="J41" s="155" t="s">
        <v>78</v>
      </c>
      <c r="K41" s="156"/>
      <c r="L41" s="77">
        <v>313</v>
      </c>
      <c r="M41" s="78">
        <v>9390</v>
      </c>
      <c r="N41" s="81"/>
      <c r="O41" s="68"/>
      <c r="P41" s="68"/>
    </row>
    <row r="42" spans="1:16" ht="20.399999999999999">
      <c r="A42" s="69"/>
      <c r="B42" s="70" t="s">
        <v>59</v>
      </c>
      <c r="C42" s="71" t="s">
        <v>59</v>
      </c>
      <c r="D42" s="72" t="s">
        <v>59</v>
      </c>
      <c r="E42" s="73" t="s">
        <v>59</v>
      </c>
      <c r="F42" s="74" t="s">
        <v>59</v>
      </c>
      <c r="G42" s="75" t="s">
        <v>59</v>
      </c>
      <c r="H42" s="76" t="s">
        <v>59</v>
      </c>
      <c r="I42" s="75" t="s">
        <v>59</v>
      </c>
      <c r="J42" s="155" t="s">
        <v>59</v>
      </c>
      <c r="K42" s="156"/>
      <c r="L42" s="77" t="s">
        <v>59</v>
      </c>
      <c r="M42" s="78" t="s">
        <v>59</v>
      </c>
      <c r="N42" s="81"/>
      <c r="O42" s="68"/>
      <c r="P42" s="68"/>
    </row>
    <row r="43" spans="1:16" ht="20.399999999999999">
      <c r="A43" s="69"/>
      <c r="B43" s="70" t="s">
        <v>59</v>
      </c>
      <c r="C43" s="71" t="s">
        <v>59</v>
      </c>
      <c r="D43" s="72" t="s">
        <v>59</v>
      </c>
      <c r="E43" s="73" t="s">
        <v>59</v>
      </c>
      <c r="F43" s="74" t="s">
        <v>59</v>
      </c>
      <c r="G43" s="75" t="s">
        <v>59</v>
      </c>
      <c r="H43" s="76" t="s">
        <v>59</v>
      </c>
      <c r="I43" s="75" t="s">
        <v>59</v>
      </c>
      <c r="J43" s="164" t="s">
        <v>59</v>
      </c>
      <c r="K43" s="165"/>
      <c r="L43" s="77" t="s">
        <v>59</v>
      </c>
      <c r="M43" s="78" t="s">
        <v>59</v>
      </c>
      <c r="N43" s="81"/>
      <c r="O43" s="68"/>
      <c r="P43" s="68"/>
    </row>
    <row r="44" spans="1:16" ht="20.399999999999999">
      <c r="A44" s="69"/>
      <c r="B44" s="70" t="s">
        <v>59</v>
      </c>
      <c r="C44" s="176" t="s">
        <v>105</v>
      </c>
      <c r="D44" s="177"/>
      <c r="E44" s="73" t="s">
        <v>59</v>
      </c>
      <c r="F44" s="74" t="s">
        <v>59</v>
      </c>
      <c r="G44" s="75" t="s">
        <v>59</v>
      </c>
      <c r="H44" s="76">
        <v>1</v>
      </c>
      <c r="I44" s="75" t="s">
        <v>101</v>
      </c>
      <c r="J44" s="155" t="s">
        <v>59</v>
      </c>
      <c r="K44" s="156"/>
      <c r="L44" s="77">
        <v>11336</v>
      </c>
      <c r="M44" s="78">
        <v>11336</v>
      </c>
      <c r="N44" s="81"/>
      <c r="O44" s="68"/>
      <c r="P44" s="68"/>
    </row>
    <row r="45" spans="1:16" ht="20.399999999999999">
      <c r="A45" s="69"/>
      <c r="B45" s="70" t="s">
        <v>59</v>
      </c>
      <c r="C45" s="178" t="s">
        <v>104</v>
      </c>
      <c r="D45" s="179" t="s">
        <v>59</v>
      </c>
      <c r="E45" s="180" t="s">
        <v>59</v>
      </c>
      <c r="F45" s="181" t="s">
        <v>59</v>
      </c>
      <c r="G45" s="182" t="s">
        <v>59</v>
      </c>
      <c r="H45" s="183">
        <v>1</v>
      </c>
      <c r="I45" s="182" t="s">
        <v>101</v>
      </c>
      <c r="J45" s="184" t="s">
        <v>59</v>
      </c>
      <c r="K45" s="185"/>
      <c r="L45" s="186">
        <v>0</v>
      </c>
      <c r="M45" s="187">
        <v>0</v>
      </c>
      <c r="N45" s="81"/>
      <c r="O45" s="68"/>
      <c r="P45" s="68"/>
    </row>
    <row r="46" spans="1:16" ht="20.399999999999999">
      <c r="A46" s="69"/>
      <c r="B46" s="70" t="s">
        <v>59</v>
      </c>
      <c r="C46" s="71" t="s">
        <v>59</v>
      </c>
      <c r="D46" s="72" t="s">
        <v>59</v>
      </c>
      <c r="E46" s="73" t="s">
        <v>59</v>
      </c>
      <c r="F46" s="74" t="s">
        <v>59</v>
      </c>
      <c r="G46" s="75" t="s">
        <v>59</v>
      </c>
      <c r="H46" s="76" t="s">
        <v>59</v>
      </c>
      <c r="I46" s="75" t="s">
        <v>59</v>
      </c>
      <c r="J46" s="155" t="s">
        <v>59</v>
      </c>
      <c r="K46" s="156"/>
      <c r="L46" s="77" t="s">
        <v>59</v>
      </c>
      <c r="M46" s="78" t="s">
        <v>59</v>
      </c>
      <c r="N46" s="81"/>
      <c r="O46" s="68"/>
      <c r="P46" s="68"/>
    </row>
    <row r="47" spans="1:16" ht="20.399999999999999">
      <c r="A47" s="69"/>
      <c r="B47" s="70" t="s">
        <v>59</v>
      </c>
      <c r="C47" s="71" t="s">
        <v>59</v>
      </c>
      <c r="D47" s="72" t="s">
        <v>59</v>
      </c>
      <c r="E47" s="73" t="s">
        <v>59</v>
      </c>
      <c r="F47" s="74" t="s">
        <v>59</v>
      </c>
      <c r="G47" s="75" t="s">
        <v>59</v>
      </c>
      <c r="H47" s="76" t="s">
        <v>59</v>
      </c>
      <c r="I47" s="75" t="s">
        <v>59</v>
      </c>
      <c r="J47" s="155" t="s">
        <v>59</v>
      </c>
      <c r="K47" s="156"/>
      <c r="L47" s="77" t="s">
        <v>59</v>
      </c>
      <c r="M47" s="78" t="s">
        <v>59</v>
      </c>
      <c r="N47" s="81"/>
      <c r="O47" s="68"/>
      <c r="P47" s="68"/>
    </row>
    <row r="48" spans="1:16" ht="20.399999999999999">
      <c r="A48" s="69"/>
      <c r="B48" s="70" t="s">
        <v>59</v>
      </c>
      <c r="C48" s="71" t="s">
        <v>59</v>
      </c>
      <c r="D48" s="72" t="s">
        <v>59</v>
      </c>
      <c r="E48" s="73" t="s">
        <v>59</v>
      </c>
      <c r="F48" s="74" t="s">
        <v>59</v>
      </c>
      <c r="G48" s="75" t="s">
        <v>59</v>
      </c>
      <c r="H48" s="76" t="s">
        <v>59</v>
      </c>
      <c r="I48" s="75" t="s">
        <v>59</v>
      </c>
      <c r="J48" s="155" t="s">
        <v>59</v>
      </c>
      <c r="K48" s="156"/>
      <c r="L48" s="77" t="s">
        <v>59</v>
      </c>
      <c r="M48" s="78" t="s">
        <v>59</v>
      </c>
      <c r="N48" s="81"/>
      <c r="O48" s="68"/>
      <c r="P48" s="68"/>
    </row>
    <row r="49" spans="1:16" ht="18.75" customHeight="1">
      <c r="A49" s="69"/>
      <c r="B49" s="70" t="s">
        <v>59</v>
      </c>
      <c r="C49" s="71" t="s">
        <v>59</v>
      </c>
      <c r="D49" s="72" t="s">
        <v>59</v>
      </c>
      <c r="E49" s="73" t="s">
        <v>59</v>
      </c>
      <c r="F49" s="74" t="s">
        <v>59</v>
      </c>
      <c r="G49" s="75" t="s">
        <v>59</v>
      </c>
      <c r="H49" s="76" t="s">
        <v>59</v>
      </c>
      <c r="I49" s="75" t="s">
        <v>59</v>
      </c>
      <c r="J49" s="155" t="s">
        <v>59</v>
      </c>
      <c r="K49" s="156"/>
      <c r="L49" s="77" t="s">
        <v>59</v>
      </c>
      <c r="M49" s="78" t="s">
        <v>59</v>
      </c>
      <c r="N49" s="81"/>
      <c r="O49" s="68"/>
      <c r="P49" s="68"/>
    </row>
    <row r="50" spans="1:16" ht="18.75" customHeight="1">
      <c r="A50" s="69"/>
      <c r="B50" s="70" t="s">
        <v>59</v>
      </c>
      <c r="C50" s="71" t="s">
        <v>59</v>
      </c>
      <c r="D50" s="72" t="s">
        <v>59</v>
      </c>
      <c r="E50" s="73" t="s">
        <v>59</v>
      </c>
      <c r="F50" s="74" t="s">
        <v>59</v>
      </c>
      <c r="G50" s="75" t="s">
        <v>59</v>
      </c>
      <c r="H50" s="76" t="s">
        <v>59</v>
      </c>
      <c r="I50" s="75" t="s">
        <v>59</v>
      </c>
      <c r="J50" s="155" t="s">
        <v>59</v>
      </c>
      <c r="K50" s="156"/>
      <c r="L50" s="77" t="s">
        <v>59</v>
      </c>
      <c r="M50" s="78" t="s">
        <v>59</v>
      </c>
      <c r="N50" s="81"/>
      <c r="O50" s="68"/>
      <c r="P50" s="68"/>
    </row>
    <row r="51" spans="1:16" ht="18.75" customHeight="1">
      <c r="A51" s="69"/>
      <c r="B51" s="70" t="s">
        <v>59</v>
      </c>
      <c r="C51" s="71" t="s">
        <v>59</v>
      </c>
      <c r="D51" s="72" t="s">
        <v>59</v>
      </c>
      <c r="E51" s="73" t="s">
        <v>59</v>
      </c>
      <c r="F51" s="74" t="s">
        <v>59</v>
      </c>
      <c r="G51" s="75" t="s">
        <v>59</v>
      </c>
      <c r="H51" s="76" t="s">
        <v>59</v>
      </c>
      <c r="I51" s="75" t="s">
        <v>59</v>
      </c>
      <c r="J51" s="155" t="s">
        <v>59</v>
      </c>
      <c r="K51" s="156"/>
      <c r="L51" s="77" t="s">
        <v>59</v>
      </c>
      <c r="M51" s="78" t="s">
        <v>59</v>
      </c>
      <c r="N51" s="81"/>
      <c r="O51" s="68"/>
      <c r="P51" s="68"/>
    </row>
    <row r="52" spans="1:16" ht="18.75" customHeight="1">
      <c r="A52" s="69"/>
      <c r="B52" s="70" t="s">
        <v>59</v>
      </c>
      <c r="C52" s="71" t="s">
        <v>59</v>
      </c>
      <c r="D52" s="72" t="s">
        <v>59</v>
      </c>
      <c r="E52" s="73" t="s">
        <v>59</v>
      </c>
      <c r="F52" s="74" t="s">
        <v>59</v>
      </c>
      <c r="G52" s="75" t="s">
        <v>59</v>
      </c>
      <c r="H52" s="76" t="s">
        <v>59</v>
      </c>
      <c r="I52" s="75" t="s">
        <v>59</v>
      </c>
      <c r="J52" s="155" t="s">
        <v>59</v>
      </c>
      <c r="K52" s="156"/>
      <c r="L52" s="77" t="s">
        <v>59</v>
      </c>
      <c r="M52" s="78" t="s">
        <v>59</v>
      </c>
      <c r="N52" s="81"/>
      <c r="O52" s="68"/>
      <c r="P52" s="68"/>
    </row>
    <row r="53" spans="1:16" ht="20.399999999999999">
      <c r="A53" s="69"/>
      <c r="B53" s="70" t="s">
        <v>59</v>
      </c>
      <c r="C53" s="71" t="s">
        <v>59</v>
      </c>
      <c r="D53" s="72" t="s">
        <v>59</v>
      </c>
      <c r="E53" s="73" t="s">
        <v>59</v>
      </c>
      <c r="F53" s="74" t="s">
        <v>59</v>
      </c>
      <c r="G53" s="75" t="s">
        <v>59</v>
      </c>
      <c r="H53" s="76" t="s">
        <v>59</v>
      </c>
      <c r="I53" s="75" t="s">
        <v>59</v>
      </c>
      <c r="J53" s="155" t="s">
        <v>59</v>
      </c>
      <c r="K53" s="156"/>
      <c r="L53" s="77" t="s">
        <v>59</v>
      </c>
      <c r="M53" s="78" t="s">
        <v>59</v>
      </c>
      <c r="N53" s="81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55" t="s">
        <v>59</v>
      </c>
      <c r="K54" s="156"/>
      <c r="L54" s="77" t="s">
        <v>59</v>
      </c>
      <c r="M54" s="78" t="s">
        <v>59</v>
      </c>
      <c r="N54" s="81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55" t="s">
        <v>59</v>
      </c>
      <c r="K55" s="156"/>
      <c r="L55" s="77" t="s">
        <v>59</v>
      </c>
      <c r="M55" s="78" t="s">
        <v>59</v>
      </c>
      <c r="N55" s="81"/>
      <c r="O55" s="68"/>
      <c r="P55" s="68"/>
    </row>
    <row r="56" spans="1:16" ht="20.399999999999999">
      <c r="A56" s="69"/>
      <c r="B56" s="70" t="s">
        <v>59</v>
      </c>
      <c r="C56" s="71" t="s">
        <v>59</v>
      </c>
      <c r="D56" s="72" t="s">
        <v>59</v>
      </c>
      <c r="E56" s="73" t="s">
        <v>59</v>
      </c>
      <c r="F56" s="74" t="s">
        <v>59</v>
      </c>
      <c r="G56" s="75" t="s">
        <v>59</v>
      </c>
      <c r="H56" s="76" t="s">
        <v>59</v>
      </c>
      <c r="I56" s="75" t="s">
        <v>59</v>
      </c>
      <c r="J56" s="155" t="s">
        <v>59</v>
      </c>
      <c r="K56" s="156"/>
      <c r="L56" s="77" t="s">
        <v>59</v>
      </c>
      <c r="M56" s="78" t="s">
        <v>59</v>
      </c>
      <c r="N56" s="81"/>
      <c r="O56" s="68"/>
      <c r="P56" s="68"/>
    </row>
    <row r="57" spans="1:16" ht="20.399999999999999">
      <c r="A57" s="69"/>
      <c r="B57" s="70" t="s">
        <v>59</v>
      </c>
      <c r="C57" s="71" t="s">
        <v>59</v>
      </c>
      <c r="D57" s="72" t="s">
        <v>59</v>
      </c>
      <c r="E57" s="73" t="s">
        <v>59</v>
      </c>
      <c r="F57" s="74" t="s">
        <v>59</v>
      </c>
      <c r="G57" s="75" t="s">
        <v>59</v>
      </c>
      <c r="H57" s="76" t="s">
        <v>59</v>
      </c>
      <c r="I57" s="75" t="s">
        <v>59</v>
      </c>
      <c r="J57" s="155" t="s">
        <v>59</v>
      </c>
      <c r="K57" s="156"/>
      <c r="L57" s="77" t="s">
        <v>59</v>
      </c>
      <c r="M57" s="78" t="s">
        <v>59</v>
      </c>
      <c r="N57" s="81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55" t="s">
        <v>59</v>
      </c>
      <c r="K58" s="156"/>
      <c r="L58" s="77" t="s">
        <v>59</v>
      </c>
      <c r="M58" s="78" t="s">
        <v>59</v>
      </c>
      <c r="N58" s="81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55" t="s">
        <v>59</v>
      </c>
      <c r="K59" s="156"/>
      <c r="L59" s="77" t="s">
        <v>59</v>
      </c>
      <c r="M59" s="78" t="s">
        <v>59</v>
      </c>
      <c r="N59" s="81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55" t="s">
        <v>59</v>
      </c>
      <c r="K60" s="156"/>
      <c r="L60" s="77" t="s">
        <v>59</v>
      </c>
      <c r="M60" s="78" t="s">
        <v>59</v>
      </c>
      <c r="N60" s="81"/>
      <c r="O60" s="68"/>
      <c r="P60" s="68"/>
    </row>
    <row r="61" spans="1:16" ht="20.399999999999999">
      <c r="A61" s="69"/>
      <c r="B61" s="70" t="s">
        <v>59</v>
      </c>
      <c r="C61" s="71" t="s">
        <v>59</v>
      </c>
      <c r="D61" s="72" t="s">
        <v>59</v>
      </c>
      <c r="E61" s="73" t="s">
        <v>59</v>
      </c>
      <c r="F61" s="74" t="s">
        <v>59</v>
      </c>
      <c r="G61" s="75" t="s">
        <v>59</v>
      </c>
      <c r="H61" s="76" t="s">
        <v>59</v>
      </c>
      <c r="I61" s="75" t="s">
        <v>59</v>
      </c>
      <c r="J61" s="155" t="s">
        <v>59</v>
      </c>
      <c r="K61" s="156"/>
      <c r="L61" s="77" t="s">
        <v>59</v>
      </c>
      <c r="M61" s="78" t="s">
        <v>59</v>
      </c>
      <c r="N61" s="81"/>
      <c r="O61" s="68"/>
      <c r="P61" s="68"/>
    </row>
    <row r="62" spans="1:16" ht="20.399999999999999">
      <c r="A62" s="69"/>
      <c r="B62" s="70" t="s">
        <v>59</v>
      </c>
      <c r="C62" s="71" t="s">
        <v>59</v>
      </c>
      <c r="D62" s="72" t="s">
        <v>59</v>
      </c>
      <c r="E62" s="73" t="s">
        <v>59</v>
      </c>
      <c r="F62" s="74" t="s">
        <v>59</v>
      </c>
      <c r="G62" s="75" t="s">
        <v>59</v>
      </c>
      <c r="H62" s="76" t="s">
        <v>59</v>
      </c>
      <c r="I62" s="75" t="s">
        <v>59</v>
      </c>
      <c r="J62" s="155" t="s">
        <v>59</v>
      </c>
      <c r="K62" s="156"/>
      <c r="L62" s="77" t="s">
        <v>59</v>
      </c>
      <c r="M62" s="78" t="s">
        <v>59</v>
      </c>
      <c r="N62" s="81"/>
      <c r="O62" s="68"/>
      <c r="P62" s="68"/>
    </row>
    <row r="63" spans="1:16" ht="20.399999999999999">
      <c r="A63" s="69"/>
      <c r="B63" s="70" t="s">
        <v>59</v>
      </c>
      <c r="C63" s="71" t="s">
        <v>59</v>
      </c>
      <c r="D63" s="72" t="s">
        <v>59</v>
      </c>
      <c r="E63" s="73" t="s">
        <v>59</v>
      </c>
      <c r="F63" s="74" t="s">
        <v>59</v>
      </c>
      <c r="G63" s="75" t="s">
        <v>59</v>
      </c>
      <c r="H63" s="76" t="s">
        <v>59</v>
      </c>
      <c r="I63" s="75" t="s">
        <v>59</v>
      </c>
      <c r="J63" s="155" t="s">
        <v>59</v>
      </c>
      <c r="K63" s="156"/>
      <c r="L63" s="77" t="s">
        <v>59</v>
      </c>
      <c r="M63" s="78" t="s">
        <v>59</v>
      </c>
      <c r="N63" s="81"/>
      <c r="O63" s="68"/>
      <c r="P63" s="68"/>
    </row>
    <row r="64" spans="1:16" ht="20.399999999999999">
      <c r="A64" s="69"/>
      <c r="B64" s="70" t="s">
        <v>59</v>
      </c>
      <c r="C64" s="71" t="s">
        <v>59</v>
      </c>
      <c r="D64" s="72" t="s">
        <v>59</v>
      </c>
      <c r="E64" s="73" t="s">
        <v>59</v>
      </c>
      <c r="F64" s="74" t="s">
        <v>59</v>
      </c>
      <c r="G64" s="75" t="s">
        <v>59</v>
      </c>
      <c r="H64" s="76" t="s">
        <v>59</v>
      </c>
      <c r="I64" s="75" t="s">
        <v>59</v>
      </c>
      <c r="J64" s="155" t="s">
        <v>59</v>
      </c>
      <c r="K64" s="156"/>
      <c r="L64" s="77" t="s">
        <v>59</v>
      </c>
      <c r="M64" s="78" t="s">
        <v>59</v>
      </c>
      <c r="N64" s="81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55" t="s">
        <v>59</v>
      </c>
      <c r="K65" s="156"/>
      <c r="L65" s="77" t="s">
        <v>59</v>
      </c>
      <c r="M65" s="78" t="s">
        <v>59</v>
      </c>
      <c r="N65" s="83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55" t="s">
        <v>59</v>
      </c>
      <c r="K66" s="156"/>
      <c r="L66" s="77" t="s">
        <v>59</v>
      </c>
      <c r="M66" s="78" t="s">
        <v>59</v>
      </c>
      <c r="N66" s="83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55" t="s">
        <v>59</v>
      </c>
      <c r="K67" s="156"/>
      <c r="L67" s="77" t="s">
        <v>59</v>
      </c>
      <c r="M67" s="78" t="s">
        <v>59</v>
      </c>
      <c r="N67" s="83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55" t="s">
        <v>59</v>
      </c>
      <c r="K68" s="156"/>
      <c r="L68" s="77" t="s">
        <v>59</v>
      </c>
      <c r="M68" s="78" t="s">
        <v>59</v>
      </c>
      <c r="N68" s="83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55" t="s">
        <v>59</v>
      </c>
      <c r="K69" s="156"/>
      <c r="L69" s="77" t="s">
        <v>59</v>
      </c>
      <c r="M69" s="78" t="s">
        <v>59</v>
      </c>
      <c r="N69" s="83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55" t="s">
        <v>59</v>
      </c>
      <c r="K70" s="156"/>
      <c r="L70" s="77" t="s">
        <v>59</v>
      </c>
      <c r="M70" s="78" t="s">
        <v>59</v>
      </c>
      <c r="N70" s="83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55" t="s">
        <v>59</v>
      </c>
      <c r="K71" s="156"/>
      <c r="L71" s="77" t="s">
        <v>59</v>
      </c>
      <c r="M71" s="78" t="s">
        <v>59</v>
      </c>
      <c r="N71" s="83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55" t="s">
        <v>59</v>
      </c>
      <c r="K72" s="156"/>
      <c r="L72" s="77" t="s">
        <v>59</v>
      </c>
      <c r="M72" s="78" t="s">
        <v>59</v>
      </c>
      <c r="N72" s="83"/>
      <c r="O72" s="68"/>
      <c r="P72" s="68"/>
    </row>
    <row r="73" spans="1:16" ht="20.399999999999999">
      <c r="A73" s="84"/>
      <c r="B73" s="85" t="s">
        <v>59</v>
      </c>
      <c r="C73" s="86" t="s">
        <v>59</v>
      </c>
      <c r="D73" s="87" t="s">
        <v>59</v>
      </c>
      <c r="E73" s="88" t="s">
        <v>59</v>
      </c>
      <c r="F73" s="89" t="s">
        <v>59</v>
      </c>
      <c r="G73" s="90" t="s">
        <v>59</v>
      </c>
      <c r="H73" s="91" t="s">
        <v>59</v>
      </c>
      <c r="I73" s="90" t="s">
        <v>59</v>
      </c>
      <c r="J73" s="174" t="s">
        <v>59</v>
      </c>
      <c r="K73" s="175"/>
      <c r="L73" s="92" t="s">
        <v>59</v>
      </c>
      <c r="M73" s="93" t="s">
        <v>59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51</v>
      </c>
      <c r="G74" s="99">
        <v>1</v>
      </c>
      <c r="H74" s="99" t="s">
        <v>52</v>
      </c>
      <c r="I74" s="100"/>
      <c r="J74" s="101" t="s">
        <v>59</v>
      </c>
      <c r="K74" s="102" t="s">
        <v>53</v>
      </c>
      <c r="L74" s="103" t="s">
        <v>54</v>
      </c>
      <c r="M74" s="104">
        <f>SUM(M24:M73)</f>
        <v>87743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59</v>
      </c>
      <c r="K75" s="106" t="s">
        <v>53</v>
      </c>
      <c r="L75" s="107"/>
      <c r="M75" s="104" t="s">
        <v>59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59</v>
      </c>
      <c r="K76" s="102" t="s">
        <v>53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59</v>
      </c>
      <c r="K77" s="106" t="s">
        <v>53</v>
      </c>
      <c r="L77" s="107" t="s">
        <v>55</v>
      </c>
      <c r="M77" s="109">
        <f>SUM(M74)</f>
        <v>87743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56</v>
      </c>
      <c r="B79" s="115"/>
      <c r="C79" s="116"/>
      <c r="D79" s="117"/>
      <c r="E79" s="118"/>
      <c r="F79" s="111"/>
      <c r="G79" s="111"/>
      <c r="H79" s="111"/>
      <c r="I79" s="9" t="s">
        <v>57</v>
      </c>
      <c r="J79" s="111"/>
      <c r="K79" s="111"/>
      <c r="L79" s="112"/>
      <c r="M79" s="113"/>
      <c r="N79" s="83"/>
      <c r="O79" s="68"/>
      <c r="P79" s="68"/>
    </row>
    <row r="80" spans="1:16" ht="22.8" customHeight="1">
      <c r="A80" s="188" t="s">
        <v>106</v>
      </c>
      <c r="B80" s="167"/>
      <c r="C80" s="167"/>
      <c r="D80" s="167"/>
      <c r="E80" s="168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 ht="18" customHeight="1">
      <c r="A81" s="166"/>
      <c r="B81" s="167"/>
      <c r="C81" s="167"/>
      <c r="D81" s="167"/>
      <c r="E81" s="168"/>
      <c r="F81" s="95"/>
      <c r="G81" s="95"/>
      <c r="H81" s="95"/>
      <c r="I81" s="172" t="s">
        <v>58</v>
      </c>
      <c r="J81" s="172"/>
      <c r="K81" s="172"/>
      <c r="L81" s="172"/>
      <c r="M81" s="172"/>
      <c r="N81" s="83"/>
      <c r="O81" s="68"/>
      <c r="P81" s="68"/>
    </row>
    <row r="82" spans="1:16" ht="18.600000000000001" customHeight="1" thickBot="1">
      <c r="A82" s="169"/>
      <c r="B82" s="170"/>
      <c r="C82" s="170"/>
      <c r="D82" s="170"/>
      <c r="E82" s="171"/>
      <c r="F82" s="95"/>
      <c r="G82" s="95"/>
      <c r="H82" s="95"/>
      <c r="I82" s="173"/>
      <c r="J82" s="173"/>
      <c r="K82" s="173"/>
      <c r="L82" s="173"/>
      <c r="M82" s="173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7">
    <mergeCell ref="C44:D44"/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</mergeCells>
  <phoneticPr fontId="3"/>
  <conditionalFormatting sqref="C23:C73">
    <cfRule type="expression" dxfId="0" priority="3">
      <formula>#REF!="YES"</formula>
    </cfRule>
  </conditionalFormatting>
  <dataValidations count="4">
    <dataValidation type="list" showInputMessage="1" showErrorMessage="1" sqref="K77" xr:uid="{AF9C2AF2-DE0C-48DE-A452-7B333892DE27}">
      <formula1>"　,roll,m,bag,pcs.,set,sheet,BOX,KG,hank,pair,bobbin"</formula1>
    </dataValidation>
    <dataValidation type="list" showInputMessage="1" showErrorMessage="1" sqref="K76" xr:uid="{694395EA-8584-4D5A-8332-B5F484AA9032}">
      <formula1>"　,roll,m,bag,pcs.,set,sheet,BOX,KG,hank, pair"</formula1>
    </dataValidation>
    <dataValidation type="list" showInputMessage="1" showErrorMessage="1" sqref="K75" xr:uid="{45C2ACEA-54D8-4D0F-9624-1CB0DE6820BF}">
      <formula1>"　,roll,m,bag,pcs.,set,sheet,BOX,KG,hank,bobbin"</formula1>
    </dataValidation>
    <dataValidation type="list" showInputMessage="1" showErrorMessage="1" sqref="K74" xr:uid="{29D6A298-02A7-4AF3-A78C-1BE85B4D5995}">
      <formula1>"　,roll,m,bag,pcs.,set,sheet,BOX,KG"</formula1>
    </dataValidation>
  </dataValidations>
  <hyperlinks>
    <hyperlink ref="B12" r:id="rId1" display="TEL:86-20-87304987" xr:uid="{C96C9EB8-20D4-4B6E-A656-08954EEF324D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2026-03-05T05:34:18Z</cp:lastPrinted>
  <dcterms:created xsi:type="dcterms:W3CDTF">2026-03-04T08:15:13Z</dcterms:created>
  <dcterms:modified xsi:type="dcterms:W3CDTF">2026-03-05T05:41:25Z</dcterms:modified>
</cp:coreProperties>
</file>