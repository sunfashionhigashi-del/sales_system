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Invoice(自動保存)\SF-SH\"/>
    </mc:Choice>
  </mc:AlternateContent>
  <xr:revisionPtr revIDLastSave="0" documentId="13_ncr:1_{866767F6-42BE-4BF9-A175-59AFC04350B6}" xr6:coauthVersionLast="47" xr6:coauthVersionMax="47" xr10:uidLastSave="{00000000-0000-0000-0000-000000000000}"/>
  <bookViews>
    <workbookView xWindow="-108" yWindow="-108" windowWidth="23256" windowHeight="12456" xr2:uid="{33A50A30-08BC-4D46-9282-60A90F83FC0A}"/>
  </bookViews>
  <sheets>
    <sheet name="INVOICE" sheetId="1" r:id="rId1"/>
  </sheets>
  <definedNames>
    <definedName name="_xlnm.Print_Area" localSheetId="0">INVOICE!$A$1:$M$163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5" i="1" l="1"/>
  <c r="M158" i="1" s="1"/>
  <c r="M1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A161" authorId="0" shapeId="0" xr:uid="{59103042-3059-473F-95B7-D278303F913F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ここに都度入力して下さい
(Packing Listと同期）</t>
        </r>
      </text>
    </comment>
  </commentList>
</comments>
</file>

<file path=xl/sharedStrings.xml><?xml version="1.0" encoding="utf-8"?>
<sst xmlns="http://schemas.openxmlformats.org/spreadsheetml/2006/main" count="1169" uniqueCount="175">
  <si>
    <t>COMMERCIAL INVOICE</t>
    <phoneticPr fontId="4"/>
  </si>
  <si>
    <t>8-21-10 FUKUSHIMA, FUKUSHIMA-KU,</t>
    <phoneticPr fontId="4"/>
  </si>
  <si>
    <t>(PAGE 1)</t>
    <phoneticPr fontId="3"/>
  </si>
  <si>
    <t>OSAKA 553-0003, JAPAN</t>
    <phoneticPr fontId="4"/>
  </si>
  <si>
    <t>Ref No. :</t>
    <phoneticPr fontId="3"/>
  </si>
  <si>
    <t>TEL: +81 6-6455-2850</t>
    <phoneticPr fontId="4"/>
  </si>
  <si>
    <t>FAX: +81 6-6452-1641</t>
    <phoneticPr fontId="4"/>
  </si>
  <si>
    <t>Date :</t>
    <phoneticPr fontId="4"/>
  </si>
  <si>
    <t>Consignee:</t>
    <phoneticPr fontId="4"/>
  </si>
  <si>
    <t>SUN FASHION (SHANGHAI) TRADING CO., LTD</t>
  </si>
  <si>
    <t>Unit 9G29 Shanghai Mart, 2299</t>
  </si>
  <si>
    <t>Yan An Road (West), Shanghai</t>
  </si>
  <si>
    <t>L/C No.</t>
    <phoneticPr fontId="4"/>
  </si>
  <si>
    <t>Dated</t>
    <phoneticPr fontId="4"/>
  </si>
  <si>
    <t>China 200336</t>
  </si>
  <si>
    <t>N/A</t>
    <phoneticPr fontId="3"/>
  </si>
  <si>
    <t>ATTN: Mr. Chen Peng</t>
  </si>
  <si>
    <t>Expiry Date</t>
    <phoneticPr fontId="4"/>
  </si>
  <si>
    <t>Issuing Bank</t>
    <phoneticPr fontId="3"/>
  </si>
  <si>
    <t>Tel : 86-21-6443-6715/ Fax: 86-21-6443-8159</t>
  </si>
  <si>
    <t>Sold to:</t>
    <phoneticPr fontId="4"/>
  </si>
  <si>
    <t>Same as Consignee</t>
    <phoneticPr fontId="4"/>
  </si>
  <si>
    <t>Terms</t>
    <phoneticPr fontId="3"/>
  </si>
  <si>
    <t>Method of Payment</t>
    <phoneticPr fontId="4"/>
  </si>
  <si>
    <t>By T/T</t>
    <phoneticPr fontId="3"/>
  </si>
  <si>
    <t>Ocean Vessel</t>
    <phoneticPr fontId="4"/>
  </si>
  <si>
    <t>Port of Loading</t>
    <phoneticPr fontId="4"/>
  </si>
  <si>
    <t>Sailing on or about</t>
    <phoneticPr fontId="4"/>
  </si>
  <si>
    <t>Fedex</t>
  </si>
  <si>
    <t>Osaka, Japan</t>
    <phoneticPr fontId="4"/>
  </si>
  <si>
    <t>Port of Discharge</t>
    <phoneticPr fontId="4"/>
  </si>
  <si>
    <t>Place of Delivery</t>
    <phoneticPr fontId="4"/>
  </si>
  <si>
    <t>Final Destination</t>
    <phoneticPr fontId="4"/>
  </si>
  <si>
    <t>Shanghai</t>
    <phoneticPr fontId="4"/>
  </si>
  <si>
    <t>Shanghai, China</t>
    <phoneticPr fontId="4"/>
  </si>
  <si>
    <t>-</t>
    <phoneticPr fontId="3"/>
  </si>
  <si>
    <t>Marks &amp; No.</t>
    <phoneticPr fontId="4"/>
  </si>
  <si>
    <t>Order No.</t>
    <phoneticPr fontId="3"/>
  </si>
  <si>
    <t>Description of Goods</t>
    <phoneticPr fontId="4"/>
  </si>
  <si>
    <t>Quantity</t>
    <phoneticPr fontId="3"/>
  </si>
  <si>
    <t>Unit Price</t>
    <phoneticPr fontId="4"/>
  </si>
  <si>
    <t>Amount</t>
    <phoneticPr fontId="4"/>
  </si>
  <si>
    <t>C/NO.</t>
  </si>
  <si>
    <t>Art.No.</t>
    <phoneticPr fontId="4"/>
  </si>
  <si>
    <t>Width</t>
    <phoneticPr fontId="4"/>
  </si>
  <si>
    <t>Color</t>
    <phoneticPr fontId="4"/>
  </si>
  <si>
    <t>Put-up</t>
    <phoneticPr fontId="4"/>
  </si>
  <si>
    <t>Qty</t>
    <phoneticPr fontId="4"/>
  </si>
  <si>
    <t>Total Qty</t>
    <phoneticPr fontId="4"/>
  </si>
  <si>
    <t>FOB JAPAN</t>
    <phoneticPr fontId="4"/>
  </si>
  <si>
    <t>ATTACHED SHEET</t>
    <phoneticPr fontId="3"/>
  </si>
  <si>
    <t>(PAGE 2)</t>
    <phoneticPr fontId="4"/>
  </si>
  <si>
    <t>INVOICE NO.</t>
    <phoneticPr fontId="4"/>
  </si>
  <si>
    <t>TOTAL:</t>
    <phoneticPr fontId="3"/>
  </si>
  <si>
    <t>Carton</t>
    <phoneticPr fontId="3"/>
  </si>
  <si>
    <t>　</t>
  </si>
  <si>
    <t>C&amp;F Shanghai:</t>
    <phoneticPr fontId="3"/>
  </si>
  <si>
    <t>Total Amount:</t>
    <phoneticPr fontId="4"/>
  </si>
  <si>
    <t>FedEx Reference No.</t>
    <phoneticPr fontId="3"/>
  </si>
  <si>
    <t>SUN FASHION CORP.</t>
    <phoneticPr fontId="4"/>
  </si>
  <si>
    <t xml:space="preserve">Yuka Saito </t>
    <phoneticPr fontId="3"/>
  </si>
  <si>
    <t/>
  </si>
  <si>
    <t>Chiffon Ribbon / 60% Polyester, 40% Cupro</t>
  </si>
  <si>
    <t>SHA-25096</t>
  </si>
  <si>
    <t>15mm</t>
  </si>
  <si>
    <t>30</t>
  </si>
  <si>
    <t>m</t>
  </si>
  <si>
    <t>roll</t>
  </si>
  <si>
    <t>1590m</t>
  </si>
  <si>
    <t xml:space="preserve">Double Faced Velveteen Ribbon / 11% Nylon, 89% Rayon </t>
  </si>
  <si>
    <t>SHG-2025117</t>
  </si>
  <si>
    <t>6mm</t>
  </si>
  <si>
    <t>10</t>
  </si>
  <si>
    <t>50m</t>
  </si>
  <si>
    <t>Lace / 100% Cotton</t>
  </si>
  <si>
    <t>SHG-2025098</t>
  </si>
  <si>
    <t>KYL-23348</t>
  </si>
  <si>
    <t>1</t>
  </si>
  <si>
    <t>27m</t>
  </si>
  <si>
    <t>SHG-2025103</t>
  </si>
  <si>
    <t>KYL-3359</t>
  </si>
  <si>
    <t>13.5m</t>
  </si>
  <si>
    <t>Petersham Ribbon / 100% Rayon</t>
  </si>
  <si>
    <t>SHG-2025122</t>
  </si>
  <si>
    <t>38mm</t>
  </si>
  <si>
    <t>30m</t>
  </si>
  <si>
    <t>Recycled Polyester Stretch Herrigbone Tape / 100% Recycled Polyester</t>
  </si>
  <si>
    <t>SHA-26003</t>
  </si>
  <si>
    <t>E3921</t>
  </si>
  <si>
    <t>9mm</t>
  </si>
  <si>
    <t>Stitch Denim / 100% Cotton</t>
  </si>
  <si>
    <t>SHG-2025121</t>
  </si>
  <si>
    <t>TELALA-7040</t>
  </si>
  <si>
    <t>20mm</t>
  </si>
  <si>
    <t>390m</t>
  </si>
  <si>
    <t>Torchon Lace / 100% Cotton</t>
  </si>
  <si>
    <t>SHG-2025119</t>
  </si>
  <si>
    <t>LY-3041</t>
  </si>
  <si>
    <t>off white</t>
  </si>
  <si>
    <t>LY-3062</t>
  </si>
  <si>
    <t>LY-3086</t>
  </si>
  <si>
    <t>LY-3093</t>
  </si>
  <si>
    <t>LY-4024</t>
  </si>
  <si>
    <t>LY-5020</t>
  </si>
  <si>
    <t>LY-5023</t>
  </si>
  <si>
    <t>LY-5053</t>
  </si>
  <si>
    <t>LY-5089</t>
  </si>
  <si>
    <t>LY-5108</t>
  </si>
  <si>
    <t>LY-5150</t>
  </si>
  <si>
    <t>LY-5151</t>
  </si>
  <si>
    <t>LY-5154</t>
  </si>
  <si>
    <t>LY-5198</t>
  </si>
  <si>
    <t>LY-5199</t>
  </si>
  <si>
    <t>LY-5214</t>
  </si>
  <si>
    <t>LY-6009</t>
  </si>
  <si>
    <t>LY-6020</t>
  </si>
  <si>
    <t>LY-6021</t>
  </si>
  <si>
    <t>LY-6027</t>
  </si>
  <si>
    <t>LY-6041</t>
  </si>
  <si>
    <t>LY-6048</t>
  </si>
  <si>
    <t>LY-6062</t>
  </si>
  <si>
    <t>LY-6063</t>
  </si>
  <si>
    <t>LY-6085</t>
  </si>
  <si>
    <t>LY-6097</t>
  </si>
  <si>
    <t>LY-6100</t>
  </si>
  <si>
    <t>LY-6101</t>
  </si>
  <si>
    <t>LY-6142</t>
  </si>
  <si>
    <t>LY-6157</t>
  </si>
  <si>
    <t>LY-6161</t>
  </si>
  <si>
    <t>LY-6180</t>
  </si>
  <si>
    <t>LY-6217</t>
  </si>
  <si>
    <t>LY-6253</t>
  </si>
  <si>
    <t>LY-6254</t>
  </si>
  <si>
    <t>LY-6258</t>
  </si>
  <si>
    <t>LY-6277</t>
  </si>
  <si>
    <t>LY-6309</t>
  </si>
  <si>
    <t>LY-6313</t>
  </si>
  <si>
    <t>LY-6566</t>
  </si>
  <si>
    <t>LY-6594</t>
  </si>
  <si>
    <t>LY-6679</t>
  </si>
  <si>
    <t>LY-6769</t>
  </si>
  <si>
    <t>LY-6777</t>
  </si>
  <si>
    <t>LY-6868</t>
  </si>
  <si>
    <t>LY-6873</t>
  </si>
  <si>
    <t>LY-6878</t>
  </si>
  <si>
    <t>LY-7214</t>
  </si>
  <si>
    <t>LY-8366</t>
  </si>
  <si>
    <t>LY-8685</t>
  </si>
  <si>
    <t>LY-8701</t>
  </si>
  <si>
    <t>SHW-25128</t>
  </si>
  <si>
    <t>FWL-71073</t>
  </si>
  <si>
    <t>Mill's Off White</t>
  </si>
  <si>
    <t>10m</t>
  </si>
  <si>
    <t>FWL-23946</t>
  </si>
  <si>
    <t>FWL-23480</t>
  </si>
  <si>
    <t>FWL-23945</t>
  </si>
  <si>
    <t>SHW-25129</t>
  </si>
  <si>
    <t>FWL-71120</t>
  </si>
  <si>
    <t>130m</t>
  </si>
  <si>
    <t>FWL-2544</t>
  </si>
  <si>
    <t>300m</t>
  </si>
  <si>
    <t>DS.2201</t>
  </si>
  <si>
    <t>90m</t>
  </si>
  <si>
    <t>Velvet Ribbon / 70% Rayon, 30% Nylon</t>
  </si>
  <si>
    <t>SHA-26004</t>
  </si>
  <si>
    <t>25mm</t>
  </si>
  <si>
    <t>330m</t>
  </si>
  <si>
    <t>roll</t>
    <phoneticPr fontId="3"/>
  </si>
  <si>
    <t>Optic White</t>
    <phoneticPr fontId="3"/>
  </si>
  <si>
    <t>(per roll, m)</t>
    <phoneticPr fontId="4"/>
  </si>
  <si>
    <t>Inland freight</t>
  </si>
  <si>
    <t>Upcharge</t>
  </si>
  <si>
    <t>set</t>
  </si>
  <si>
    <r>
      <t xml:space="preserve">Marks &amp; Nos. 
NO. 1-2
</t>
    </r>
    <r>
      <rPr>
        <sz val="12"/>
        <color rgb="FF000000"/>
        <rFont val="Yu Gothic"/>
        <family val="2"/>
        <charset val="128"/>
      </rPr>
      <t>　　　　　　      　　　</t>
    </r>
    <r>
      <rPr>
        <sz val="12"/>
        <color indexed="8"/>
        <rFont val="Arial"/>
        <family val="2"/>
      </rPr>
      <t>COUNTRY OF ORIGIN: JAPAN</t>
    </r>
    <phoneticPr fontId="3"/>
  </si>
  <si>
    <t>887922735121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</si>
</sst>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&quot;¥&quot;#,##0.\-;\-&quot;¥&quot;#,##0.\-"/>
    <numFmt numFmtId="177" formatCode="d\ mmmm\,\ yyyy"/>
    <numFmt numFmtId="178" formatCode="&quot;SF-0&quot;General"/>
    <numFmt numFmtId="179" formatCode="#,##0&quot;mm&quot;"/>
    <numFmt numFmtId="180" formatCode="&quot;#&quot;General"/>
    <numFmt numFmtId="181" formatCode="#,##0&quot; m&quot;"/>
    <numFmt numFmtId="182" formatCode="#,##0&quot; rolls&quot;"/>
    <numFmt numFmtId="183" formatCode="&quot;@ &quot;&quot;¥&quot;#,##0.\-"/>
    <numFmt numFmtId="184" formatCode="&quot;¥&quot;#,##0.\-"/>
    <numFmt numFmtId="185" formatCode="&quot;@&quot;&quot;¥&quot;#,##0.\-"/>
    <numFmt numFmtId="186" formatCode="&quot;S-&quot;General"/>
    <numFmt numFmtId="187" formatCode="#,##0&quot; BOX&quot;"/>
    <numFmt numFmtId="188" formatCode="#,##0.0_ &quot;kg&quot;"/>
    <numFmt numFmtId="189" formatCode="&quot;&amp;&quot;\ #,##0.0\ &quot;m&quot;"/>
    <numFmt numFmtId="190" formatCode="&quot;&amp;&quot;\ #,##0\ &quot;pcs&quot;"/>
  </numFmts>
  <fonts count="4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Arial"/>
      <family val="2"/>
    </font>
    <font>
      <sz val="10"/>
      <name val="Arial"/>
      <family val="2"/>
    </font>
    <font>
      <b/>
      <sz val="22"/>
      <color indexed="8"/>
      <name val="Arial"/>
      <family val="2"/>
    </font>
    <font>
      <sz val="11"/>
      <color indexed="8"/>
      <name val="Arial"/>
      <family val="2"/>
    </font>
    <font>
      <b/>
      <sz val="28"/>
      <color indexed="8"/>
      <name val="Arial"/>
      <family val="2"/>
    </font>
    <font>
      <sz val="22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16"/>
      <color theme="1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ＭＳ Ｐゴシック"/>
      <family val="3"/>
      <charset val="128"/>
    </font>
    <font>
      <u/>
      <sz val="11"/>
      <color theme="10"/>
      <name val="Arial"/>
      <family val="2"/>
    </font>
    <font>
      <sz val="12"/>
      <name val="Arial"/>
      <family val="2"/>
    </font>
    <font>
      <sz val="12"/>
      <color rgb="FF000000"/>
      <name val="Yu Gothic"/>
      <family val="2"/>
      <charset val="128"/>
    </font>
    <font>
      <u/>
      <sz val="12"/>
      <color indexed="8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u/>
      <sz val="16"/>
      <name val="Arial"/>
      <family val="2"/>
    </font>
    <font>
      <b/>
      <sz val="28"/>
      <name val="Arial"/>
      <family val="2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20"/>
      <color indexed="8"/>
      <name val="Arial"/>
      <family val="2"/>
    </font>
    <font>
      <b/>
      <u/>
      <sz val="14"/>
      <color indexed="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Arial"/>
      <family val="2"/>
    </font>
    <font>
      <b/>
      <u/>
      <sz val="16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28"/>
      <color indexed="8"/>
      <name val="Bradley Hand ITC"/>
      <family val="4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3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10" fillId="0" borderId="0" xfId="0" applyFont="1" applyAlignment="1"/>
    <xf numFmtId="176" fontId="8" fillId="2" borderId="0" xfId="0" applyNumberFormat="1" applyFont="1" applyFill="1" applyAlignment="1"/>
    <xf numFmtId="0" fontId="11" fillId="0" borderId="0" xfId="0" applyFont="1" applyAlignment="1">
      <alignment horizontal="center"/>
    </xf>
    <xf numFmtId="0" fontId="5" fillId="0" borderId="0" xfId="0" applyFont="1">
      <alignment vertical="center"/>
    </xf>
    <xf numFmtId="0" fontId="12" fillId="0" borderId="0" xfId="0" applyFont="1" applyAlignment="1"/>
    <xf numFmtId="0" fontId="12" fillId="0" borderId="5" xfId="0" applyFont="1" applyBorder="1" applyAlignment="1"/>
    <xf numFmtId="0" fontId="8" fillId="0" borderId="5" xfId="0" applyFont="1" applyBorder="1" applyAlignment="1"/>
    <xf numFmtId="0" fontId="13" fillId="0" borderId="5" xfId="0" applyFont="1" applyBorder="1" applyAlignment="1"/>
    <xf numFmtId="0" fontId="14" fillId="0" borderId="6" xfId="0" applyFont="1" applyBorder="1" applyAlignment="1"/>
    <xf numFmtId="0" fontId="16" fillId="0" borderId="8" xfId="0" applyFont="1" applyBorder="1" applyAlignment="1"/>
    <xf numFmtId="0" fontId="16" fillId="0" borderId="6" xfId="0" applyFont="1" applyBorder="1" applyAlignment="1"/>
    <xf numFmtId="0" fontId="17" fillId="0" borderId="6" xfId="0" applyFont="1" applyBorder="1" applyAlignment="1"/>
    <xf numFmtId="0" fontId="17" fillId="0" borderId="9" xfId="0" applyFont="1" applyBorder="1" applyAlignment="1"/>
    <xf numFmtId="0" fontId="17" fillId="0" borderId="1" xfId="0" applyFont="1" applyBorder="1" applyAlignment="1"/>
    <xf numFmtId="0" fontId="17" fillId="0" borderId="0" xfId="0" applyFont="1" applyAlignment="1"/>
    <xf numFmtId="0" fontId="14" fillId="0" borderId="0" xfId="0" applyFont="1" applyAlignment="1"/>
    <xf numFmtId="0" fontId="0" fillId="2" borderId="0" xfId="0" applyFill="1" applyAlignment="1"/>
    <xf numFmtId="0" fontId="18" fillId="0" borderId="1" xfId="0" applyFont="1" applyBorder="1" applyAlignment="1"/>
    <xf numFmtId="0" fontId="18" fillId="0" borderId="0" xfId="0" applyFont="1" applyAlignment="1"/>
    <xf numFmtId="0" fontId="8" fillId="0" borderId="11" xfId="0" applyFont="1" applyBorder="1" applyAlignment="1"/>
    <xf numFmtId="0" fontId="8" fillId="0" borderId="1" xfId="0" applyFont="1" applyBorder="1" applyAlignment="1"/>
    <xf numFmtId="0" fontId="19" fillId="0" borderId="0" xfId="0" applyFont="1" applyAlignment="1"/>
    <xf numFmtId="176" fontId="20" fillId="2" borderId="0" xfId="0" applyNumberFormat="1" applyFont="1" applyFill="1" applyAlignment="1"/>
    <xf numFmtId="0" fontId="21" fillId="2" borderId="0" xfId="0" applyFont="1" applyFill="1" applyAlignment="1"/>
    <xf numFmtId="0" fontId="15" fillId="0" borderId="0" xfId="0" applyFont="1" applyAlignment="1"/>
    <xf numFmtId="0" fontId="15" fillId="0" borderId="11" xfId="0" applyFont="1" applyBorder="1" applyAlignment="1"/>
    <xf numFmtId="0" fontId="15" fillId="0" borderId="7" xfId="0" applyFont="1" applyBorder="1" applyAlignment="1"/>
    <xf numFmtId="0" fontId="22" fillId="0" borderId="11" xfId="2" applyFont="1" applyBorder="1" applyAlignment="1" applyProtection="1"/>
    <xf numFmtId="0" fontId="18" fillId="0" borderId="11" xfId="0" applyFont="1" applyBorder="1" applyAlignment="1"/>
    <xf numFmtId="0" fontId="18" fillId="0" borderId="12" xfId="0" applyFont="1" applyBorder="1" applyAlignment="1"/>
    <xf numFmtId="20" fontId="8" fillId="0" borderId="11" xfId="0" applyNumberFormat="1" applyFont="1" applyBorder="1" applyAlignment="1"/>
    <xf numFmtId="0" fontId="15" fillId="0" borderId="7" xfId="0" applyFont="1" applyBorder="1" applyAlignment="1">
      <alignment horizontal="left"/>
    </xf>
    <xf numFmtId="0" fontId="23" fillId="0" borderId="13" xfId="2" applyFont="1" applyBorder="1" applyAlignment="1" applyProtection="1"/>
    <xf numFmtId="0" fontId="18" fillId="0" borderId="5" xfId="0" applyFont="1" applyBorder="1" applyAlignment="1"/>
    <xf numFmtId="0" fontId="22" fillId="0" borderId="14" xfId="2" applyFont="1" applyBorder="1" applyAlignment="1" applyProtection="1"/>
    <xf numFmtId="0" fontId="18" fillId="0" borderId="8" xfId="0" applyFont="1" applyBorder="1" applyAlignment="1"/>
    <xf numFmtId="0" fontId="18" fillId="0" borderId="6" xfId="0" applyFont="1" applyBorder="1" applyAlignment="1"/>
    <xf numFmtId="0" fontId="18" fillId="0" borderId="9" xfId="0" applyFont="1" applyBorder="1" applyAlignment="1"/>
    <xf numFmtId="0" fontId="19" fillId="0" borderId="0" xfId="0" applyFont="1">
      <alignment vertical="center"/>
    </xf>
    <xf numFmtId="0" fontId="19" fillId="0" borderId="1" xfId="0" applyFont="1" applyBorder="1">
      <alignment vertical="center"/>
    </xf>
    <xf numFmtId="0" fontId="18" fillId="0" borderId="0" xfId="0" applyFont="1" applyAlignment="1">
      <alignment vertical="top"/>
    </xf>
    <xf numFmtId="0" fontId="18" fillId="0" borderId="13" xfId="0" applyFont="1" applyBorder="1" applyAlignment="1"/>
    <xf numFmtId="0" fontId="18" fillId="0" borderId="14" xfId="0" applyFont="1" applyBorder="1" applyAlignment="1"/>
    <xf numFmtId="0" fontId="19" fillId="0" borderId="13" xfId="0" applyFont="1" applyBorder="1">
      <alignment vertical="center"/>
    </xf>
    <xf numFmtId="0" fontId="19" fillId="0" borderId="5" xfId="0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/>
    </xf>
    <xf numFmtId="176" fontId="18" fillId="0" borderId="16" xfId="0" applyNumberFormat="1" applyFont="1" applyBorder="1" applyAlignment="1">
      <alignment horizontal="center"/>
    </xf>
    <xf numFmtId="176" fontId="13" fillId="2" borderId="0" xfId="0" applyNumberFormat="1" applyFont="1" applyFill="1" applyAlignment="1"/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176" fontId="18" fillId="0" borderId="10" xfId="0" applyNumberFormat="1" applyFont="1" applyBorder="1" applyAlignment="1"/>
    <xf numFmtId="178" fontId="18" fillId="0" borderId="1" xfId="0" applyNumberFormat="1" applyFont="1" applyBorder="1" applyAlignment="1">
      <alignment horizontal="center"/>
    </xf>
    <xf numFmtId="179" fontId="18" fillId="0" borderId="0" xfId="0" applyNumberFormat="1" applyFont="1" applyAlignment="1"/>
    <xf numFmtId="180" fontId="18" fillId="0" borderId="0" xfId="0" applyNumberFormat="1" applyFont="1" applyAlignment="1"/>
    <xf numFmtId="181" fontId="18" fillId="0" borderId="1" xfId="0" applyNumberFormat="1" applyFont="1" applyBorder="1" applyAlignment="1"/>
    <xf numFmtId="181" fontId="18" fillId="0" borderId="0" xfId="0" applyNumberFormat="1" applyFont="1" applyAlignment="1"/>
    <xf numFmtId="182" fontId="18" fillId="0" borderId="11" xfId="0" applyNumberFormat="1" applyFont="1" applyBorder="1" applyAlignment="1"/>
    <xf numFmtId="0" fontId="18" fillId="0" borderId="10" xfId="0" applyFont="1" applyBorder="1" applyAlignment="1">
      <alignment horizontal="center"/>
    </xf>
    <xf numFmtId="176" fontId="23" fillId="0" borderId="10" xfId="0" applyNumberFormat="1" applyFont="1" applyBorder="1" applyAlignment="1">
      <alignment horizontal="right"/>
    </xf>
    <xf numFmtId="176" fontId="6" fillId="2" borderId="0" xfId="0" applyNumberFormat="1" applyFont="1" applyFill="1" applyAlignment="1">
      <alignment horizontal="right"/>
    </xf>
    <xf numFmtId="0" fontId="26" fillId="2" borderId="0" xfId="0" applyFont="1" applyFill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 shrinkToFit="1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0" fontId="27" fillId="0" borderId="1" xfId="0" applyFon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83" fontId="27" fillId="0" borderId="10" xfId="0" applyNumberFormat="1" applyFont="1" applyBorder="1" applyAlignment="1">
      <alignment horizontal="center" vertical="center"/>
    </xf>
    <xf numFmtId="184" fontId="27" fillId="0" borderId="10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29" fillId="0" borderId="1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29" fillId="0" borderId="1" xfId="0" applyFont="1" applyBorder="1" applyAlignment="1">
      <alignment horizontal="center"/>
    </xf>
    <xf numFmtId="184" fontId="6" fillId="2" borderId="0" xfId="0" applyNumberFormat="1" applyFont="1" applyFill="1">
      <alignment vertical="center"/>
    </xf>
    <xf numFmtId="0" fontId="27" fillId="0" borderId="13" xfId="0" applyFont="1" applyBorder="1" applyAlignment="1">
      <alignment horizontal="center" vertical="center"/>
    </xf>
    <xf numFmtId="0" fontId="27" fillId="0" borderId="5" xfId="0" applyFont="1" applyBorder="1" applyAlignment="1">
      <alignment horizontal="left" vertical="center" shrinkToFit="1"/>
    </xf>
    <xf numFmtId="0" fontId="27" fillId="0" borderId="13" xfId="0" applyFont="1" applyBorder="1" applyAlignment="1">
      <alignment horizontal="left" vertical="center"/>
    </xf>
    <xf numFmtId="0" fontId="27" fillId="0" borderId="5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 shrinkToFit="1"/>
    </xf>
    <xf numFmtId="0" fontId="27" fillId="0" borderId="13" xfId="0" applyFont="1" applyBorder="1" applyAlignment="1">
      <alignment horizontal="right" vertical="center"/>
    </xf>
    <xf numFmtId="0" fontId="27" fillId="0" borderId="5" xfId="0" applyFont="1" applyBorder="1" applyAlignment="1">
      <alignment horizontal="left" vertical="center"/>
    </xf>
    <xf numFmtId="0" fontId="27" fillId="0" borderId="5" xfId="0" applyFont="1" applyBorder="1" applyAlignment="1">
      <alignment horizontal="right" vertical="center"/>
    </xf>
    <xf numFmtId="183" fontId="27" fillId="0" borderId="12" xfId="0" applyNumberFormat="1" applyFont="1" applyBorder="1" applyAlignment="1">
      <alignment horizontal="center" vertical="center"/>
    </xf>
    <xf numFmtId="184" fontId="27" fillId="0" borderId="12" xfId="0" applyNumberFormat="1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left" vertical="center" shrinkToFit="1"/>
    </xf>
    <xf numFmtId="0" fontId="27" fillId="0" borderId="6" xfId="0" applyFont="1" applyBorder="1" applyAlignment="1">
      <alignment horizontal="left" vertical="center"/>
    </xf>
    <xf numFmtId="0" fontId="27" fillId="0" borderId="6" xfId="0" applyFont="1" applyBorder="1" applyAlignment="1">
      <alignment horizontal="right" vertical="center"/>
    </xf>
    <xf numFmtId="183" fontId="27" fillId="0" borderId="6" xfId="0" applyNumberFormat="1" applyFont="1" applyBorder="1" applyAlignment="1">
      <alignment horizontal="center" vertical="center"/>
    </xf>
    <xf numFmtId="184" fontId="27" fillId="0" borderId="6" xfId="0" applyNumberFormat="1" applyFont="1" applyBorder="1" applyAlignment="1">
      <alignment horizontal="center" vertical="center"/>
    </xf>
    <xf numFmtId="183" fontId="27" fillId="0" borderId="0" xfId="0" applyNumberFormat="1" applyFont="1" applyAlignment="1">
      <alignment horizontal="center" vertical="center"/>
    </xf>
    <xf numFmtId="184" fontId="27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28" fillId="0" borderId="0" xfId="0" applyFont="1" applyAlignment="1">
      <alignment horizontal="right" vertical="center"/>
    </xf>
    <xf numFmtId="0" fontId="27" fillId="0" borderId="0" xfId="0" applyFont="1">
      <alignment vertical="center"/>
    </xf>
    <xf numFmtId="0" fontId="32" fillId="0" borderId="0" xfId="0" applyFont="1" applyAlignment="1"/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right" vertical="center"/>
    </xf>
    <xf numFmtId="185" fontId="33" fillId="0" borderId="0" xfId="0" applyNumberFormat="1" applyFont="1" applyAlignment="1">
      <alignment horizontal="right" vertical="center" indent="1"/>
    </xf>
    <xf numFmtId="184" fontId="33" fillId="0" borderId="0" xfId="0" applyNumberFormat="1" applyFont="1" applyAlignment="1">
      <alignment horizontal="right" vertical="center" indent="1"/>
    </xf>
    <xf numFmtId="0" fontId="35" fillId="0" borderId="0" xfId="0" applyFont="1" applyAlignment="1">
      <alignment horizontal="center" wrapText="1"/>
    </xf>
    <xf numFmtId="186" fontId="11" fillId="0" borderId="0" xfId="0" applyNumberFormat="1" applyFont="1" applyAlignment="1"/>
    <xf numFmtId="176" fontId="32" fillId="0" borderId="0" xfId="0" applyNumberFormat="1" applyFont="1" applyAlignment="1"/>
    <xf numFmtId="0" fontId="32" fillId="0" borderId="2" xfId="0" applyFont="1" applyBorder="1" applyAlignment="1"/>
    <xf numFmtId="186" fontId="36" fillId="0" borderId="2" xfId="0" applyNumberFormat="1" applyFont="1" applyBorder="1" applyAlignment="1">
      <alignment horizontal="center"/>
    </xf>
    <xf numFmtId="176" fontId="32" fillId="0" borderId="2" xfId="0" applyNumberFormat="1" applyFont="1" applyBorder="1" applyAlignment="1"/>
    <xf numFmtId="185" fontId="33" fillId="0" borderId="2" xfId="0" applyNumberFormat="1" applyFont="1" applyBorder="1" applyAlignment="1">
      <alignment horizontal="right" vertical="center" indent="1"/>
    </xf>
    <xf numFmtId="184" fontId="33" fillId="0" borderId="2" xfId="0" applyNumberFormat="1" applyFont="1" applyBorder="1" applyAlignment="1">
      <alignment horizontal="right" vertical="center" indent="1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/>
    </xf>
    <xf numFmtId="176" fontId="18" fillId="0" borderId="22" xfId="0" applyNumberFormat="1" applyFont="1" applyBorder="1" applyAlignment="1">
      <alignment horizontal="center"/>
    </xf>
    <xf numFmtId="0" fontId="18" fillId="0" borderId="18" xfId="0" applyFont="1" applyBorder="1" applyAlignment="1"/>
    <xf numFmtId="0" fontId="25" fillId="0" borderId="23" xfId="0" applyFont="1" applyBorder="1" applyAlignment="1">
      <alignment horizontal="center"/>
    </xf>
    <xf numFmtId="176" fontId="18" fillId="0" borderId="23" xfId="0" applyNumberFormat="1" applyFont="1" applyBorder="1" applyAlignment="1">
      <alignment horizontal="center"/>
    </xf>
    <xf numFmtId="176" fontId="23" fillId="0" borderId="10" xfId="0" applyNumberFormat="1" applyFont="1" applyBorder="1" applyAlignment="1">
      <alignment horizontal="center"/>
    </xf>
    <xf numFmtId="0" fontId="27" fillId="0" borderId="14" xfId="0" applyFont="1" applyBorder="1" applyAlignment="1">
      <alignment horizontal="left" vertical="center" shrinkToFit="1"/>
    </xf>
    <xf numFmtId="0" fontId="33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right" vertical="center"/>
    </xf>
    <xf numFmtId="0" fontId="27" fillId="0" borderId="14" xfId="0" applyFont="1" applyBorder="1">
      <alignment vertical="center"/>
    </xf>
    <xf numFmtId="0" fontId="27" fillId="0" borderId="0" xfId="0" applyFont="1" applyAlignment="1"/>
    <xf numFmtId="0" fontId="37" fillId="0" borderId="0" xfId="0" applyFont="1" applyAlignment="1"/>
    <xf numFmtId="0" fontId="37" fillId="0" borderId="0" xfId="0" applyFont="1" applyAlignment="1">
      <alignment horizontal="right"/>
    </xf>
    <xf numFmtId="0" fontId="38" fillId="0" borderId="0" xfId="0" applyFont="1" applyAlignment="1"/>
    <xf numFmtId="182" fontId="39" fillId="0" borderId="0" xfId="0" applyNumberFormat="1" applyFont="1" applyAlignment="1"/>
    <xf numFmtId="38" fontId="40" fillId="0" borderId="0" xfId="1" applyFont="1" applyBorder="1" applyAlignment="1"/>
    <xf numFmtId="187" fontId="40" fillId="0" borderId="0" xfId="0" applyNumberFormat="1" applyFont="1" applyAlignment="1"/>
    <xf numFmtId="188" fontId="38" fillId="0" borderId="24" xfId="0" applyNumberFormat="1" applyFont="1" applyBorder="1" applyAlignment="1"/>
    <xf numFmtId="184" fontId="38" fillId="0" borderId="24" xfId="0" applyNumberFormat="1" applyFont="1" applyBorder="1" applyAlignment="1">
      <alignment horizontal="center"/>
    </xf>
    <xf numFmtId="189" fontId="39" fillId="0" borderId="0" xfId="0" applyNumberFormat="1" applyFont="1" applyAlignment="1"/>
    <xf numFmtId="182" fontId="40" fillId="0" borderId="0" xfId="0" applyNumberFormat="1" applyFont="1" applyAlignment="1"/>
    <xf numFmtId="0" fontId="38" fillId="0" borderId="24" xfId="0" applyFont="1" applyBorder="1" applyAlignment="1"/>
    <xf numFmtId="189" fontId="40" fillId="0" borderId="0" xfId="0" applyNumberFormat="1" applyFont="1" applyAlignment="1"/>
    <xf numFmtId="176" fontId="38" fillId="0" borderId="24" xfId="0" applyNumberFormat="1" applyFont="1" applyBorder="1" applyAlignment="1">
      <alignment horizontal="center"/>
    </xf>
    <xf numFmtId="190" fontId="40" fillId="0" borderId="0" xfId="0" applyNumberFormat="1" applyFont="1" applyAlignment="1">
      <alignment horizontal="right"/>
    </xf>
    <xf numFmtId="0" fontId="29" fillId="0" borderId="0" xfId="0" applyFont="1" applyAlignment="1"/>
    <xf numFmtId="178" fontId="29" fillId="0" borderId="0" xfId="0" applyNumberFormat="1" applyFont="1" applyAlignment="1"/>
    <xf numFmtId="176" fontId="29" fillId="0" borderId="0" xfId="0" applyNumberFormat="1" applyFont="1" applyAlignment="1"/>
    <xf numFmtId="0" fontId="41" fillId="0" borderId="8" xfId="0" applyFont="1" applyBorder="1" applyAlignment="1"/>
    <xf numFmtId="0" fontId="5" fillId="0" borderId="6" xfId="0" applyFont="1" applyBorder="1">
      <alignment vertical="center"/>
    </xf>
    <xf numFmtId="0" fontId="28" fillId="0" borderId="6" xfId="0" applyFont="1" applyBorder="1">
      <alignment vertical="center"/>
    </xf>
    <xf numFmtId="0" fontId="29" fillId="0" borderId="6" xfId="0" applyFont="1" applyBorder="1" applyAlignment="1"/>
    <xf numFmtId="0" fontId="29" fillId="0" borderId="9" xfId="0" applyFont="1" applyBorder="1" applyAlignment="1"/>
    <xf numFmtId="0" fontId="40" fillId="0" borderId="0" xfId="0" applyFont="1">
      <alignment vertical="center"/>
    </xf>
    <xf numFmtId="0" fontId="42" fillId="0" borderId="0" xfId="0" applyFont="1" applyAlignment="1"/>
    <xf numFmtId="0" fontId="43" fillId="0" borderId="0" xfId="0" applyFont="1" applyAlignment="1"/>
    <xf numFmtId="178" fontId="43" fillId="0" borderId="0" xfId="0" applyNumberFormat="1" applyFont="1" applyAlignment="1"/>
    <xf numFmtId="176" fontId="43" fillId="0" borderId="0" xfId="0" applyNumberFormat="1" applyFont="1" applyAlignment="1"/>
    <xf numFmtId="0" fontId="34" fillId="2" borderId="0" xfId="0" applyFont="1" applyFill="1">
      <alignment vertical="center"/>
    </xf>
    <xf numFmtId="0" fontId="40" fillId="2" borderId="0" xfId="0" applyFont="1" applyFill="1">
      <alignment vertical="center"/>
    </xf>
    <xf numFmtId="0" fontId="41" fillId="0" borderId="1" xfId="0" applyFont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44" fillId="0" borderId="0" xfId="0" applyFont="1" applyAlignment="1">
      <alignment horizontal="center"/>
    </xf>
    <xf numFmtId="0" fontId="44" fillId="0" borderId="25" xfId="0" applyFont="1" applyBorder="1" applyAlignment="1">
      <alignment horizontal="center"/>
    </xf>
    <xf numFmtId="0" fontId="18" fillId="0" borderId="20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9" xfId="0" applyFont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 wrapText="1"/>
    </xf>
    <xf numFmtId="0" fontId="35" fillId="0" borderId="5" xfId="0" applyFont="1" applyBorder="1" applyAlignment="1">
      <alignment horizontal="center" wrapText="1"/>
    </xf>
    <xf numFmtId="0" fontId="28" fillId="0" borderId="5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3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15" fontId="18" fillId="0" borderId="13" xfId="0" applyNumberFormat="1" applyFont="1" applyBorder="1" applyAlignment="1">
      <alignment horizontal="left" vertical="center"/>
    </xf>
    <xf numFmtId="15" fontId="18" fillId="0" borderId="5" xfId="0" applyNumberFormat="1" applyFont="1" applyBorder="1" applyAlignment="1">
      <alignment horizontal="left" vertical="center"/>
    </xf>
    <xf numFmtId="15" fontId="18" fillId="0" borderId="14" xfId="0" applyNumberFormat="1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177" fontId="12" fillId="0" borderId="6" xfId="0" applyNumberFormat="1" applyFont="1" applyBorder="1" applyAlignment="1">
      <alignment horizontal="center"/>
    </xf>
    <xf numFmtId="177" fontId="12" fillId="0" borderId="5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 vertical="top"/>
    </xf>
    <xf numFmtId="0" fontId="15" fillId="0" borderId="10" xfId="0" applyFont="1" applyBorder="1" applyAlignment="1">
      <alignment horizontal="center" vertical="top"/>
    </xf>
    <xf numFmtId="0" fontId="15" fillId="0" borderId="12" xfId="0" applyFont="1" applyBorder="1" applyAlignment="1">
      <alignment horizontal="center" vertical="top"/>
    </xf>
    <xf numFmtId="0" fontId="18" fillId="0" borderId="8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 shrinkToFit="1"/>
    </xf>
    <xf numFmtId="0" fontId="47" fillId="0" borderId="1" xfId="0" applyFont="1" applyBorder="1" applyAlignment="1">
      <alignment horizontal="right" vertical="center"/>
    </xf>
    <xf numFmtId="0" fontId="47" fillId="0" borderId="0" xfId="0" applyFont="1" applyAlignment="1">
      <alignment horizontal="left" vertical="center"/>
    </xf>
    <xf numFmtId="0" fontId="47" fillId="0" borderId="0" xfId="0" applyFont="1" applyAlignment="1">
      <alignment horizontal="right" vertical="center"/>
    </xf>
    <xf numFmtId="0" fontId="47" fillId="0" borderId="0" xfId="0" applyFont="1" applyAlignment="1">
      <alignment horizontal="center" vertical="center"/>
    </xf>
    <xf numFmtId="0" fontId="47" fillId="0" borderId="11" xfId="0" applyFont="1" applyBorder="1" applyAlignment="1">
      <alignment horizontal="center" vertical="center"/>
    </xf>
    <xf numFmtId="183" fontId="47" fillId="0" borderId="10" xfId="0" applyNumberFormat="1" applyFont="1" applyBorder="1" applyAlignment="1">
      <alignment horizontal="center" vertical="center"/>
    </xf>
    <xf numFmtId="184" fontId="47" fillId="0" borderId="10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left" vertical="center"/>
    </xf>
  </cellXfs>
  <cellStyles count="3">
    <cellStyle name="ハイパーリンク" xfId="2" builtinId="8"/>
    <cellStyle name="桁区切り" xfId="1" builtinId="6"/>
    <cellStyle name="標準" xfId="0" builtinId="0"/>
  </cellStyles>
  <dxfs count="2">
    <dxf>
      <font>
        <b/>
        <i val="0"/>
        <strike val="0"/>
        <u/>
      </font>
    </dxf>
    <dxf>
      <font>
        <b/>
        <i val="0"/>
        <strike val="0"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44501</xdr:colOff>
      <xdr:row>0</xdr:row>
      <xdr:rowOff>102295</xdr:rowOff>
    </xdr:from>
    <xdr:to>
      <xdr:col>2</xdr:col>
      <xdr:colOff>707831</xdr:colOff>
      <xdr:row>0</xdr:row>
      <xdr:rowOff>409596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1CB8062F-B3CC-492B-9DFD-D3B7FBB1595F}"/>
            </a:ext>
          </a:extLst>
        </xdr:cNvPr>
        <xdr:cNvGrpSpPr/>
      </xdr:nvGrpSpPr>
      <xdr:grpSpPr>
        <a:xfrm>
          <a:off x="44501" y="102295"/>
          <a:ext cx="2960216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4C28D17D-42A6-536E-B177-146919AA11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AE1F5050-903E-7A22-AEC6-D3CF81754F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0D8A-4928-480E-82DF-F192950C7C30}">
  <sheetPr codeName="Sheet7">
    <tabColor rgb="FFC00000"/>
    <pageSetUpPr fitToPage="1"/>
  </sheetPr>
  <dimension ref="A1:P178"/>
  <sheetViews>
    <sheetView tabSelected="1" zoomScale="70" zoomScaleNormal="70" workbookViewId="0">
      <selection activeCell="H13" sqref="H13"/>
    </sheetView>
  </sheetViews>
  <sheetFormatPr defaultColWidth="9" defaultRowHeight="18"/>
  <cols>
    <col min="1" max="1" width="13" style="2" customWidth="1"/>
    <col min="2" max="2" width="17.09765625" style="1" customWidth="1"/>
    <col min="3" max="3" width="23.69921875" style="1" customWidth="1"/>
    <col min="4" max="4" width="17.5" style="1" customWidth="1"/>
    <col min="5" max="5" width="17.59765625" style="1" customWidth="1"/>
    <col min="6" max="11" width="9.09765625" style="1" customWidth="1"/>
    <col min="12" max="13" width="22.59765625" style="1" customWidth="1"/>
    <col min="14" max="14" width="21.796875" style="1" customWidth="1"/>
    <col min="15" max="16384" width="9" style="2"/>
  </cols>
  <sheetData>
    <row r="1" spans="1:16" ht="35.4">
      <c r="A1" s="3"/>
      <c r="B1" s="4"/>
      <c r="C1" s="4"/>
      <c r="D1" s="206" t="s">
        <v>0</v>
      </c>
      <c r="E1" s="206"/>
      <c r="F1" s="206"/>
      <c r="G1" s="206"/>
      <c r="H1" s="206"/>
      <c r="I1" s="206"/>
      <c r="J1" s="206"/>
      <c r="K1" s="5"/>
      <c r="L1" s="5"/>
      <c r="M1" s="5"/>
      <c r="N1" s="6"/>
    </row>
    <row r="2" spans="1:16" ht="20.25" customHeight="1">
      <c r="A2" s="4" t="s">
        <v>1</v>
      </c>
      <c r="B2" s="4"/>
      <c r="C2" s="4"/>
      <c r="D2" s="4"/>
      <c r="E2" s="4"/>
      <c r="F2" s="7" t="s">
        <v>2</v>
      </c>
      <c r="G2" s="7"/>
      <c r="H2" s="4"/>
      <c r="I2" s="8"/>
      <c r="J2" s="9"/>
      <c r="K2" s="8"/>
      <c r="L2" s="206">
        <v>7786</v>
      </c>
      <c r="M2" s="206"/>
      <c r="N2" s="6"/>
    </row>
    <row r="3" spans="1:16" ht="20.25" customHeight="1">
      <c r="A3" s="4" t="s">
        <v>3</v>
      </c>
      <c r="B3" s="4"/>
      <c r="C3" s="4"/>
      <c r="D3" s="4"/>
      <c r="E3" s="4"/>
      <c r="F3" s="4"/>
      <c r="G3" s="4"/>
      <c r="H3" s="4"/>
      <c r="I3" s="8"/>
      <c r="J3" s="10" t="s">
        <v>4</v>
      </c>
      <c r="K3" s="10"/>
      <c r="L3" s="207"/>
      <c r="M3" s="207"/>
      <c r="N3" s="6"/>
    </row>
    <row r="4" spans="1:16" ht="21">
      <c r="A4" s="4" t="s">
        <v>5</v>
      </c>
      <c r="B4" s="4"/>
      <c r="C4" s="4"/>
      <c r="D4" s="4"/>
      <c r="E4" s="4"/>
      <c r="F4" s="4"/>
      <c r="G4" s="4"/>
      <c r="H4" s="4"/>
      <c r="I4" s="8"/>
      <c r="J4" s="9"/>
      <c r="K4" s="9"/>
      <c r="L4" s="208">
        <v>46037</v>
      </c>
      <c r="M4" s="208"/>
      <c r="N4" s="6"/>
    </row>
    <row r="5" spans="1:16" ht="21">
      <c r="A5" s="4" t="s">
        <v>6</v>
      </c>
      <c r="B5" s="4"/>
      <c r="C5" s="4"/>
      <c r="D5" s="4"/>
      <c r="E5" s="4"/>
      <c r="F5" s="4"/>
      <c r="G5" s="4"/>
      <c r="H5" s="4"/>
      <c r="I5" s="8"/>
      <c r="J5" s="10" t="s">
        <v>7</v>
      </c>
      <c r="K5" s="10"/>
      <c r="L5" s="209"/>
      <c r="M5" s="209"/>
      <c r="N5" s="6"/>
    </row>
    <row r="6" spans="1:16" ht="21">
      <c r="A6" s="11"/>
      <c r="B6" s="12"/>
      <c r="C6" s="11"/>
      <c r="D6" s="11"/>
      <c r="E6" s="11"/>
      <c r="F6" s="4"/>
      <c r="G6" s="4"/>
      <c r="H6" s="4"/>
      <c r="I6" s="8"/>
      <c r="J6" s="9"/>
      <c r="K6" s="9"/>
      <c r="L6" s="13"/>
      <c r="M6" s="13"/>
      <c r="N6" s="6"/>
    </row>
    <row r="7" spans="1:16" ht="21.6">
      <c r="A7" s="210" t="s">
        <v>8</v>
      </c>
      <c r="B7" s="14" t="s">
        <v>9</v>
      </c>
      <c r="C7" s="15"/>
      <c r="D7" s="16"/>
      <c r="E7" s="17"/>
      <c r="F7" s="18"/>
      <c r="G7" s="19"/>
      <c r="H7" s="4"/>
      <c r="I7" s="8"/>
      <c r="J7" s="9"/>
      <c r="K7" s="20"/>
      <c r="L7" s="20"/>
      <c r="M7" s="20"/>
      <c r="N7" s="6"/>
      <c r="O7" s="21"/>
      <c r="P7" s="21"/>
    </row>
    <row r="8" spans="1:16">
      <c r="A8" s="211"/>
      <c r="B8" s="22" t="s">
        <v>10</v>
      </c>
      <c r="C8" s="23"/>
      <c r="D8" s="4"/>
      <c r="E8" s="24"/>
      <c r="F8" s="25"/>
      <c r="G8" s="4"/>
      <c r="H8" s="4"/>
      <c r="I8" s="8"/>
      <c r="J8" s="23"/>
      <c r="K8" s="23"/>
      <c r="L8" s="26"/>
      <c r="M8" s="23"/>
      <c r="N8" s="27"/>
      <c r="O8" s="28"/>
      <c r="P8" s="28"/>
    </row>
    <row r="9" spans="1:16">
      <c r="A9" s="211"/>
      <c r="B9" s="22" t="s">
        <v>11</v>
      </c>
      <c r="C9" s="23"/>
      <c r="D9" s="4"/>
      <c r="E9" s="24"/>
      <c r="F9" s="25"/>
      <c r="G9" s="4"/>
      <c r="H9" s="4"/>
      <c r="I9" s="8"/>
      <c r="J9" s="29"/>
      <c r="K9" s="30"/>
      <c r="L9" s="31" t="s">
        <v>12</v>
      </c>
      <c r="M9" s="31" t="s">
        <v>13</v>
      </c>
      <c r="N9" s="27"/>
      <c r="O9" s="28"/>
      <c r="P9" s="28"/>
    </row>
    <row r="10" spans="1:16">
      <c r="A10" s="211"/>
      <c r="B10" s="22" t="s">
        <v>14</v>
      </c>
      <c r="C10" s="23"/>
      <c r="D10" s="4"/>
      <c r="E10" s="32"/>
      <c r="F10" s="25"/>
      <c r="G10" s="4"/>
      <c r="H10" s="4"/>
      <c r="I10" s="8"/>
      <c r="J10" s="23"/>
      <c r="K10" s="33"/>
      <c r="L10" s="34" t="s">
        <v>15</v>
      </c>
      <c r="M10" s="34" t="s">
        <v>15</v>
      </c>
      <c r="N10" s="27"/>
      <c r="O10" s="28"/>
      <c r="P10" s="28"/>
    </row>
    <row r="11" spans="1:16">
      <c r="A11" s="211"/>
      <c r="B11" s="22" t="s">
        <v>16</v>
      </c>
      <c r="C11" s="23"/>
      <c r="D11" s="4"/>
      <c r="E11" s="35"/>
      <c r="F11" s="25"/>
      <c r="G11" s="4"/>
      <c r="H11" s="4"/>
      <c r="I11" s="8"/>
      <c r="J11" s="23"/>
      <c r="K11" s="33"/>
      <c r="L11" s="36" t="s">
        <v>17</v>
      </c>
      <c r="M11" s="31" t="s">
        <v>18</v>
      </c>
      <c r="N11" s="27"/>
      <c r="O11" s="28"/>
      <c r="P11" s="28"/>
    </row>
    <row r="12" spans="1:16">
      <c r="A12" s="212"/>
      <c r="B12" s="37" t="s">
        <v>19</v>
      </c>
      <c r="C12" s="38"/>
      <c r="D12" s="11"/>
      <c r="E12" s="39"/>
      <c r="F12" s="25"/>
      <c r="G12" s="4"/>
      <c r="H12" s="4"/>
      <c r="I12" s="8"/>
      <c r="J12" s="23"/>
      <c r="K12" s="33"/>
      <c r="L12" s="34" t="s">
        <v>15</v>
      </c>
      <c r="M12" s="34" t="s">
        <v>15</v>
      </c>
      <c r="N12" s="6"/>
      <c r="O12" s="21"/>
      <c r="P12" s="21"/>
    </row>
    <row r="13" spans="1:16">
      <c r="A13" s="210" t="s">
        <v>20</v>
      </c>
      <c r="B13" s="40" t="s">
        <v>21</v>
      </c>
      <c r="C13" s="41"/>
      <c r="D13" s="41"/>
      <c r="E13" s="42"/>
      <c r="F13" s="22"/>
      <c r="G13" s="23"/>
      <c r="H13" s="23"/>
      <c r="I13" s="43"/>
      <c r="J13" s="23"/>
      <c r="K13" s="33"/>
      <c r="L13" s="31" t="s">
        <v>22</v>
      </c>
      <c r="M13" s="31" t="s">
        <v>23</v>
      </c>
      <c r="N13" s="6"/>
    </row>
    <row r="14" spans="1:16">
      <c r="A14" s="211"/>
      <c r="B14" s="22"/>
      <c r="C14" s="23"/>
      <c r="D14" s="23"/>
      <c r="E14" s="33"/>
      <c r="F14" s="44"/>
      <c r="G14" s="43"/>
      <c r="H14" s="45"/>
      <c r="I14" s="43"/>
      <c r="J14" s="23"/>
      <c r="K14" s="33"/>
      <c r="L14" s="34" t="s">
        <v>15</v>
      </c>
      <c r="M14" s="34" t="s">
        <v>24</v>
      </c>
      <c r="N14" s="6"/>
    </row>
    <row r="15" spans="1:16">
      <c r="A15" s="212"/>
      <c r="B15" s="46"/>
      <c r="C15" s="38"/>
      <c r="D15" s="38"/>
      <c r="E15" s="47"/>
      <c r="F15" s="48"/>
      <c r="G15" s="49"/>
      <c r="H15" s="38"/>
      <c r="I15" s="49"/>
      <c r="J15" s="38"/>
      <c r="K15" s="38"/>
      <c r="L15" s="38"/>
      <c r="M15" s="38"/>
      <c r="N15" s="6"/>
    </row>
    <row r="16" spans="1:16">
      <c r="A16" s="200" t="s">
        <v>25</v>
      </c>
      <c r="B16" s="201"/>
      <c r="C16" s="200" t="s">
        <v>26</v>
      </c>
      <c r="D16" s="202"/>
      <c r="E16" s="201"/>
      <c r="F16" s="200" t="s">
        <v>27</v>
      </c>
      <c r="G16" s="202"/>
      <c r="H16" s="202"/>
      <c r="I16" s="202"/>
      <c r="J16" s="201"/>
      <c r="K16" s="213" t="s">
        <v>173</v>
      </c>
      <c r="L16" s="214"/>
      <c r="M16" s="215"/>
      <c r="N16" s="6"/>
    </row>
    <row r="17" spans="1:16">
      <c r="A17" s="194" t="s">
        <v>28</v>
      </c>
      <c r="B17" s="196"/>
      <c r="C17" s="194" t="s">
        <v>29</v>
      </c>
      <c r="D17" s="195"/>
      <c r="E17" s="196"/>
      <c r="F17" s="197">
        <v>46037</v>
      </c>
      <c r="G17" s="198"/>
      <c r="H17" s="198"/>
      <c r="I17" s="198"/>
      <c r="J17" s="199"/>
      <c r="K17" s="216"/>
      <c r="L17" s="217"/>
      <c r="M17" s="218"/>
      <c r="N17" s="6"/>
    </row>
    <row r="18" spans="1:16">
      <c r="A18" s="200" t="s">
        <v>30</v>
      </c>
      <c r="B18" s="201"/>
      <c r="C18" s="200" t="s">
        <v>31</v>
      </c>
      <c r="D18" s="202"/>
      <c r="E18" s="201"/>
      <c r="F18" s="200" t="s">
        <v>32</v>
      </c>
      <c r="G18" s="202"/>
      <c r="H18" s="202"/>
      <c r="I18" s="202"/>
      <c r="J18" s="201"/>
      <c r="K18" s="216"/>
      <c r="L18" s="217"/>
      <c r="M18" s="218"/>
      <c r="N18" s="6"/>
    </row>
    <row r="19" spans="1:16" ht="18.600000000000001" thickBot="1">
      <c r="A19" s="203" t="s">
        <v>33</v>
      </c>
      <c r="B19" s="204"/>
      <c r="C19" s="203" t="s">
        <v>34</v>
      </c>
      <c r="D19" s="205"/>
      <c r="E19" s="204"/>
      <c r="F19" s="203" t="s">
        <v>35</v>
      </c>
      <c r="G19" s="205"/>
      <c r="H19" s="205"/>
      <c r="I19" s="205"/>
      <c r="J19" s="204"/>
      <c r="K19" s="219"/>
      <c r="L19" s="220"/>
      <c r="M19" s="221"/>
      <c r="N19" s="6"/>
    </row>
    <row r="20" spans="1:16" ht="19.2" thickTop="1" thickBot="1">
      <c r="A20" s="50" t="s">
        <v>36</v>
      </c>
      <c r="B20" s="51" t="s">
        <v>37</v>
      </c>
      <c r="C20" s="191" t="s">
        <v>38</v>
      </c>
      <c r="D20" s="192"/>
      <c r="E20" s="192"/>
      <c r="F20" s="191" t="s">
        <v>39</v>
      </c>
      <c r="G20" s="192"/>
      <c r="H20" s="192"/>
      <c r="I20" s="192"/>
      <c r="J20" s="192"/>
      <c r="K20" s="193"/>
      <c r="L20" s="52" t="s">
        <v>40</v>
      </c>
      <c r="M20" s="53" t="s">
        <v>41</v>
      </c>
      <c r="N20" s="54"/>
    </row>
    <row r="21" spans="1:16" ht="18.600000000000001" thickTop="1">
      <c r="A21" s="55" t="s">
        <v>42</v>
      </c>
      <c r="B21" s="23"/>
      <c r="C21" s="55" t="s">
        <v>43</v>
      </c>
      <c r="D21" s="56" t="s">
        <v>44</v>
      </c>
      <c r="E21" s="56" t="s">
        <v>45</v>
      </c>
      <c r="F21" s="178" t="s">
        <v>46</v>
      </c>
      <c r="G21" s="179"/>
      <c r="H21" s="180" t="s">
        <v>47</v>
      </c>
      <c r="I21" s="180"/>
      <c r="J21" s="179" t="s">
        <v>48</v>
      </c>
      <c r="K21" s="181"/>
      <c r="L21" s="59" t="s">
        <v>49</v>
      </c>
      <c r="M21" s="60"/>
      <c r="N21" s="6"/>
    </row>
    <row r="22" spans="1:16">
      <c r="A22" s="61"/>
      <c r="B22" s="23"/>
      <c r="C22" s="22"/>
      <c r="D22" s="62"/>
      <c r="E22" s="63"/>
      <c r="F22" s="64"/>
      <c r="G22" s="65"/>
      <c r="H22" s="65"/>
      <c r="I22" s="65"/>
      <c r="J22" s="65"/>
      <c r="K22" s="66"/>
      <c r="L22" s="67" t="s">
        <v>169</v>
      </c>
      <c r="M22" s="68"/>
      <c r="N22" s="69"/>
      <c r="O22" s="70"/>
      <c r="P22" s="70"/>
    </row>
    <row r="23" spans="1:16" ht="21">
      <c r="A23" s="71"/>
      <c r="B23" s="72" t="s">
        <v>61</v>
      </c>
      <c r="C23" s="164" t="s">
        <v>62</v>
      </c>
      <c r="D23" s="74"/>
      <c r="E23" s="75"/>
      <c r="F23" s="76"/>
      <c r="G23" s="77"/>
      <c r="H23" s="78"/>
      <c r="I23" s="77"/>
      <c r="J23" s="165" t="s">
        <v>61</v>
      </c>
      <c r="K23" s="166"/>
      <c r="L23" s="79" t="s">
        <v>61</v>
      </c>
      <c r="M23" s="80" t="s">
        <v>61</v>
      </c>
      <c r="N23" s="81"/>
      <c r="O23" s="70"/>
      <c r="P23" s="70"/>
    </row>
    <row r="24" spans="1:16" ht="20.399999999999999">
      <c r="A24" s="82">
        <v>2</v>
      </c>
      <c r="B24" s="72" t="s">
        <v>63</v>
      </c>
      <c r="C24" s="73">
        <v>1453</v>
      </c>
      <c r="D24" s="74" t="s">
        <v>64</v>
      </c>
      <c r="E24" s="75">
        <v>6</v>
      </c>
      <c r="F24" s="76" t="s">
        <v>65</v>
      </c>
      <c r="G24" s="77" t="s">
        <v>66</v>
      </c>
      <c r="H24" s="78">
        <v>53</v>
      </c>
      <c r="I24" s="77" t="s">
        <v>67</v>
      </c>
      <c r="J24" s="165" t="s">
        <v>68</v>
      </c>
      <c r="K24" s="166"/>
      <c r="L24" s="79">
        <v>1438</v>
      </c>
      <c r="M24" s="80">
        <v>76214</v>
      </c>
      <c r="N24" s="83"/>
      <c r="O24" s="70"/>
      <c r="P24" s="70"/>
    </row>
    <row r="25" spans="1:16" ht="21">
      <c r="A25" s="71"/>
      <c r="B25" s="72" t="s">
        <v>61</v>
      </c>
      <c r="C25" s="164" t="s">
        <v>69</v>
      </c>
      <c r="D25" s="74"/>
      <c r="E25" s="75"/>
      <c r="F25" s="76"/>
      <c r="G25" s="77"/>
      <c r="H25" s="78"/>
      <c r="I25" s="77"/>
      <c r="J25" s="165" t="s">
        <v>61</v>
      </c>
      <c r="K25" s="166"/>
      <c r="L25" s="79" t="s">
        <v>61</v>
      </c>
      <c r="M25" s="80" t="s">
        <v>61</v>
      </c>
      <c r="N25" s="83"/>
      <c r="O25" s="70"/>
      <c r="P25" s="70"/>
    </row>
    <row r="26" spans="1:16" ht="20.399999999999999">
      <c r="A26" s="71">
        <v>2</v>
      </c>
      <c r="B26" s="72" t="s">
        <v>70</v>
      </c>
      <c r="C26" s="73">
        <v>11700</v>
      </c>
      <c r="D26" s="74" t="s">
        <v>71</v>
      </c>
      <c r="E26" s="75">
        <v>18</v>
      </c>
      <c r="F26" s="76" t="s">
        <v>72</v>
      </c>
      <c r="G26" s="77" t="s">
        <v>66</v>
      </c>
      <c r="H26" s="78">
        <v>5</v>
      </c>
      <c r="I26" s="77" t="s">
        <v>67</v>
      </c>
      <c r="J26" s="165" t="s">
        <v>73</v>
      </c>
      <c r="K26" s="166"/>
      <c r="L26" s="79">
        <v>1099</v>
      </c>
      <c r="M26" s="80">
        <v>5495</v>
      </c>
      <c r="N26" s="83"/>
      <c r="O26" s="70"/>
      <c r="P26" s="70"/>
    </row>
    <row r="27" spans="1:16" ht="21">
      <c r="A27" s="71"/>
      <c r="B27" s="72" t="s">
        <v>61</v>
      </c>
      <c r="C27" s="164" t="s">
        <v>74</v>
      </c>
      <c r="D27" s="74"/>
      <c r="E27" s="75"/>
      <c r="F27" s="76"/>
      <c r="G27" s="77"/>
      <c r="H27" s="78"/>
      <c r="I27" s="77"/>
      <c r="J27" s="165" t="s">
        <v>61</v>
      </c>
      <c r="K27" s="166"/>
      <c r="L27" s="79" t="s">
        <v>61</v>
      </c>
      <c r="M27" s="80" t="s">
        <v>61</v>
      </c>
      <c r="N27" s="83"/>
      <c r="O27" s="70"/>
      <c r="P27" s="70"/>
    </row>
    <row r="28" spans="1:16" ht="20.399999999999999">
      <c r="A28" s="71">
        <v>1</v>
      </c>
      <c r="B28" s="72" t="s">
        <v>75</v>
      </c>
      <c r="C28" s="73" t="s">
        <v>76</v>
      </c>
      <c r="D28" s="74" t="s">
        <v>61</v>
      </c>
      <c r="E28" s="75" t="s">
        <v>168</v>
      </c>
      <c r="F28" s="76">
        <v>13.5</v>
      </c>
      <c r="G28" s="77" t="s">
        <v>66</v>
      </c>
      <c r="H28" s="78">
        <v>2</v>
      </c>
      <c r="I28" s="77" t="s">
        <v>167</v>
      </c>
      <c r="J28" s="165" t="s">
        <v>78</v>
      </c>
      <c r="K28" s="166"/>
      <c r="L28" s="79">
        <v>200</v>
      </c>
      <c r="M28" s="80">
        <v>5400</v>
      </c>
      <c r="N28" s="83"/>
      <c r="O28" s="70"/>
      <c r="P28" s="70"/>
    </row>
    <row r="29" spans="1:16" ht="20.399999999999999">
      <c r="A29" s="84">
        <v>1</v>
      </c>
      <c r="B29" s="72" t="s">
        <v>79</v>
      </c>
      <c r="C29" s="73" t="s">
        <v>80</v>
      </c>
      <c r="D29" s="74" t="s">
        <v>61</v>
      </c>
      <c r="E29" s="75" t="s">
        <v>168</v>
      </c>
      <c r="F29" s="76">
        <v>13.5</v>
      </c>
      <c r="G29" s="77" t="s">
        <v>66</v>
      </c>
      <c r="H29" s="78">
        <v>1</v>
      </c>
      <c r="I29" s="77" t="s">
        <v>167</v>
      </c>
      <c r="J29" s="165" t="s">
        <v>81</v>
      </c>
      <c r="K29" s="166"/>
      <c r="L29" s="79">
        <v>156</v>
      </c>
      <c r="M29" s="80">
        <v>2106</v>
      </c>
      <c r="N29" s="81"/>
      <c r="O29" s="70"/>
      <c r="P29" s="70"/>
    </row>
    <row r="30" spans="1:16" ht="21">
      <c r="A30" s="84"/>
      <c r="B30" s="72" t="s">
        <v>61</v>
      </c>
      <c r="C30" s="164" t="s">
        <v>82</v>
      </c>
      <c r="D30" s="74"/>
      <c r="E30" s="75"/>
      <c r="F30" s="76"/>
      <c r="G30" s="77"/>
      <c r="H30" s="78"/>
      <c r="I30" s="77"/>
      <c r="J30" s="165" t="s">
        <v>61</v>
      </c>
      <c r="K30" s="166"/>
      <c r="L30" s="79" t="s">
        <v>61</v>
      </c>
      <c r="M30" s="80" t="s">
        <v>61</v>
      </c>
      <c r="N30" s="81"/>
      <c r="O30" s="70"/>
      <c r="P30" s="70"/>
    </row>
    <row r="31" spans="1:16" ht="20.399999999999999">
      <c r="A31" s="71">
        <v>2</v>
      </c>
      <c r="B31" s="72" t="s">
        <v>83</v>
      </c>
      <c r="C31" s="73">
        <v>14552</v>
      </c>
      <c r="D31" s="74" t="s">
        <v>84</v>
      </c>
      <c r="E31" s="75">
        <v>31</v>
      </c>
      <c r="F31" s="76" t="s">
        <v>65</v>
      </c>
      <c r="G31" s="77" t="s">
        <v>66</v>
      </c>
      <c r="H31" s="78">
        <v>1</v>
      </c>
      <c r="I31" s="77" t="s">
        <v>67</v>
      </c>
      <c r="J31" s="165" t="s">
        <v>85</v>
      </c>
      <c r="K31" s="166"/>
      <c r="L31" s="79">
        <v>4388</v>
      </c>
      <c r="M31" s="80">
        <v>4388</v>
      </c>
      <c r="N31" s="81"/>
      <c r="O31" s="70"/>
      <c r="P31" s="70"/>
    </row>
    <row r="32" spans="1:16" ht="21">
      <c r="A32" s="71"/>
      <c r="B32" s="72" t="s">
        <v>61</v>
      </c>
      <c r="C32" s="164" t="s">
        <v>86</v>
      </c>
      <c r="D32" s="74"/>
      <c r="E32" s="75"/>
      <c r="F32" s="76"/>
      <c r="G32" s="77"/>
      <c r="H32" s="78"/>
      <c r="I32" s="77"/>
      <c r="J32" s="165" t="s">
        <v>61</v>
      </c>
      <c r="K32" s="166"/>
      <c r="L32" s="79" t="s">
        <v>61</v>
      </c>
      <c r="M32" s="80" t="s">
        <v>61</v>
      </c>
      <c r="N32" s="83"/>
      <c r="O32" s="70"/>
      <c r="P32" s="70"/>
    </row>
    <row r="33" spans="1:16" ht="20.399999999999999">
      <c r="A33" s="71">
        <v>2</v>
      </c>
      <c r="B33" s="72" t="s">
        <v>87</v>
      </c>
      <c r="C33" s="73" t="s">
        <v>88</v>
      </c>
      <c r="D33" s="74" t="s">
        <v>89</v>
      </c>
      <c r="E33" s="75">
        <v>70</v>
      </c>
      <c r="F33" s="76" t="s">
        <v>65</v>
      </c>
      <c r="G33" s="77" t="s">
        <v>66</v>
      </c>
      <c r="H33" s="78">
        <v>1</v>
      </c>
      <c r="I33" s="77" t="s">
        <v>67</v>
      </c>
      <c r="J33" s="165" t="s">
        <v>85</v>
      </c>
      <c r="K33" s="166"/>
      <c r="L33" s="79">
        <v>787</v>
      </c>
      <c r="M33" s="80">
        <v>787</v>
      </c>
      <c r="N33" s="83"/>
      <c r="O33" s="70"/>
      <c r="P33" s="70"/>
    </row>
    <row r="34" spans="1:16" ht="21">
      <c r="A34" s="71"/>
      <c r="B34" s="72" t="s">
        <v>61</v>
      </c>
      <c r="C34" s="164" t="s">
        <v>90</v>
      </c>
      <c r="D34" s="74"/>
      <c r="E34" s="75"/>
      <c r="F34" s="76"/>
      <c r="G34" s="77"/>
      <c r="H34" s="78"/>
      <c r="I34" s="77"/>
      <c r="J34" s="165" t="s">
        <v>61</v>
      </c>
      <c r="K34" s="166"/>
      <c r="L34" s="79" t="s">
        <v>61</v>
      </c>
      <c r="M34" s="80" t="s">
        <v>61</v>
      </c>
      <c r="N34" s="83"/>
      <c r="O34" s="70"/>
      <c r="P34" s="70"/>
    </row>
    <row r="35" spans="1:16" ht="20.399999999999999">
      <c r="A35" s="71">
        <v>2</v>
      </c>
      <c r="B35" s="72" t="s">
        <v>91</v>
      </c>
      <c r="C35" s="73" t="s">
        <v>92</v>
      </c>
      <c r="D35" s="74" t="s">
        <v>93</v>
      </c>
      <c r="E35" s="75">
        <v>5</v>
      </c>
      <c r="F35" s="76" t="s">
        <v>65</v>
      </c>
      <c r="G35" s="77" t="s">
        <v>66</v>
      </c>
      <c r="H35" s="78">
        <v>13</v>
      </c>
      <c r="I35" s="77" t="s">
        <v>67</v>
      </c>
      <c r="J35" s="165" t="s">
        <v>94</v>
      </c>
      <c r="K35" s="166"/>
      <c r="L35" s="79">
        <v>3094</v>
      </c>
      <c r="M35" s="80">
        <v>40222</v>
      </c>
      <c r="N35" s="83"/>
      <c r="O35" s="70"/>
      <c r="P35" s="70"/>
    </row>
    <row r="36" spans="1:16" ht="21">
      <c r="A36" s="71"/>
      <c r="B36" s="72" t="s">
        <v>61</v>
      </c>
      <c r="C36" s="164" t="s">
        <v>95</v>
      </c>
      <c r="D36" s="74"/>
      <c r="E36" s="75"/>
      <c r="F36" s="76"/>
      <c r="G36" s="77"/>
      <c r="H36" s="78"/>
      <c r="I36" s="77"/>
      <c r="J36" s="165" t="s">
        <v>61</v>
      </c>
      <c r="K36" s="166"/>
      <c r="L36" s="79" t="s">
        <v>61</v>
      </c>
      <c r="M36" s="80" t="s">
        <v>61</v>
      </c>
      <c r="N36" s="83"/>
      <c r="O36" s="70"/>
      <c r="P36" s="70"/>
    </row>
    <row r="37" spans="1:16" ht="20.399999999999999">
      <c r="A37" s="71">
        <v>1</v>
      </c>
      <c r="B37" s="72" t="s">
        <v>96</v>
      </c>
      <c r="C37" s="73" t="s">
        <v>97</v>
      </c>
      <c r="D37" s="74" t="s">
        <v>61</v>
      </c>
      <c r="E37" s="75" t="s">
        <v>98</v>
      </c>
      <c r="F37" s="76" t="s">
        <v>77</v>
      </c>
      <c r="G37" s="77" t="s">
        <v>66</v>
      </c>
      <c r="H37" s="78">
        <v>30</v>
      </c>
      <c r="I37" s="77" t="s">
        <v>66</v>
      </c>
      <c r="J37" s="165" t="s">
        <v>85</v>
      </c>
      <c r="K37" s="166"/>
      <c r="L37" s="79">
        <v>100</v>
      </c>
      <c r="M37" s="80">
        <v>3000</v>
      </c>
      <c r="N37" s="83"/>
      <c r="O37" s="70"/>
      <c r="P37" s="70"/>
    </row>
    <row r="38" spans="1:16" ht="20.399999999999999">
      <c r="A38" s="71">
        <v>1</v>
      </c>
      <c r="B38" s="72" t="s">
        <v>96</v>
      </c>
      <c r="C38" s="73" t="s">
        <v>99</v>
      </c>
      <c r="D38" s="74" t="s">
        <v>61</v>
      </c>
      <c r="E38" s="75" t="s">
        <v>98</v>
      </c>
      <c r="F38" s="76" t="s">
        <v>77</v>
      </c>
      <c r="G38" s="77" t="s">
        <v>66</v>
      </c>
      <c r="H38" s="78">
        <v>30</v>
      </c>
      <c r="I38" s="77" t="s">
        <v>66</v>
      </c>
      <c r="J38" s="165" t="s">
        <v>85</v>
      </c>
      <c r="K38" s="166"/>
      <c r="L38" s="79">
        <v>94</v>
      </c>
      <c r="M38" s="80">
        <v>2820</v>
      </c>
      <c r="N38" s="83"/>
      <c r="O38" s="70"/>
      <c r="P38" s="70"/>
    </row>
    <row r="39" spans="1:16" ht="20.399999999999999">
      <c r="A39" s="71">
        <v>1</v>
      </c>
      <c r="B39" s="72" t="s">
        <v>96</v>
      </c>
      <c r="C39" s="73" t="s">
        <v>100</v>
      </c>
      <c r="D39" s="74" t="s">
        <v>61</v>
      </c>
      <c r="E39" s="75" t="s">
        <v>98</v>
      </c>
      <c r="F39" s="76" t="s">
        <v>77</v>
      </c>
      <c r="G39" s="77" t="s">
        <v>66</v>
      </c>
      <c r="H39" s="78">
        <v>30</v>
      </c>
      <c r="I39" s="77" t="s">
        <v>66</v>
      </c>
      <c r="J39" s="165" t="s">
        <v>85</v>
      </c>
      <c r="K39" s="166"/>
      <c r="L39" s="79">
        <v>113</v>
      </c>
      <c r="M39" s="80">
        <v>3390</v>
      </c>
      <c r="N39" s="83"/>
      <c r="O39" s="70"/>
      <c r="P39" s="70"/>
    </row>
    <row r="40" spans="1:16" ht="20.399999999999999">
      <c r="A40" s="71">
        <v>1</v>
      </c>
      <c r="B40" s="72" t="s">
        <v>96</v>
      </c>
      <c r="C40" s="73" t="s">
        <v>101</v>
      </c>
      <c r="D40" s="74" t="s">
        <v>61</v>
      </c>
      <c r="E40" s="75" t="s">
        <v>98</v>
      </c>
      <c r="F40" s="76" t="s">
        <v>77</v>
      </c>
      <c r="G40" s="77" t="s">
        <v>66</v>
      </c>
      <c r="H40" s="78">
        <v>30</v>
      </c>
      <c r="I40" s="77" t="s">
        <v>66</v>
      </c>
      <c r="J40" s="165" t="s">
        <v>85</v>
      </c>
      <c r="K40" s="166"/>
      <c r="L40" s="79">
        <v>113</v>
      </c>
      <c r="M40" s="80">
        <v>3390</v>
      </c>
      <c r="N40" s="83"/>
      <c r="O40" s="70"/>
      <c r="P40" s="70"/>
    </row>
    <row r="41" spans="1:16" ht="20.399999999999999">
      <c r="A41" s="71">
        <v>1</v>
      </c>
      <c r="B41" s="72" t="s">
        <v>96</v>
      </c>
      <c r="C41" s="73" t="s">
        <v>102</v>
      </c>
      <c r="D41" s="74" t="s">
        <v>61</v>
      </c>
      <c r="E41" s="75" t="s">
        <v>98</v>
      </c>
      <c r="F41" s="76" t="s">
        <v>77</v>
      </c>
      <c r="G41" s="77" t="s">
        <v>66</v>
      </c>
      <c r="H41" s="78">
        <v>30</v>
      </c>
      <c r="I41" s="77" t="s">
        <v>66</v>
      </c>
      <c r="J41" s="165" t="s">
        <v>85</v>
      </c>
      <c r="K41" s="166"/>
      <c r="L41" s="79">
        <v>107</v>
      </c>
      <c r="M41" s="80">
        <v>3210</v>
      </c>
      <c r="N41" s="83"/>
      <c r="O41" s="70"/>
      <c r="P41" s="70"/>
    </row>
    <row r="42" spans="1:16" ht="20.399999999999999">
      <c r="A42" s="71">
        <v>1</v>
      </c>
      <c r="B42" s="72" t="s">
        <v>96</v>
      </c>
      <c r="C42" s="73" t="s">
        <v>103</v>
      </c>
      <c r="D42" s="74" t="s">
        <v>61</v>
      </c>
      <c r="E42" s="75" t="s">
        <v>98</v>
      </c>
      <c r="F42" s="76" t="s">
        <v>77</v>
      </c>
      <c r="G42" s="77" t="s">
        <v>66</v>
      </c>
      <c r="H42" s="78">
        <v>30</v>
      </c>
      <c r="I42" s="77" t="s">
        <v>66</v>
      </c>
      <c r="J42" s="165" t="s">
        <v>85</v>
      </c>
      <c r="K42" s="166"/>
      <c r="L42" s="79">
        <v>64</v>
      </c>
      <c r="M42" s="80">
        <v>1920</v>
      </c>
      <c r="N42" s="83"/>
      <c r="O42" s="70"/>
      <c r="P42" s="70"/>
    </row>
    <row r="43" spans="1:16" ht="20.399999999999999">
      <c r="A43" s="71">
        <v>1</v>
      </c>
      <c r="B43" s="72" t="s">
        <v>96</v>
      </c>
      <c r="C43" s="73" t="s">
        <v>104</v>
      </c>
      <c r="D43" s="74" t="s">
        <v>61</v>
      </c>
      <c r="E43" s="75" t="s">
        <v>98</v>
      </c>
      <c r="F43" s="76" t="s">
        <v>77</v>
      </c>
      <c r="G43" s="77" t="s">
        <v>66</v>
      </c>
      <c r="H43" s="78">
        <v>30</v>
      </c>
      <c r="I43" s="77" t="s">
        <v>66</v>
      </c>
      <c r="J43" s="189" t="s">
        <v>85</v>
      </c>
      <c r="K43" s="190"/>
      <c r="L43" s="79">
        <v>63</v>
      </c>
      <c r="M43" s="80">
        <v>1890</v>
      </c>
      <c r="N43" s="83"/>
      <c r="O43" s="70"/>
      <c r="P43" s="70"/>
    </row>
    <row r="44" spans="1:16" ht="20.399999999999999">
      <c r="A44" s="71">
        <v>1</v>
      </c>
      <c r="B44" s="72" t="s">
        <v>96</v>
      </c>
      <c r="C44" s="73" t="s">
        <v>105</v>
      </c>
      <c r="D44" s="74" t="s">
        <v>61</v>
      </c>
      <c r="E44" s="75" t="s">
        <v>98</v>
      </c>
      <c r="F44" s="76" t="s">
        <v>77</v>
      </c>
      <c r="G44" s="77" t="s">
        <v>66</v>
      </c>
      <c r="H44" s="78">
        <v>30</v>
      </c>
      <c r="I44" s="77" t="s">
        <v>66</v>
      </c>
      <c r="J44" s="165" t="s">
        <v>85</v>
      </c>
      <c r="K44" s="166"/>
      <c r="L44" s="79">
        <v>63</v>
      </c>
      <c r="M44" s="80">
        <v>1890</v>
      </c>
      <c r="N44" s="83"/>
      <c r="O44" s="70"/>
      <c r="P44" s="70"/>
    </row>
    <row r="45" spans="1:16" ht="20.399999999999999">
      <c r="A45" s="71">
        <v>1</v>
      </c>
      <c r="B45" s="72" t="s">
        <v>96</v>
      </c>
      <c r="C45" s="73" t="s">
        <v>106</v>
      </c>
      <c r="D45" s="74" t="s">
        <v>61</v>
      </c>
      <c r="E45" s="75" t="s">
        <v>98</v>
      </c>
      <c r="F45" s="76" t="s">
        <v>77</v>
      </c>
      <c r="G45" s="77" t="s">
        <v>66</v>
      </c>
      <c r="H45" s="78">
        <v>30</v>
      </c>
      <c r="I45" s="77" t="s">
        <v>66</v>
      </c>
      <c r="J45" s="189" t="s">
        <v>85</v>
      </c>
      <c r="K45" s="190"/>
      <c r="L45" s="79">
        <v>74</v>
      </c>
      <c r="M45" s="80">
        <v>2220</v>
      </c>
      <c r="N45" s="83"/>
      <c r="O45" s="70"/>
      <c r="P45" s="70"/>
    </row>
    <row r="46" spans="1:16" ht="20.399999999999999">
      <c r="A46" s="71">
        <v>1</v>
      </c>
      <c r="B46" s="72" t="s">
        <v>96</v>
      </c>
      <c r="C46" s="73" t="s">
        <v>107</v>
      </c>
      <c r="D46" s="74" t="s">
        <v>61</v>
      </c>
      <c r="E46" s="75" t="s">
        <v>98</v>
      </c>
      <c r="F46" s="76" t="s">
        <v>77</v>
      </c>
      <c r="G46" s="77" t="s">
        <v>66</v>
      </c>
      <c r="H46" s="78">
        <v>30</v>
      </c>
      <c r="I46" s="77" t="s">
        <v>66</v>
      </c>
      <c r="J46" s="165" t="s">
        <v>85</v>
      </c>
      <c r="K46" s="166"/>
      <c r="L46" s="79">
        <v>63</v>
      </c>
      <c r="M46" s="80">
        <v>1890</v>
      </c>
      <c r="N46" s="83"/>
      <c r="O46" s="70"/>
      <c r="P46" s="70"/>
    </row>
    <row r="47" spans="1:16" ht="20.399999999999999">
      <c r="A47" s="71">
        <v>1</v>
      </c>
      <c r="B47" s="72" t="s">
        <v>96</v>
      </c>
      <c r="C47" s="73" t="s">
        <v>108</v>
      </c>
      <c r="D47" s="74" t="s">
        <v>61</v>
      </c>
      <c r="E47" s="75" t="s">
        <v>98</v>
      </c>
      <c r="F47" s="76" t="s">
        <v>77</v>
      </c>
      <c r="G47" s="77" t="s">
        <v>66</v>
      </c>
      <c r="H47" s="78">
        <v>30</v>
      </c>
      <c r="I47" s="77" t="s">
        <v>66</v>
      </c>
      <c r="J47" s="165" t="s">
        <v>85</v>
      </c>
      <c r="K47" s="166"/>
      <c r="L47" s="79">
        <v>69</v>
      </c>
      <c r="M47" s="80">
        <v>2070</v>
      </c>
      <c r="N47" s="83"/>
      <c r="O47" s="70"/>
      <c r="P47" s="70"/>
    </row>
    <row r="48" spans="1:16" ht="20.399999999999999">
      <c r="A48" s="71">
        <v>1</v>
      </c>
      <c r="B48" s="72" t="s">
        <v>96</v>
      </c>
      <c r="C48" s="73" t="s">
        <v>109</v>
      </c>
      <c r="D48" s="74" t="s">
        <v>61</v>
      </c>
      <c r="E48" s="75" t="s">
        <v>98</v>
      </c>
      <c r="F48" s="76" t="s">
        <v>77</v>
      </c>
      <c r="G48" s="77" t="s">
        <v>66</v>
      </c>
      <c r="H48" s="78">
        <v>30</v>
      </c>
      <c r="I48" s="77" t="s">
        <v>66</v>
      </c>
      <c r="J48" s="165" t="s">
        <v>85</v>
      </c>
      <c r="K48" s="166"/>
      <c r="L48" s="79">
        <v>66</v>
      </c>
      <c r="M48" s="80">
        <v>1980</v>
      </c>
      <c r="N48" s="83"/>
      <c r="O48" s="70"/>
      <c r="P48" s="70"/>
    </row>
    <row r="49" spans="1:16" ht="18.75" customHeight="1">
      <c r="A49" s="71">
        <v>1</v>
      </c>
      <c r="B49" s="72" t="s">
        <v>96</v>
      </c>
      <c r="C49" s="73" t="s">
        <v>110</v>
      </c>
      <c r="D49" s="74" t="s">
        <v>61</v>
      </c>
      <c r="E49" s="75" t="s">
        <v>98</v>
      </c>
      <c r="F49" s="76" t="s">
        <v>77</v>
      </c>
      <c r="G49" s="77" t="s">
        <v>66</v>
      </c>
      <c r="H49" s="78">
        <v>30</v>
      </c>
      <c r="I49" s="77" t="s">
        <v>66</v>
      </c>
      <c r="J49" s="165" t="s">
        <v>85</v>
      </c>
      <c r="K49" s="166"/>
      <c r="L49" s="79">
        <v>69</v>
      </c>
      <c r="M49" s="80">
        <v>2070</v>
      </c>
      <c r="N49" s="83"/>
      <c r="O49" s="70"/>
      <c r="P49" s="70"/>
    </row>
    <row r="50" spans="1:16" ht="18.75" customHeight="1">
      <c r="A50" s="71">
        <v>1</v>
      </c>
      <c r="B50" s="72" t="s">
        <v>96</v>
      </c>
      <c r="C50" s="73" t="s">
        <v>111</v>
      </c>
      <c r="D50" s="74" t="s">
        <v>61</v>
      </c>
      <c r="E50" s="75" t="s">
        <v>98</v>
      </c>
      <c r="F50" s="76" t="s">
        <v>77</v>
      </c>
      <c r="G50" s="77" t="s">
        <v>66</v>
      </c>
      <c r="H50" s="78">
        <v>30</v>
      </c>
      <c r="I50" s="77" t="s">
        <v>66</v>
      </c>
      <c r="J50" s="165" t="s">
        <v>85</v>
      </c>
      <c r="K50" s="166"/>
      <c r="L50" s="79">
        <v>74</v>
      </c>
      <c r="M50" s="80">
        <v>2220</v>
      </c>
      <c r="N50" s="83"/>
      <c r="O50" s="70"/>
      <c r="P50" s="70"/>
    </row>
    <row r="51" spans="1:16" ht="18.75" customHeight="1">
      <c r="A51" s="71">
        <v>1</v>
      </c>
      <c r="B51" s="72" t="s">
        <v>96</v>
      </c>
      <c r="C51" s="73" t="s">
        <v>112</v>
      </c>
      <c r="D51" s="74" t="s">
        <v>61</v>
      </c>
      <c r="E51" s="75" t="s">
        <v>98</v>
      </c>
      <c r="F51" s="76" t="s">
        <v>77</v>
      </c>
      <c r="G51" s="77" t="s">
        <v>66</v>
      </c>
      <c r="H51" s="78">
        <v>30</v>
      </c>
      <c r="I51" s="77" t="s">
        <v>66</v>
      </c>
      <c r="J51" s="165" t="s">
        <v>85</v>
      </c>
      <c r="K51" s="166"/>
      <c r="L51" s="79">
        <v>74</v>
      </c>
      <c r="M51" s="80">
        <v>2220</v>
      </c>
      <c r="N51" s="83"/>
      <c r="O51" s="70"/>
      <c r="P51" s="70"/>
    </row>
    <row r="52" spans="1:16" ht="18.75" customHeight="1">
      <c r="A52" s="71">
        <v>1</v>
      </c>
      <c r="B52" s="72" t="s">
        <v>96</v>
      </c>
      <c r="C52" s="73" t="s">
        <v>113</v>
      </c>
      <c r="D52" s="74" t="s">
        <v>61</v>
      </c>
      <c r="E52" s="75" t="s">
        <v>98</v>
      </c>
      <c r="F52" s="76" t="s">
        <v>77</v>
      </c>
      <c r="G52" s="77" t="s">
        <v>66</v>
      </c>
      <c r="H52" s="78">
        <v>30</v>
      </c>
      <c r="I52" s="77" t="s">
        <v>66</v>
      </c>
      <c r="J52" s="165" t="s">
        <v>85</v>
      </c>
      <c r="K52" s="166"/>
      <c r="L52" s="79">
        <v>78</v>
      </c>
      <c r="M52" s="80">
        <v>2340</v>
      </c>
      <c r="N52" s="83"/>
      <c r="O52" s="70"/>
      <c r="P52" s="70"/>
    </row>
    <row r="53" spans="1:16" ht="20.399999999999999">
      <c r="A53" s="71">
        <v>1</v>
      </c>
      <c r="B53" s="72" t="s">
        <v>96</v>
      </c>
      <c r="C53" s="73" t="s">
        <v>114</v>
      </c>
      <c r="D53" s="74" t="s">
        <v>61</v>
      </c>
      <c r="E53" s="75" t="s">
        <v>98</v>
      </c>
      <c r="F53" s="76" t="s">
        <v>77</v>
      </c>
      <c r="G53" s="77" t="s">
        <v>66</v>
      </c>
      <c r="H53" s="78">
        <v>30</v>
      </c>
      <c r="I53" s="77" t="s">
        <v>66</v>
      </c>
      <c r="J53" s="165" t="s">
        <v>85</v>
      </c>
      <c r="K53" s="166"/>
      <c r="L53" s="79">
        <v>60</v>
      </c>
      <c r="M53" s="80">
        <v>1800</v>
      </c>
      <c r="N53" s="83"/>
      <c r="O53" s="70"/>
      <c r="P53" s="70"/>
    </row>
    <row r="54" spans="1:16" ht="20.399999999999999">
      <c r="A54" s="71">
        <v>1</v>
      </c>
      <c r="B54" s="72" t="s">
        <v>96</v>
      </c>
      <c r="C54" s="73" t="s">
        <v>115</v>
      </c>
      <c r="D54" s="74" t="s">
        <v>61</v>
      </c>
      <c r="E54" s="75" t="s">
        <v>98</v>
      </c>
      <c r="F54" s="76" t="s">
        <v>77</v>
      </c>
      <c r="G54" s="77" t="s">
        <v>66</v>
      </c>
      <c r="H54" s="78">
        <v>30</v>
      </c>
      <c r="I54" s="77" t="s">
        <v>66</v>
      </c>
      <c r="J54" s="165" t="s">
        <v>85</v>
      </c>
      <c r="K54" s="166"/>
      <c r="L54" s="79">
        <v>38</v>
      </c>
      <c r="M54" s="80">
        <v>1140</v>
      </c>
      <c r="N54" s="83"/>
      <c r="O54" s="70"/>
      <c r="P54" s="70"/>
    </row>
    <row r="55" spans="1:16" ht="20.399999999999999">
      <c r="A55" s="71">
        <v>1</v>
      </c>
      <c r="B55" s="72" t="s">
        <v>96</v>
      </c>
      <c r="C55" s="73" t="s">
        <v>116</v>
      </c>
      <c r="D55" s="74" t="s">
        <v>61</v>
      </c>
      <c r="E55" s="75" t="s">
        <v>98</v>
      </c>
      <c r="F55" s="76" t="s">
        <v>77</v>
      </c>
      <c r="G55" s="77" t="s">
        <v>66</v>
      </c>
      <c r="H55" s="78">
        <v>30</v>
      </c>
      <c r="I55" s="77" t="s">
        <v>66</v>
      </c>
      <c r="J55" s="165" t="s">
        <v>85</v>
      </c>
      <c r="K55" s="166"/>
      <c r="L55" s="79">
        <v>54</v>
      </c>
      <c r="M55" s="80">
        <v>1620</v>
      </c>
      <c r="N55" s="83"/>
      <c r="O55" s="70"/>
      <c r="P55" s="70"/>
    </row>
    <row r="56" spans="1:16" ht="20.399999999999999">
      <c r="A56" s="71">
        <v>1</v>
      </c>
      <c r="B56" s="72" t="s">
        <v>96</v>
      </c>
      <c r="C56" s="73" t="s">
        <v>117</v>
      </c>
      <c r="D56" s="74" t="s">
        <v>61</v>
      </c>
      <c r="E56" s="75" t="s">
        <v>98</v>
      </c>
      <c r="F56" s="76" t="s">
        <v>77</v>
      </c>
      <c r="G56" s="77" t="s">
        <v>66</v>
      </c>
      <c r="H56" s="78">
        <v>30</v>
      </c>
      <c r="I56" s="77" t="s">
        <v>66</v>
      </c>
      <c r="J56" s="165" t="s">
        <v>85</v>
      </c>
      <c r="K56" s="166"/>
      <c r="L56" s="79">
        <v>56</v>
      </c>
      <c r="M56" s="80">
        <v>1680</v>
      </c>
      <c r="N56" s="83"/>
      <c r="O56" s="70"/>
      <c r="P56" s="70"/>
    </row>
    <row r="57" spans="1:16" ht="20.399999999999999">
      <c r="A57" s="71">
        <v>1</v>
      </c>
      <c r="B57" s="72" t="s">
        <v>96</v>
      </c>
      <c r="C57" s="73" t="s">
        <v>118</v>
      </c>
      <c r="D57" s="74" t="s">
        <v>61</v>
      </c>
      <c r="E57" s="75" t="s">
        <v>98</v>
      </c>
      <c r="F57" s="76" t="s">
        <v>77</v>
      </c>
      <c r="G57" s="77" t="s">
        <v>66</v>
      </c>
      <c r="H57" s="78">
        <v>30</v>
      </c>
      <c r="I57" s="77" t="s">
        <v>66</v>
      </c>
      <c r="J57" s="165" t="s">
        <v>85</v>
      </c>
      <c r="K57" s="166"/>
      <c r="L57" s="79">
        <v>56</v>
      </c>
      <c r="M57" s="80">
        <v>1680</v>
      </c>
      <c r="N57" s="83"/>
      <c r="O57" s="70"/>
      <c r="P57" s="70"/>
    </row>
    <row r="58" spans="1:16" ht="20.399999999999999">
      <c r="A58" s="71">
        <v>1</v>
      </c>
      <c r="B58" s="72" t="s">
        <v>96</v>
      </c>
      <c r="C58" s="73" t="s">
        <v>119</v>
      </c>
      <c r="D58" s="74" t="s">
        <v>61</v>
      </c>
      <c r="E58" s="75" t="s">
        <v>98</v>
      </c>
      <c r="F58" s="76" t="s">
        <v>77</v>
      </c>
      <c r="G58" s="77" t="s">
        <v>66</v>
      </c>
      <c r="H58" s="78">
        <v>30</v>
      </c>
      <c r="I58" s="77" t="s">
        <v>66</v>
      </c>
      <c r="J58" s="165" t="s">
        <v>85</v>
      </c>
      <c r="K58" s="166"/>
      <c r="L58" s="79">
        <v>60</v>
      </c>
      <c r="M58" s="80">
        <v>1800</v>
      </c>
      <c r="N58" s="83"/>
      <c r="O58" s="70"/>
      <c r="P58" s="70"/>
    </row>
    <row r="59" spans="1:16" ht="20.399999999999999">
      <c r="A59" s="71">
        <v>1</v>
      </c>
      <c r="B59" s="72" t="s">
        <v>96</v>
      </c>
      <c r="C59" s="73" t="s">
        <v>120</v>
      </c>
      <c r="D59" s="74" t="s">
        <v>61</v>
      </c>
      <c r="E59" s="75" t="s">
        <v>98</v>
      </c>
      <c r="F59" s="76" t="s">
        <v>77</v>
      </c>
      <c r="G59" s="77" t="s">
        <v>66</v>
      </c>
      <c r="H59" s="78">
        <v>30</v>
      </c>
      <c r="I59" s="77" t="s">
        <v>66</v>
      </c>
      <c r="J59" s="165" t="s">
        <v>85</v>
      </c>
      <c r="K59" s="166"/>
      <c r="L59" s="79">
        <v>26</v>
      </c>
      <c r="M59" s="80">
        <v>780</v>
      </c>
      <c r="N59" s="83"/>
      <c r="O59" s="70"/>
      <c r="P59" s="70"/>
    </row>
    <row r="60" spans="1:16" ht="20.399999999999999">
      <c r="A60" s="71">
        <v>1</v>
      </c>
      <c r="B60" s="72" t="s">
        <v>96</v>
      </c>
      <c r="C60" s="73" t="s">
        <v>121</v>
      </c>
      <c r="D60" s="74" t="s">
        <v>61</v>
      </c>
      <c r="E60" s="75" t="s">
        <v>98</v>
      </c>
      <c r="F60" s="76" t="s">
        <v>77</v>
      </c>
      <c r="G60" s="77" t="s">
        <v>66</v>
      </c>
      <c r="H60" s="78">
        <v>30</v>
      </c>
      <c r="I60" s="77" t="s">
        <v>66</v>
      </c>
      <c r="J60" s="165" t="s">
        <v>85</v>
      </c>
      <c r="K60" s="166"/>
      <c r="L60" s="79">
        <v>34</v>
      </c>
      <c r="M60" s="80">
        <v>1020</v>
      </c>
      <c r="N60" s="83"/>
      <c r="O60" s="70"/>
      <c r="P60" s="70"/>
    </row>
    <row r="61" spans="1:16" ht="20.399999999999999">
      <c r="A61" s="71">
        <v>1</v>
      </c>
      <c r="B61" s="72" t="s">
        <v>96</v>
      </c>
      <c r="C61" s="73" t="s">
        <v>122</v>
      </c>
      <c r="D61" s="74" t="s">
        <v>61</v>
      </c>
      <c r="E61" s="75" t="s">
        <v>98</v>
      </c>
      <c r="F61" s="76" t="s">
        <v>77</v>
      </c>
      <c r="G61" s="77" t="s">
        <v>66</v>
      </c>
      <c r="H61" s="78">
        <v>30</v>
      </c>
      <c r="I61" s="77" t="s">
        <v>66</v>
      </c>
      <c r="J61" s="165" t="s">
        <v>85</v>
      </c>
      <c r="K61" s="166"/>
      <c r="L61" s="79">
        <v>60</v>
      </c>
      <c r="M61" s="80">
        <v>1800</v>
      </c>
      <c r="N61" s="83"/>
      <c r="O61" s="70"/>
      <c r="P61" s="70"/>
    </row>
    <row r="62" spans="1:16" ht="20.399999999999999">
      <c r="A62" s="71">
        <v>1</v>
      </c>
      <c r="B62" s="72" t="s">
        <v>96</v>
      </c>
      <c r="C62" s="73" t="s">
        <v>123</v>
      </c>
      <c r="D62" s="74" t="s">
        <v>61</v>
      </c>
      <c r="E62" s="75" t="s">
        <v>98</v>
      </c>
      <c r="F62" s="76" t="s">
        <v>77</v>
      </c>
      <c r="G62" s="77" t="s">
        <v>66</v>
      </c>
      <c r="H62" s="78">
        <v>30</v>
      </c>
      <c r="I62" s="77" t="s">
        <v>66</v>
      </c>
      <c r="J62" s="165" t="s">
        <v>85</v>
      </c>
      <c r="K62" s="166"/>
      <c r="L62" s="79">
        <v>38</v>
      </c>
      <c r="M62" s="80">
        <v>1140</v>
      </c>
      <c r="N62" s="83"/>
      <c r="O62" s="70"/>
      <c r="P62" s="70"/>
    </row>
    <row r="63" spans="1:16" ht="20.399999999999999">
      <c r="A63" s="71">
        <v>1</v>
      </c>
      <c r="B63" s="72" t="s">
        <v>96</v>
      </c>
      <c r="C63" s="73" t="s">
        <v>124</v>
      </c>
      <c r="D63" s="74" t="s">
        <v>61</v>
      </c>
      <c r="E63" s="75" t="s">
        <v>98</v>
      </c>
      <c r="F63" s="76" t="s">
        <v>77</v>
      </c>
      <c r="G63" s="77" t="s">
        <v>66</v>
      </c>
      <c r="H63" s="78">
        <v>30</v>
      </c>
      <c r="I63" s="77" t="s">
        <v>66</v>
      </c>
      <c r="J63" s="165" t="s">
        <v>85</v>
      </c>
      <c r="K63" s="166"/>
      <c r="L63" s="79">
        <v>40</v>
      </c>
      <c r="M63" s="80">
        <v>1200</v>
      </c>
      <c r="N63" s="83"/>
      <c r="O63" s="70"/>
      <c r="P63" s="70"/>
    </row>
    <row r="64" spans="1:16" ht="20.399999999999999">
      <c r="A64" s="71">
        <v>1</v>
      </c>
      <c r="B64" s="72" t="s">
        <v>96</v>
      </c>
      <c r="C64" s="73" t="s">
        <v>125</v>
      </c>
      <c r="D64" s="74" t="s">
        <v>61</v>
      </c>
      <c r="E64" s="75" t="s">
        <v>98</v>
      </c>
      <c r="F64" s="76" t="s">
        <v>77</v>
      </c>
      <c r="G64" s="77" t="s">
        <v>66</v>
      </c>
      <c r="H64" s="78">
        <v>30</v>
      </c>
      <c r="I64" s="77" t="s">
        <v>66</v>
      </c>
      <c r="J64" s="165" t="s">
        <v>85</v>
      </c>
      <c r="K64" s="166"/>
      <c r="L64" s="79">
        <v>50</v>
      </c>
      <c r="M64" s="80">
        <v>1500</v>
      </c>
      <c r="N64" s="83"/>
      <c r="O64" s="70"/>
      <c r="P64" s="70"/>
    </row>
    <row r="65" spans="1:16" ht="20.399999999999999">
      <c r="A65" s="71">
        <v>1</v>
      </c>
      <c r="B65" s="72" t="s">
        <v>96</v>
      </c>
      <c r="C65" s="73" t="s">
        <v>126</v>
      </c>
      <c r="D65" s="74" t="s">
        <v>61</v>
      </c>
      <c r="E65" s="75" t="s">
        <v>98</v>
      </c>
      <c r="F65" s="76" t="s">
        <v>77</v>
      </c>
      <c r="G65" s="77" t="s">
        <v>66</v>
      </c>
      <c r="H65" s="78">
        <v>30</v>
      </c>
      <c r="I65" s="77" t="s">
        <v>66</v>
      </c>
      <c r="J65" s="165" t="s">
        <v>85</v>
      </c>
      <c r="K65" s="166"/>
      <c r="L65" s="79">
        <v>50</v>
      </c>
      <c r="M65" s="80">
        <v>1500</v>
      </c>
      <c r="N65" s="85"/>
      <c r="O65" s="70"/>
      <c r="P65" s="70"/>
    </row>
    <row r="66" spans="1:16" ht="20.399999999999999">
      <c r="A66" s="71">
        <v>1</v>
      </c>
      <c r="B66" s="72" t="s">
        <v>96</v>
      </c>
      <c r="C66" s="73" t="s">
        <v>127</v>
      </c>
      <c r="D66" s="74" t="s">
        <v>61</v>
      </c>
      <c r="E66" s="75" t="s">
        <v>98</v>
      </c>
      <c r="F66" s="76" t="s">
        <v>77</v>
      </c>
      <c r="G66" s="77" t="s">
        <v>66</v>
      </c>
      <c r="H66" s="78">
        <v>30</v>
      </c>
      <c r="I66" s="77" t="s">
        <v>66</v>
      </c>
      <c r="J66" s="165" t="s">
        <v>85</v>
      </c>
      <c r="K66" s="166"/>
      <c r="L66" s="79">
        <v>200</v>
      </c>
      <c r="M66" s="80">
        <v>6000</v>
      </c>
      <c r="N66" s="85"/>
      <c r="O66" s="70"/>
      <c r="P66" s="70"/>
    </row>
    <row r="67" spans="1:16" ht="20.399999999999999">
      <c r="A67" s="71">
        <v>1</v>
      </c>
      <c r="B67" s="72" t="s">
        <v>96</v>
      </c>
      <c r="C67" s="73" t="s">
        <v>128</v>
      </c>
      <c r="D67" s="74" t="s">
        <v>61</v>
      </c>
      <c r="E67" s="75" t="s">
        <v>98</v>
      </c>
      <c r="F67" s="76" t="s">
        <v>77</v>
      </c>
      <c r="G67" s="77" t="s">
        <v>66</v>
      </c>
      <c r="H67" s="78">
        <v>30</v>
      </c>
      <c r="I67" s="77" t="s">
        <v>66</v>
      </c>
      <c r="J67" s="165" t="s">
        <v>85</v>
      </c>
      <c r="K67" s="166"/>
      <c r="L67" s="79">
        <v>33</v>
      </c>
      <c r="M67" s="80">
        <v>990</v>
      </c>
      <c r="N67" s="85"/>
      <c r="O67" s="70"/>
      <c r="P67" s="70"/>
    </row>
    <row r="68" spans="1:16" ht="20.399999999999999">
      <c r="A68" s="71">
        <v>1</v>
      </c>
      <c r="B68" s="72" t="s">
        <v>96</v>
      </c>
      <c r="C68" s="73" t="s">
        <v>129</v>
      </c>
      <c r="D68" s="74" t="s">
        <v>61</v>
      </c>
      <c r="E68" s="75" t="s">
        <v>98</v>
      </c>
      <c r="F68" s="76" t="s">
        <v>77</v>
      </c>
      <c r="G68" s="77" t="s">
        <v>66</v>
      </c>
      <c r="H68" s="78">
        <v>30</v>
      </c>
      <c r="I68" s="77" t="s">
        <v>66</v>
      </c>
      <c r="J68" s="165" t="s">
        <v>85</v>
      </c>
      <c r="K68" s="166"/>
      <c r="L68" s="79">
        <v>63</v>
      </c>
      <c r="M68" s="80">
        <v>1890</v>
      </c>
      <c r="N68" s="85"/>
      <c r="O68" s="70"/>
      <c r="P68" s="70"/>
    </row>
    <row r="69" spans="1:16" ht="20.399999999999999">
      <c r="A69" s="71">
        <v>1</v>
      </c>
      <c r="B69" s="72" t="s">
        <v>96</v>
      </c>
      <c r="C69" s="73" t="s">
        <v>130</v>
      </c>
      <c r="D69" s="74" t="s">
        <v>61</v>
      </c>
      <c r="E69" s="75" t="s">
        <v>98</v>
      </c>
      <c r="F69" s="76" t="s">
        <v>77</v>
      </c>
      <c r="G69" s="77" t="s">
        <v>66</v>
      </c>
      <c r="H69" s="78">
        <v>30</v>
      </c>
      <c r="I69" s="77" t="s">
        <v>66</v>
      </c>
      <c r="J69" s="165" t="s">
        <v>85</v>
      </c>
      <c r="K69" s="166"/>
      <c r="L69" s="79">
        <v>64</v>
      </c>
      <c r="M69" s="80">
        <v>1920</v>
      </c>
      <c r="N69" s="85"/>
      <c r="O69" s="70"/>
      <c r="P69" s="70"/>
    </row>
    <row r="70" spans="1:16" ht="20.399999999999999">
      <c r="A70" s="71">
        <v>1</v>
      </c>
      <c r="B70" s="72" t="s">
        <v>96</v>
      </c>
      <c r="C70" s="73" t="s">
        <v>131</v>
      </c>
      <c r="D70" s="74" t="s">
        <v>61</v>
      </c>
      <c r="E70" s="75" t="s">
        <v>98</v>
      </c>
      <c r="F70" s="76" t="s">
        <v>77</v>
      </c>
      <c r="G70" s="77" t="s">
        <v>66</v>
      </c>
      <c r="H70" s="78">
        <v>30</v>
      </c>
      <c r="I70" s="77" t="s">
        <v>66</v>
      </c>
      <c r="J70" s="165" t="s">
        <v>85</v>
      </c>
      <c r="K70" s="166"/>
      <c r="L70" s="79">
        <v>45</v>
      </c>
      <c r="M70" s="80">
        <v>1350</v>
      </c>
      <c r="N70" s="85"/>
      <c r="O70" s="70"/>
      <c r="P70" s="70"/>
    </row>
    <row r="71" spans="1:16" ht="20.399999999999999">
      <c r="A71" s="71">
        <v>1</v>
      </c>
      <c r="B71" s="72" t="s">
        <v>96</v>
      </c>
      <c r="C71" s="73" t="s">
        <v>132</v>
      </c>
      <c r="D71" s="74" t="s">
        <v>61</v>
      </c>
      <c r="E71" s="75" t="s">
        <v>98</v>
      </c>
      <c r="F71" s="76" t="s">
        <v>77</v>
      </c>
      <c r="G71" s="77" t="s">
        <v>66</v>
      </c>
      <c r="H71" s="78">
        <v>30</v>
      </c>
      <c r="I71" s="77" t="s">
        <v>66</v>
      </c>
      <c r="J71" s="165" t="s">
        <v>85</v>
      </c>
      <c r="K71" s="166"/>
      <c r="L71" s="79">
        <v>34</v>
      </c>
      <c r="M71" s="80">
        <v>1020</v>
      </c>
      <c r="N71" s="85"/>
      <c r="O71" s="70"/>
      <c r="P71" s="70"/>
    </row>
    <row r="72" spans="1:16" ht="20.399999999999999">
      <c r="A72" s="71">
        <v>1</v>
      </c>
      <c r="B72" s="72" t="s">
        <v>96</v>
      </c>
      <c r="C72" s="73" t="s">
        <v>133</v>
      </c>
      <c r="D72" s="74" t="s">
        <v>61</v>
      </c>
      <c r="E72" s="75" t="s">
        <v>98</v>
      </c>
      <c r="F72" s="76" t="s">
        <v>77</v>
      </c>
      <c r="G72" s="77" t="s">
        <v>66</v>
      </c>
      <c r="H72" s="78">
        <v>30</v>
      </c>
      <c r="I72" s="77" t="s">
        <v>66</v>
      </c>
      <c r="J72" s="165" t="s">
        <v>85</v>
      </c>
      <c r="K72" s="166"/>
      <c r="L72" s="79">
        <v>39</v>
      </c>
      <c r="M72" s="80">
        <v>1170</v>
      </c>
      <c r="N72" s="85"/>
      <c r="O72" s="70"/>
      <c r="P72" s="70"/>
    </row>
    <row r="73" spans="1:16" ht="20.399999999999999">
      <c r="A73" s="86">
        <v>1</v>
      </c>
      <c r="B73" s="87" t="s">
        <v>96</v>
      </c>
      <c r="C73" s="88" t="s">
        <v>134</v>
      </c>
      <c r="D73" s="89" t="s">
        <v>61</v>
      </c>
      <c r="E73" s="90" t="s">
        <v>98</v>
      </c>
      <c r="F73" s="91" t="s">
        <v>77</v>
      </c>
      <c r="G73" s="92" t="s">
        <v>66</v>
      </c>
      <c r="H73" s="93">
        <v>30</v>
      </c>
      <c r="I73" s="92" t="s">
        <v>66</v>
      </c>
      <c r="J73" s="186" t="s">
        <v>85</v>
      </c>
      <c r="K73" s="187"/>
      <c r="L73" s="94">
        <v>63</v>
      </c>
      <c r="M73" s="95">
        <v>1890</v>
      </c>
      <c r="N73" s="85"/>
      <c r="O73" s="70"/>
      <c r="P73" s="70"/>
    </row>
    <row r="74" spans="1:16" ht="20.399999999999999">
      <c r="A74" s="96"/>
      <c r="B74" s="97" t="s">
        <v>61</v>
      </c>
      <c r="C74" s="98" t="s">
        <v>61</v>
      </c>
      <c r="D74" s="96" t="s">
        <v>61</v>
      </c>
      <c r="E74" s="96" t="s">
        <v>61</v>
      </c>
      <c r="F74" s="96" t="s">
        <v>61</v>
      </c>
      <c r="G74" s="96" t="s">
        <v>61</v>
      </c>
      <c r="H74" s="99" t="s">
        <v>61</v>
      </c>
      <c r="I74" s="98" t="s">
        <v>61</v>
      </c>
      <c r="J74" s="188" t="s">
        <v>61</v>
      </c>
      <c r="K74" s="188"/>
      <c r="L74" s="100" t="s">
        <v>61</v>
      </c>
      <c r="M74" s="101" t="s">
        <v>61</v>
      </c>
      <c r="N74" s="85"/>
      <c r="O74" s="70"/>
      <c r="P74" s="70"/>
    </row>
    <row r="75" spans="1:16" ht="20.399999999999999">
      <c r="A75" s="74"/>
      <c r="B75" s="72" t="s">
        <v>61</v>
      </c>
      <c r="C75" s="77" t="s">
        <v>61</v>
      </c>
      <c r="D75" s="74" t="s">
        <v>61</v>
      </c>
      <c r="E75" s="74" t="s">
        <v>61</v>
      </c>
      <c r="F75" s="74" t="s">
        <v>61</v>
      </c>
      <c r="G75" s="74" t="s">
        <v>61</v>
      </c>
      <c r="H75" s="78" t="s">
        <v>61</v>
      </c>
      <c r="I75" s="77" t="s">
        <v>61</v>
      </c>
      <c r="J75" s="165" t="s">
        <v>61</v>
      </c>
      <c r="K75" s="165"/>
      <c r="L75" s="102" t="s">
        <v>61</v>
      </c>
      <c r="M75" s="103" t="s">
        <v>61</v>
      </c>
      <c r="N75" s="85"/>
      <c r="O75" s="70"/>
      <c r="P75" s="70"/>
    </row>
    <row r="76" spans="1:16" ht="20.399999999999999">
      <c r="A76" s="74"/>
      <c r="B76" s="72" t="s">
        <v>61</v>
      </c>
      <c r="C76" s="77" t="s">
        <v>61</v>
      </c>
      <c r="D76" s="74" t="s">
        <v>61</v>
      </c>
      <c r="E76" s="74" t="s">
        <v>61</v>
      </c>
      <c r="F76" s="74" t="s">
        <v>61</v>
      </c>
      <c r="G76" s="74" t="s">
        <v>61</v>
      </c>
      <c r="H76" s="78" t="s">
        <v>61</v>
      </c>
      <c r="I76" s="77" t="s">
        <v>61</v>
      </c>
      <c r="J76" s="165" t="s">
        <v>61</v>
      </c>
      <c r="K76" s="165"/>
      <c r="L76" s="102" t="s">
        <v>61</v>
      </c>
      <c r="M76" s="103" t="s">
        <v>61</v>
      </c>
      <c r="N76" s="85"/>
      <c r="O76" s="70"/>
      <c r="P76" s="70"/>
    </row>
    <row r="77" spans="1:16" ht="20.399999999999999">
      <c r="A77" s="74"/>
      <c r="B77" s="72" t="s">
        <v>61</v>
      </c>
      <c r="C77" s="77" t="s">
        <v>61</v>
      </c>
      <c r="D77" s="74" t="s">
        <v>61</v>
      </c>
      <c r="E77" s="74" t="s">
        <v>61</v>
      </c>
      <c r="F77" s="74" t="s">
        <v>61</v>
      </c>
      <c r="G77" s="74" t="s">
        <v>61</v>
      </c>
      <c r="H77" s="78" t="s">
        <v>61</v>
      </c>
      <c r="I77" s="77" t="s">
        <v>61</v>
      </c>
      <c r="J77" s="165" t="s">
        <v>61</v>
      </c>
      <c r="K77" s="165"/>
      <c r="L77" s="102" t="s">
        <v>61</v>
      </c>
      <c r="M77" s="103" t="s">
        <v>61</v>
      </c>
      <c r="N77" s="85"/>
      <c r="O77" s="70"/>
      <c r="P77" s="70"/>
    </row>
    <row r="78" spans="1:16" ht="20.399999999999999">
      <c r="A78" s="74"/>
      <c r="B78" s="72" t="s">
        <v>61</v>
      </c>
      <c r="C78" s="104" t="s">
        <v>61</v>
      </c>
      <c r="D78" s="74" t="s">
        <v>61</v>
      </c>
      <c r="E78" s="74" t="s">
        <v>61</v>
      </c>
      <c r="F78" s="74" t="s">
        <v>61</v>
      </c>
      <c r="G78" s="74" t="s">
        <v>61</v>
      </c>
      <c r="H78" s="78" t="s">
        <v>61</v>
      </c>
      <c r="I78" s="77" t="s">
        <v>61</v>
      </c>
      <c r="J78" s="165" t="s">
        <v>61</v>
      </c>
      <c r="K78" s="165"/>
      <c r="L78" s="102" t="s">
        <v>61</v>
      </c>
      <c r="M78" s="103" t="s">
        <v>61</v>
      </c>
      <c r="N78" s="85"/>
      <c r="O78" s="70"/>
      <c r="P78" s="70"/>
    </row>
    <row r="79" spans="1:16" ht="20.399999999999999">
      <c r="A79" s="74"/>
      <c r="B79" s="72" t="s">
        <v>61</v>
      </c>
      <c r="C79" s="104" t="s">
        <v>61</v>
      </c>
      <c r="D79" s="74" t="s">
        <v>61</v>
      </c>
      <c r="E79" s="74" t="s">
        <v>61</v>
      </c>
      <c r="F79" s="74" t="s">
        <v>61</v>
      </c>
      <c r="G79" s="74" t="s">
        <v>61</v>
      </c>
      <c r="H79" s="78" t="s">
        <v>61</v>
      </c>
      <c r="I79" s="77" t="s">
        <v>61</v>
      </c>
      <c r="J79" s="165" t="s">
        <v>61</v>
      </c>
      <c r="K79" s="165"/>
      <c r="L79" s="102" t="s">
        <v>61</v>
      </c>
      <c r="M79" s="103" t="s">
        <v>61</v>
      </c>
      <c r="N79" s="85"/>
      <c r="O79" s="70"/>
      <c r="P79" s="70"/>
    </row>
    <row r="80" spans="1:16" ht="18.75" customHeight="1">
      <c r="A80" s="74"/>
      <c r="B80" s="72" t="s">
        <v>61</v>
      </c>
      <c r="C80" s="77" t="s">
        <v>61</v>
      </c>
      <c r="D80" s="74" t="s">
        <v>61</v>
      </c>
      <c r="E80" s="74" t="s">
        <v>61</v>
      </c>
      <c r="F80" s="74" t="s">
        <v>61</v>
      </c>
      <c r="G80" s="74" t="s">
        <v>61</v>
      </c>
      <c r="H80" s="78" t="s">
        <v>61</v>
      </c>
      <c r="I80" s="77" t="s">
        <v>61</v>
      </c>
      <c r="J80" s="165" t="s">
        <v>61</v>
      </c>
      <c r="K80" s="165"/>
      <c r="L80" s="102" t="s">
        <v>61</v>
      </c>
      <c r="M80" s="103" t="s">
        <v>61</v>
      </c>
      <c r="N80" s="85"/>
      <c r="O80" s="70"/>
      <c r="P80" s="70"/>
    </row>
    <row r="81" spans="1:16" ht="18.75" customHeight="1">
      <c r="A81" s="74"/>
      <c r="B81" s="72"/>
      <c r="C81" s="74"/>
      <c r="D81" s="74"/>
      <c r="E81" s="74"/>
      <c r="F81" s="74"/>
      <c r="G81" s="74"/>
      <c r="H81" s="78"/>
      <c r="I81" s="77"/>
      <c r="J81" s="105"/>
      <c r="K81" s="106"/>
      <c r="L81" s="102"/>
      <c r="M81" s="103"/>
      <c r="N81" s="85"/>
      <c r="O81" s="70"/>
      <c r="P81" s="70"/>
    </row>
    <row r="82" spans="1:16" ht="35.4">
      <c r="A82" s="182" t="s">
        <v>50</v>
      </c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85"/>
      <c r="O82" s="70"/>
      <c r="P82" s="70"/>
    </row>
    <row r="83" spans="1:16">
      <c r="A83" s="107"/>
      <c r="B83" s="108"/>
      <c r="C83" s="109"/>
      <c r="D83" s="109"/>
      <c r="E83" s="183" t="s">
        <v>51</v>
      </c>
      <c r="F83" s="183"/>
      <c r="G83" s="183"/>
      <c r="H83" s="183"/>
      <c r="I83" s="110"/>
      <c r="J83" s="111"/>
      <c r="K83" s="108"/>
      <c r="L83" s="112"/>
      <c r="M83" s="113"/>
      <c r="N83" s="85"/>
      <c r="O83" s="70"/>
      <c r="P83" s="70"/>
    </row>
    <row r="84" spans="1:16">
      <c r="A84" s="107"/>
      <c r="B84" s="107"/>
      <c r="C84" s="107"/>
      <c r="D84" s="107"/>
      <c r="E84" s="184">
        <v>7786</v>
      </c>
      <c r="F84" s="184"/>
      <c r="G84" s="184"/>
      <c r="H84" s="184"/>
      <c r="I84" s="115"/>
      <c r="J84" s="107"/>
      <c r="K84" s="116"/>
      <c r="L84" s="112"/>
      <c r="M84" s="113"/>
      <c r="N84" s="85"/>
      <c r="O84" s="70"/>
      <c r="P84" s="70"/>
    </row>
    <row r="85" spans="1:16">
      <c r="A85" s="107"/>
      <c r="B85" s="107"/>
      <c r="C85" s="107"/>
      <c r="D85" s="107" t="s">
        <v>52</v>
      </c>
      <c r="E85" s="185"/>
      <c r="F85" s="185"/>
      <c r="G85" s="185"/>
      <c r="H85" s="185"/>
      <c r="I85" s="115"/>
      <c r="J85" s="107"/>
      <c r="K85" s="116"/>
      <c r="L85" s="112"/>
      <c r="M85" s="113"/>
      <c r="N85" s="85"/>
      <c r="O85" s="70"/>
      <c r="P85" s="70"/>
    </row>
    <row r="86" spans="1:16" ht="10.5" customHeight="1">
      <c r="A86" s="107"/>
      <c r="B86" s="107"/>
      <c r="C86" s="107"/>
      <c r="D86" s="107"/>
      <c r="E86" s="114"/>
      <c r="F86" s="114"/>
      <c r="G86" s="114"/>
      <c r="H86" s="114"/>
      <c r="I86" s="115"/>
      <c r="J86" s="107"/>
      <c r="K86" s="116"/>
      <c r="L86" s="112"/>
      <c r="M86" s="113"/>
      <c r="N86" s="85"/>
      <c r="O86" s="70"/>
      <c r="P86" s="70"/>
    </row>
    <row r="87" spans="1:16" ht="18.600000000000001" thickBot="1">
      <c r="A87" s="117"/>
      <c r="B87" s="117"/>
      <c r="C87" s="117"/>
      <c r="D87" s="117"/>
      <c r="E87" s="118"/>
      <c r="F87" s="118"/>
      <c r="G87" s="118"/>
      <c r="H87" s="118"/>
      <c r="I87" s="117"/>
      <c r="J87" s="117"/>
      <c r="K87" s="119"/>
      <c r="L87" s="120"/>
      <c r="M87" s="121"/>
      <c r="N87" s="85"/>
      <c r="O87" s="70"/>
      <c r="P87" s="70"/>
    </row>
    <row r="88" spans="1:16" ht="19.2" thickTop="1" thickBot="1">
      <c r="A88" s="122" t="s">
        <v>36</v>
      </c>
      <c r="B88" s="123" t="s">
        <v>37</v>
      </c>
      <c r="C88" s="175" t="s">
        <v>38</v>
      </c>
      <c r="D88" s="176"/>
      <c r="E88" s="176"/>
      <c r="F88" s="175" t="s">
        <v>39</v>
      </c>
      <c r="G88" s="176"/>
      <c r="H88" s="176"/>
      <c r="I88" s="176"/>
      <c r="J88" s="176"/>
      <c r="K88" s="177"/>
      <c r="L88" s="124" t="s">
        <v>40</v>
      </c>
      <c r="M88" s="125" t="s">
        <v>41</v>
      </c>
      <c r="N88" s="85"/>
      <c r="O88" s="70"/>
      <c r="P88" s="70"/>
    </row>
    <row r="89" spans="1:16" ht="18.600000000000001" thickTop="1">
      <c r="A89" s="57" t="s">
        <v>42</v>
      </c>
      <c r="B89" s="126"/>
      <c r="C89" s="57" t="s">
        <v>43</v>
      </c>
      <c r="D89" s="58" t="s">
        <v>44</v>
      </c>
      <c r="E89" s="58" t="s">
        <v>45</v>
      </c>
      <c r="F89" s="178" t="s">
        <v>46</v>
      </c>
      <c r="G89" s="179"/>
      <c r="H89" s="180" t="s">
        <v>47</v>
      </c>
      <c r="I89" s="180"/>
      <c r="J89" s="179" t="s">
        <v>48</v>
      </c>
      <c r="K89" s="181"/>
      <c r="L89" s="127" t="s">
        <v>49</v>
      </c>
      <c r="M89" s="128"/>
      <c r="N89" s="85"/>
      <c r="O89" s="70"/>
      <c r="P89" s="70"/>
    </row>
    <row r="90" spans="1:16" ht="20.399999999999999">
      <c r="A90" s="61"/>
      <c r="B90" s="23"/>
      <c r="C90" s="22"/>
      <c r="D90" s="74"/>
      <c r="E90" s="63"/>
      <c r="F90" s="64"/>
      <c r="G90" s="65"/>
      <c r="H90" s="65"/>
      <c r="I90" s="65"/>
      <c r="J90" s="65"/>
      <c r="K90" s="66"/>
      <c r="L90" s="67" t="s">
        <v>169</v>
      </c>
      <c r="M90" s="129"/>
      <c r="N90" s="85"/>
      <c r="O90" s="70"/>
      <c r="P90" s="70"/>
    </row>
    <row r="91" spans="1:16" ht="20.399999999999999">
      <c r="A91" s="71">
        <v>1</v>
      </c>
      <c r="B91" s="72" t="s">
        <v>96</v>
      </c>
      <c r="C91" s="73" t="s">
        <v>135</v>
      </c>
      <c r="D91" s="74" t="s">
        <v>61</v>
      </c>
      <c r="E91" s="75" t="s">
        <v>98</v>
      </c>
      <c r="F91" s="76" t="s">
        <v>77</v>
      </c>
      <c r="G91" s="77" t="s">
        <v>66</v>
      </c>
      <c r="H91" s="78">
        <v>30</v>
      </c>
      <c r="I91" s="77" t="s">
        <v>66</v>
      </c>
      <c r="J91" s="165" t="s">
        <v>85</v>
      </c>
      <c r="K91" s="166"/>
      <c r="L91" s="79">
        <v>63</v>
      </c>
      <c r="M91" s="80">
        <v>1890</v>
      </c>
      <c r="N91" s="85"/>
      <c r="O91" s="70"/>
      <c r="P91" s="70"/>
    </row>
    <row r="92" spans="1:16" ht="20.25" customHeight="1">
      <c r="A92" s="71">
        <v>1</v>
      </c>
      <c r="B92" s="72" t="s">
        <v>96</v>
      </c>
      <c r="C92" s="73" t="s">
        <v>136</v>
      </c>
      <c r="D92" s="74" t="s">
        <v>61</v>
      </c>
      <c r="E92" s="75" t="s">
        <v>98</v>
      </c>
      <c r="F92" s="76" t="s">
        <v>77</v>
      </c>
      <c r="G92" s="77" t="s">
        <v>66</v>
      </c>
      <c r="H92" s="78">
        <v>30</v>
      </c>
      <c r="I92" s="77" t="s">
        <v>66</v>
      </c>
      <c r="J92" s="165" t="s">
        <v>85</v>
      </c>
      <c r="K92" s="166"/>
      <c r="L92" s="79">
        <v>53</v>
      </c>
      <c r="M92" s="80">
        <v>1590</v>
      </c>
      <c r="N92" s="85"/>
      <c r="O92" s="70"/>
      <c r="P92" s="70"/>
    </row>
    <row r="93" spans="1:16" ht="20.25" customHeight="1">
      <c r="A93" s="71">
        <v>1</v>
      </c>
      <c r="B93" s="72" t="s">
        <v>96</v>
      </c>
      <c r="C93" s="73" t="s">
        <v>137</v>
      </c>
      <c r="D93" s="74" t="s">
        <v>61</v>
      </c>
      <c r="E93" s="75" t="s">
        <v>98</v>
      </c>
      <c r="F93" s="76" t="s">
        <v>77</v>
      </c>
      <c r="G93" s="77" t="s">
        <v>66</v>
      </c>
      <c r="H93" s="78">
        <v>30</v>
      </c>
      <c r="I93" s="77" t="s">
        <v>66</v>
      </c>
      <c r="J93" s="165" t="s">
        <v>85</v>
      </c>
      <c r="K93" s="166"/>
      <c r="L93" s="79">
        <v>91</v>
      </c>
      <c r="M93" s="80">
        <v>2730</v>
      </c>
      <c r="N93" s="85"/>
      <c r="O93" s="70"/>
      <c r="P93" s="70"/>
    </row>
    <row r="94" spans="1:16" ht="20.25" customHeight="1">
      <c r="A94" s="71">
        <v>1</v>
      </c>
      <c r="B94" s="72" t="s">
        <v>96</v>
      </c>
      <c r="C94" s="73" t="s">
        <v>138</v>
      </c>
      <c r="D94" s="74" t="s">
        <v>61</v>
      </c>
      <c r="E94" s="75" t="s">
        <v>98</v>
      </c>
      <c r="F94" s="76" t="s">
        <v>77</v>
      </c>
      <c r="G94" s="77" t="s">
        <v>66</v>
      </c>
      <c r="H94" s="78">
        <v>30</v>
      </c>
      <c r="I94" s="77" t="s">
        <v>66</v>
      </c>
      <c r="J94" s="165" t="s">
        <v>85</v>
      </c>
      <c r="K94" s="166"/>
      <c r="L94" s="79">
        <v>28</v>
      </c>
      <c r="M94" s="80">
        <v>840</v>
      </c>
      <c r="N94" s="85"/>
      <c r="O94" s="70"/>
      <c r="P94" s="70"/>
    </row>
    <row r="95" spans="1:16" ht="20.25" customHeight="1">
      <c r="A95" s="71">
        <v>1</v>
      </c>
      <c r="B95" s="72" t="s">
        <v>96</v>
      </c>
      <c r="C95" s="73" t="s">
        <v>139</v>
      </c>
      <c r="D95" s="74" t="s">
        <v>61</v>
      </c>
      <c r="E95" s="75" t="s">
        <v>98</v>
      </c>
      <c r="F95" s="76" t="s">
        <v>77</v>
      </c>
      <c r="G95" s="77" t="s">
        <v>66</v>
      </c>
      <c r="H95" s="78">
        <v>30</v>
      </c>
      <c r="I95" s="77" t="s">
        <v>66</v>
      </c>
      <c r="J95" s="165" t="s">
        <v>85</v>
      </c>
      <c r="K95" s="166"/>
      <c r="L95" s="79">
        <v>110</v>
      </c>
      <c r="M95" s="80">
        <v>3300</v>
      </c>
      <c r="N95" s="85"/>
      <c r="O95" s="70"/>
      <c r="P95" s="70"/>
    </row>
    <row r="96" spans="1:16" ht="20.25" customHeight="1">
      <c r="A96" s="71">
        <v>1</v>
      </c>
      <c r="B96" s="72" t="s">
        <v>96</v>
      </c>
      <c r="C96" s="73" t="s">
        <v>140</v>
      </c>
      <c r="D96" s="74" t="s">
        <v>61</v>
      </c>
      <c r="E96" s="75" t="s">
        <v>98</v>
      </c>
      <c r="F96" s="76" t="s">
        <v>77</v>
      </c>
      <c r="G96" s="77" t="s">
        <v>66</v>
      </c>
      <c r="H96" s="78">
        <v>30</v>
      </c>
      <c r="I96" s="77" t="s">
        <v>66</v>
      </c>
      <c r="J96" s="165" t="s">
        <v>85</v>
      </c>
      <c r="K96" s="166"/>
      <c r="L96" s="79">
        <v>103</v>
      </c>
      <c r="M96" s="80">
        <v>3090</v>
      </c>
      <c r="N96" s="85"/>
      <c r="O96" s="70"/>
      <c r="P96" s="70"/>
    </row>
    <row r="97" spans="1:16" ht="20.25" customHeight="1">
      <c r="A97" s="71">
        <v>1</v>
      </c>
      <c r="B97" s="72" t="s">
        <v>96</v>
      </c>
      <c r="C97" s="73" t="s">
        <v>141</v>
      </c>
      <c r="D97" s="74" t="s">
        <v>61</v>
      </c>
      <c r="E97" s="75" t="s">
        <v>98</v>
      </c>
      <c r="F97" s="76" t="s">
        <v>77</v>
      </c>
      <c r="G97" s="77" t="s">
        <v>66</v>
      </c>
      <c r="H97" s="78">
        <v>30</v>
      </c>
      <c r="I97" s="77" t="s">
        <v>66</v>
      </c>
      <c r="J97" s="165" t="s">
        <v>85</v>
      </c>
      <c r="K97" s="166"/>
      <c r="L97" s="79">
        <v>38</v>
      </c>
      <c r="M97" s="80">
        <v>1140</v>
      </c>
      <c r="N97" s="85"/>
      <c r="O97" s="70"/>
      <c r="P97" s="70"/>
    </row>
    <row r="98" spans="1:16" ht="20.25" customHeight="1">
      <c r="A98" s="71">
        <v>1</v>
      </c>
      <c r="B98" s="72" t="s">
        <v>96</v>
      </c>
      <c r="C98" s="73" t="s">
        <v>142</v>
      </c>
      <c r="D98" s="74" t="s">
        <v>61</v>
      </c>
      <c r="E98" s="75" t="s">
        <v>98</v>
      </c>
      <c r="F98" s="76" t="s">
        <v>77</v>
      </c>
      <c r="G98" s="77" t="s">
        <v>66</v>
      </c>
      <c r="H98" s="78">
        <v>30</v>
      </c>
      <c r="I98" s="77" t="s">
        <v>66</v>
      </c>
      <c r="J98" s="165" t="s">
        <v>85</v>
      </c>
      <c r="K98" s="166"/>
      <c r="L98" s="79">
        <v>55</v>
      </c>
      <c r="M98" s="80">
        <v>1650</v>
      </c>
      <c r="N98" s="85"/>
      <c r="O98" s="70"/>
      <c r="P98" s="70"/>
    </row>
    <row r="99" spans="1:16" ht="20.25" customHeight="1">
      <c r="A99" s="71">
        <v>1</v>
      </c>
      <c r="B99" s="72" t="s">
        <v>96</v>
      </c>
      <c r="C99" s="73" t="s">
        <v>143</v>
      </c>
      <c r="D99" s="74" t="s">
        <v>61</v>
      </c>
      <c r="E99" s="75" t="s">
        <v>98</v>
      </c>
      <c r="F99" s="76" t="s">
        <v>77</v>
      </c>
      <c r="G99" s="77" t="s">
        <v>66</v>
      </c>
      <c r="H99" s="78">
        <v>30</v>
      </c>
      <c r="I99" s="77" t="s">
        <v>66</v>
      </c>
      <c r="J99" s="165" t="s">
        <v>85</v>
      </c>
      <c r="K99" s="166"/>
      <c r="L99" s="79">
        <v>58</v>
      </c>
      <c r="M99" s="80">
        <v>1740</v>
      </c>
      <c r="N99" s="85"/>
      <c r="O99" s="70"/>
      <c r="P99" s="70"/>
    </row>
    <row r="100" spans="1:16" ht="20.25" customHeight="1">
      <c r="A100" s="71">
        <v>1</v>
      </c>
      <c r="B100" s="72" t="s">
        <v>96</v>
      </c>
      <c r="C100" s="73" t="s">
        <v>144</v>
      </c>
      <c r="D100" s="74" t="s">
        <v>61</v>
      </c>
      <c r="E100" s="75" t="s">
        <v>98</v>
      </c>
      <c r="F100" s="76" t="s">
        <v>77</v>
      </c>
      <c r="G100" s="77" t="s">
        <v>66</v>
      </c>
      <c r="H100" s="78">
        <v>30</v>
      </c>
      <c r="I100" s="77" t="s">
        <v>66</v>
      </c>
      <c r="J100" s="165" t="s">
        <v>85</v>
      </c>
      <c r="K100" s="166"/>
      <c r="L100" s="79">
        <v>50</v>
      </c>
      <c r="M100" s="80">
        <v>1500</v>
      </c>
      <c r="N100" s="85"/>
      <c r="O100" s="70"/>
      <c r="P100" s="70"/>
    </row>
    <row r="101" spans="1:16" ht="20.25" customHeight="1">
      <c r="A101" s="71">
        <v>1</v>
      </c>
      <c r="B101" s="72" t="s">
        <v>96</v>
      </c>
      <c r="C101" s="73" t="s">
        <v>145</v>
      </c>
      <c r="D101" s="74" t="s">
        <v>61</v>
      </c>
      <c r="E101" s="75" t="s">
        <v>98</v>
      </c>
      <c r="F101" s="76" t="s">
        <v>77</v>
      </c>
      <c r="G101" s="77" t="s">
        <v>66</v>
      </c>
      <c r="H101" s="78">
        <v>30</v>
      </c>
      <c r="I101" s="77" t="s">
        <v>66</v>
      </c>
      <c r="J101" s="165" t="s">
        <v>85</v>
      </c>
      <c r="K101" s="166"/>
      <c r="L101" s="79">
        <v>56</v>
      </c>
      <c r="M101" s="80">
        <v>1680</v>
      </c>
      <c r="N101" s="85"/>
      <c r="O101" s="70"/>
      <c r="P101" s="70"/>
    </row>
    <row r="102" spans="1:16" ht="20.25" customHeight="1">
      <c r="A102" s="71">
        <v>1</v>
      </c>
      <c r="B102" s="72" t="s">
        <v>96</v>
      </c>
      <c r="C102" s="73" t="s">
        <v>146</v>
      </c>
      <c r="D102" s="74" t="s">
        <v>61</v>
      </c>
      <c r="E102" s="75" t="s">
        <v>98</v>
      </c>
      <c r="F102" s="76" t="s">
        <v>77</v>
      </c>
      <c r="G102" s="77" t="s">
        <v>66</v>
      </c>
      <c r="H102" s="78">
        <v>30</v>
      </c>
      <c r="I102" s="77" t="s">
        <v>66</v>
      </c>
      <c r="J102" s="165" t="s">
        <v>85</v>
      </c>
      <c r="K102" s="166"/>
      <c r="L102" s="79">
        <v>111</v>
      </c>
      <c r="M102" s="80">
        <v>3330</v>
      </c>
      <c r="N102" s="85"/>
      <c r="O102" s="70"/>
      <c r="P102" s="70"/>
    </row>
    <row r="103" spans="1:16" ht="20.25" customHeight="1">
      <c r="A103" s="71">
        <v>1</v>
      </c>
      <c r="B103" s="72" t="s">
        <v>96</v>
      </c>
      <c r="C103" s="73" t="s">
        <v>147</v>
      </c>
      <c r="D103" s="74" t="s">
        <v>61</v>
      </c>
      <c r="E103" s="75" t="s">
        <v>98</v>
      </c>
      <c r="F103" s="76" t="s">
        <v>77</v>
      </c>
      <c r="G103" s="77" t="s">
        <v>66</v>
      </c>
      <c r="H103" s="78">
        <v>30</v>
      </c>
      <c r="I103" s="77" t="s">
        <v>66</v>
      </c>
      <c r="J103" s="165" t="s">
        <v>85</v>
      </c>
      <c r="K103" s="166"/>
      <c r="L103" s="79">
        <v>120</v>
      </c>
      <c r="M103" s="80">
        <v>3600</v>
      </c>
      <c r="N103" s="85"/>
      <c r="O103" s="70"/>
      <c r="P103" s="70"/>
    </row>
    <row r="104" spans="1:16" ht="20.25" customHeight="1">
      <c r="A104" s="71">
        <v>1</v>
      </c>
      <c r="B104" s="72" t="s">
        <v>96</v>
      </c>
      <c r="C104" s="73" t="s">
        <v>148</v>
      </c>
      <c r="D104" s="74" t="s">
        <v>61</v>
      </c>
      <c r="E104" s="75" t="s">
        <v>98</v>
      </c>
      <c r="F104" s="76" t="s">
        <v>77</v>
      </c>
      <c r="G104" s="77" t="s">
        <v>66</v>
      </c>
      <c r="H104" s="78">
        <v>30</v>
      </c>
      <c r="I104" s="77" t="s">
        <v>66</v>
      </c>
      <c r="J104" s="165" t="s">
        <v>85</v>
      </c>
      <c r="K104" s="166"/>
      <c r="L104" s="79">
        <v>108</v>
      </c>
      <c r="M104" s="80">
        <v>3240</v>
      </c>
      <c r="N104" s="85"/>
      <c r="O104" s="70"/>
      <c r="P104" s="70"/>
    </row>
    <row r="105" spans="1:16" ht="20.25" customHeight="1">
      <c r="A105" s="71">
        <v>1</v>
      </c>
      <c r="B105" s="72" t="s">
        <v>149</v>
      </c>
      <c r="C105" s="73" t="s">
        <v>150</v>
      </c>
      <c r="D105" s="74" t="s">
        <v>61</v>
      </c>
      <c r="E105" s="75" t="s">
        <v>151</v>
      </c>
      <c r="F105" s="76" t="s">
        <v>77</v>
      </c>
      <c r="G105" s="77" t="s">
        <v>66</v>
      </c>
      <c r="H105" s="78">
        <v>10</v>
      </c>
      <c r="I105" s="77" t="s">
        <v>66</v>
      </c>
      <c r="J105" s="165" t="s">
        <v>152</v>
      </c>
      <c r="K105" s="166"/>
      <c r="L105" s="79">
        <v>135</v>
      </c>
      <c r="M105" s="80">
        <v>1350</v>
      </c>
      <c r="N105" s="85"/>
      <c r="O105" s="70"/>
      <c r="P105" s="70"/>
    </row>
    <row r="106" spans="1:16" ht="20.25" customHeight="1">
      <c r="A106" s="71">
        <v>1</v>
      </c>
      <c r="B106" s="72" t="s">
        <v>149</v>
      </c>
      <c r="C106" s="73" t="s">
        <v>153</v>
      </c>
      <c r="D106" s="74" t="s">
        <v>61</v>
      </c>
      <c r="E106" s="75" t="s">
        <v>151</v>
      </c>
      <c r="F106" s="76" t="s">
        <v>77</v>
      </c>
      <c r="G106" s="77" t="s">
        <v>66</v>
      </c>
      <c r="H106" s="78">
        <v>10</v>
      </c>
      <c r="I106" s="77" t="s">
        <v>66</v>
      </c>
      <c r="J106" s="165" t="s">
        <v>152</v>
      </c>
      <c r="K106" s="166"/>
      <c r="L106" s="79">
        <v>70</v>
      </c>
      <c r="M106" s="80">
        <v>700</v>
      </c>
      <c r="N106" s="85"/>
      <c r="O106" s="70"/>
      <c r="P106" s="70"/>
    </row>
    <row r="107" spans="1:16" ht="20.25" customHeight="1">
      <c r="A107" s="71">
        <v>1</v>
      </c>
      <c r="B107" s="72" t="s">
        <v>149</v>
      </c>
      <c r="C107" s="73" t="s">
        <v>154</v>
      </c>
      <c r="D107" s="74" t="s">
        <v>61</v>
      </c>
      <c r="E107" s="75" t="s">
        <v>151</v>
      </c>
      <c r="F107" s="76" t="s">
        <v>77</v>
      </c>
      <c r="G107" s="77" t="s">
        <v>66</v>
      </c>
      <c r="H107" s="78">
        <v>10</v>
      </c>
      <c r="I107" s="77" t="s">
        <v>66</v>
      </c>
      <c r="J107" s="165" t="s">
        <v>152</v>
      </c>
      <c r="K107" s="166"/>
      <c r="L107" s="79">
        <v>46</v>
      </c>
      <c r="M107" s="80">
        <v>460</v>
      </c>
      <c r="N107" s="85"/>
      <c r="O107" s="70"/>
      <c r="P107" s="70"/>
    </row>
    <row r="108" spans="1:16" ht="20.25" customHeight="1">
      <c r="A108" s="71">
        <v>1</v>
      </c>
      <c r="B108" s="72" t="s">
        <v>149</v>
      </c>
      <c r="C108" s="73" t="s">
        <v>155</v>
      </c>
      <c r="D108" s="74" t="s">
        <v>61</v>
      </c>
      <c r="E108" s="75" t="s">
        <v>151</v>
      </c>
      <c r="F108" s="76" t="s">
        <v>77</v>
      </c>
      <c r="G108" s="77" t="s">
        <v>66</v>
      </c>
      <c r="H108" s="78">
        <v>10</v>
      </c>
      <c r="I108" s="77" t="s">
        <v>66</v>
      </c>
      <c r="J108" s="165" t="s">
        <v>152</v>
      </c>
      <c r="K108" s="166"/>
      <c r="L108" s="79">
        <v>55</v>
      </c>
      <c r="M108" s="80">
        <v>550</v>
      </c>
      <c r="N108" s="85"/>
      <c r="O108" s="70"/>
      <c r="P108" s="70"/>
    </row>
    <row r="109" spans="1:16" ht="20.25" customHeight="1">
      <c r="A109" s="71">
        <v>1</v>
      </c>
      <c r="B109" s="72" t="s">
        <v>156</v>
      </c>
      <c r="C109" s="73" t="s">
        <v>157</v>
      </c>
      <c r="D109" s="74" t="s">
        <v>61</v>
      </c>
      <c r="E109" s="75" t="s">
        <v>151</v>
      </c>
      <c r="F109" s="76" t="s">
        <v>77</v>
      </c>
      <c r="G109" s="77" t="s">
        <v>66</v>
      </c>
      <c r="H109" s="78">
        <v>130</v>
      </c>
      <c r="I109" s="77" t="s">
        <v>66</v>
      </c>
      <c r="J109" s="165" t="s">
        <v>158</v>
      </c>
      <c r="K109" s="166"/>
      <c r="L109" s="79">
        <v>119</v>
      </c>
      <c r="M109" s="80">
        <v>15470</v>
      </c>
      <c r="N109" s="85"/>
      <c r="O109" s="70"/>
      <c r="P109" s="70"/>
    </row>
    <row r="110" spans="1:16" ht="20.25" customHeight="1">
      <c r="A110" s="71">
        <v>1</v>
      </c>
      <c r="B110" s="72" t="s">
        <v>156</v>
      </c>
      <c r="C110" s="73" t="s">
        <v>159</v>
      </c>
      <c r="D110" s="74" t="s">
        <v>61</v>
      </c>
      <c r="E110" s="75" t="s">
        <v>151</v>
      </c>
      <c r="F110" s="76" t="s">
        <v>77</v>
      </c>
      <c r="G110" s="77" t="s">
        <v>66</v>
      </c>
      <c r="H110" s="78">
        <v>300</v>
      </c>
      <c r="I110" s="77" t="s">
        <v>66</v>
      </c>
      <c r="J110" s="165" t="s">
        <v>160</v>
      </c>
      <c r="K110" s="166"/>
      <c r="L110" s="79">
        <v>41</v>
      </c>
      <c r="M110" s="80">
        <v>12300</v>
      </c>
      <c r="N110" s="85"/>
      <c r="O110" s="70"/>
      <c r="P110" s="70"/>
    </row>
    <row r="111" spans="1:16" ht="20.25" customHeight="1">
      <c r="A111" s="71">
        <v>1</v>
      </c>
      <c r="B111" s="72" t="s">
        <v>156</v>
      </c>
      <c r="C111" s="73" t="s">
        <v>161</v>
      </c>
      <c r="D111" s="74" t="s">
        <v>61</v>
      </c>
      <c r="E111" s="75" t="s">
        <v>98</v>
      </c>
      <c r="F111" s="76" t="s">
        <v>77</v>
      </c>
      <c r="G111" s="77" t="s">
        <v>66</v>
      </c>
      <c r="H111" s="78">
        <v>90</v>
      </c>
      <c r="I111" s="77" t="s">
        <v>66</v>
      </c>
      <c r="J111" s="165" t="s">
        <v>162</v>
      </c>
      <c r="K111" s="166"/>
      <c r="L111" s="79">
        <v>30</v>
      </c>
      <c r="M111" s="80">
        <v>2700</v>
      </c>
      <c r="N111" s="85"/>
      <c r="O111" s="70"/>
      <c r="P111" s="70"/>
    </row>
    <row r="112" spans="1:16" ht="20.25" customHeight="1">
      <c r="A112" s="71"/>
      <c r="B112" s="72" t="s">
        <v>61</v>
      </c>
      <c r="C112" s="164" t="s">
        <v>163</v>
      </c>
      <c r="D112" s="74"/>
      <c r="E112" s="75"/>
      <c r="F112" s="76"/>
      <c r="G112" s="77"/>
      <c r="H112" s="78"/>
      <c r="I112" s="77"/>
      <c r="J112" s="165" t="s">
        <v>61</v>
      </c>
      <c r="K112" s="166"/>
      <c r="L112" s="79" t="s">
        <v>61</v>
      </c>
      <c r="M112" s="80" t="s">
        <v>61</v>
      </c>
      <c r="N112" s="85"/>
      <c r="O112" s="70"/>
      <c r="P112" s="70"/>
    </row>
    <row r="113" spans="1:16" ht="20.25" customHeight="1">
      <c r="A113" s="71">
        <v>2</v>
      </c>
      <c r="B113" s="72" t="s">
        <v>164</v>
      </c>
      <c r="C113" s="73">
        <v>12701</v>
      </c>
      <c r="D113" s="74" t="s">
        <v>165</v>
      </c>
      <c r="E113" s="75">
        <v>120</v>
      </c>
      <c r="F113" s="76" t="s">
        <v>72</v>
      </c>
      <c r="G113" s="77" t="s">
        <v>66</v>
      </c>
      <c r="H113" s="78">
        <v>33</v>
      </c>
      <c r="I113" s="77" t="s">
        <v>67</v>
      </c>
      <c r="J113" s="165" t="s">
        <v>166</v>
      </c>
      <c r="K113" s="166"/>
      <c r="L113" s="79">
        <v>1121</v>
      </c>
      <c r="M113" s="80">
        <v>36993</v>
      </c>
      <c r="N113" s="85"/>
      <c r="O113" s="70"/>
      <c r="P113" s="70"/>
    </row>
    <row r="114" spans="1:16" ht="20.25" customHeight="1">
      <c r="A114" s="71"/>
      <c r="B114" s="72" t="s">
        <v>61</v>
      </c>
      <c r="C114" s="73" t="s">
        <v>61</v>
      </c>
      <c r="D114" s="74" t="s">
        <v>61</v>
      </c>
      <c r="E114" s="75" t="s">
        <v>61</v>
      </c>
      <c r="F114" s="76" t="s">
        <v>61</v>
      </c>
      <c r="G114" s="77" t="s">
        <v>61</v>
      </c>
      <c r="H114" s="78" t="s">
        <v>61</v>
      </c>
      <c r="I114" s="77" t="s">
        <v>61</v>
      </c>
      <c r="J114" s="165" t="s">
        <v>61</v>
      </c>
      <c r="K114" s="166"/>
      <c r="L114" s="79" t="s">
        <v>61</v>
      </c>
      <c r="M114" s="80" t="s">
        <v>61</v>
      </c>
      <c r="N114" s="85"/>
      <c r="O114" s="70"/>
      <c r="P114" s="70"/>
    </row>
    <row r="115" spans="1:16" ht="20.25" customHeight="1">
      <c r="A115" s="71"/>
      <c r="B115" s="72" t="s">
        <v>61</v>
      </c>
      <c r="C115" s="73" t="s">
        <v>61</v>
      </c>
      <c r="D115" s="74" t="s">
        <v>61</v>
      </c>
      <c r="E115" s="75" t="s">
        <v>61</v>
      </c>
      <c r="F115" s="76" t="s">
        <v>61</v>
      </c>
      <c r="G115" s="77" t="s">
        <v>61</v>
      </c>
      <c r="H115" s="78" t="s">
        <v>61</v>
      </c>
      <c r="I115" s="77" t="s">
        <v>61</v>
      </c>
      <c r="J115" s="165" t="s">
        <v>61</v>
      </c>
      <c r="K115" s="166"/>
      <c r="L115" s="79" t="s">
        <v>61</v>
      </c>
      <c r="M115" s="80" t="s">
        <v>61</v>
      </c>
      <c r="N115" s="85"/>
      <c r="O115" s="70"/>
      <c r="P115" s="70"/>
    </row>
    <row r="116" spans="1:16" ht="20.25" customHeight="1">
      <c r="A116" s="71"/>
      <c r="B116" s="72" t="s">
        <v>61</v>
      </c>
      <c r="C116" s="73" t="s">
        <v>170</v>
      </c>
      <c r="D116" s="74" t="s">
        <v>61</v>
      </c>
      <c r="E116" s="75" t="s">
        <v>61</v>
      </c>
      <c r="F116" s="76" t="s">
        <v>61</v>
      </c>
      <c r="G116" s="77" t="s">
        <v>61</v>
      </c>
      <c r="H116" s="78">
        <v>1</v>
      </c>
      <c r="I116" s="77" t="s">
        <v>172</v>
      </c>
      <c r="J116" s="165" t="s">
        <v>61</v>
      </c>
      <c r="K116" s="166"/>
      <c r="L116" s="79">
        <v>2100</v>
      </c>
      <c r="M116" s="80">
        <f>L116+L117</f>
        <v>2100</v>
      </c>
      <c r="N116" s="85"/>
      <c r="O116" s="70"/>
      <c r="P116" s="70"/>
    </row>
    <row r="117" spans="1:16" ht="20.25" customHeight="1">
      <c r="A117" s="71"/>
      <c r="B117" s="72" t="s">
        <v>61</v>
      </c>
      <c r="C117" s="222" t="s">
        <v>171</v>
      </c>
      <c r="D117" s="223" t="s">
        <v>61</v>
      </c>
      <c r="E117" s="224" t="s">
        <v>61</v>
      </c>
      <c r="F117" s="225" t="s">
        <v>61</v>
      </c>
      <c r="G117" s="226" t="s">
        <v>61</v>
      </c>
      <c r="H117" s="227">
        <v>1</v>
      </c>
      <c r="I117" s="226" t="s">
        <v>172</v>
      </c>
      <c r="J117" s="228" t="s">
        <v>61</v>
      </c>
      <c r="K117" s="229"/>
      <c r="L117" s="230">
        <v>0</v>
      </c>
      <c r="M117" s="231">
        <v>0</v>
      </c>
      <c r="N117" s="85"/>
      <c r="O117" s="70"/>
      <c r="P117" s="70"/>
    </row>
    <row r="118" spans="1:16" ht="20.25" customHeight="1">
      <c r="A118" s="71"/>
      <c r="B118" s="72" t="s">
        <v>61</v>
      </c>
      <c r="C118" s="73" t="s">
        <v>61</v>
      </c>
      <c r="D118" s="74" t="s">
        <v>61</v>
      </c>
      <c r="E118" s="75" t="s">
        <v>61</v>
      </c>
      <c r="F118" s="76" t="s">
        <v>61</v>
      </c>
      <c r="G118" s="77" t="s">
        <v>61</v>
      </c>
      <c r="H118" s="78" t="s">
        <v>61</v>
      </c>
      <c r="I118" s="77" t="s">
        <v>61</v>
      </c>
      <c r="J118" s="165" t="s">
        <v>61</v>
      </c>
      <c r="K118" s="166"/>
      <c r="L118" s="79" t="s">
        <v>61</v>
      </c>
      <c r="M118" s="80" t="s">
        <v>61</v>
      </c>
      <c r="N118" s="85"/>
      <c r="O118" s="70"/>
      <c r="P118" s="70"/>
    </row>
    <row r="119" spans="1:16" ht="20.25" customHeight="1">
      <c r="A119" s="71"/>
      <c r="B119" s="72" t="s">
        <v>61</v>
      </c>
      <c r="C119" s="73" t="s">
        <v>61</v>
      </c>
      <c r="D119" s="74" t="s">
        <v>61</v>
      </c>
      <c r="E119" s="75" t="s">
        <v>61</v>
      </c>
      <c r="F119" s="76" t="s">
        <v>61</v>
      </c>
      <c r="G119" s="77" t="s">
        <v>61</v>
      </c>
      <c r="H119" s="78" t="s">
        <v>61</v>
      </c>
      <c r="I119" s="77" t="s">
        <v>61</v>
      </c>
      <c r="J119" s="165" t="s">
        <v>61</v>
      </c>
      <c r="K119" s="166"/>
      <c r="L119" s="79" t="s">
        <v>61</v>
      </c>
      <c r="M119" s="80" t="s">
        <v>61</v>
      </c>
      <c r="N119" s="85"/>
      <c r="O119" s="70"/>
      <c r="P119" s="70"/>
    </row>
    <row r="120" spans="1:16" ht="20.25" customHeight="1">
      <c r="A120" s="71"/>
      <c r="B120" s="72" t="s">
        <v>61</v>
      </c>
      <c r="C120" s="73" t="s">
        <v>61</v>
      </c>
      <c r="D120" s="74" t="s">
        <v>61</v>
      </c>
      <c r="E120" s="75" t="s">
        <v>61</v>
      </c>
      <c r="F120" s="76" t="s">
        <v>61</v>
      </c>
      <c r="G120" s="77" t="s">
        <v>61</v>
      </c>
      <c r="H120" s="78" t="s">
        <v>61</v>
      </c>
      <c r="I120" s="77" t="s">
        <v>61</v>
      </c>
      <c r="J120" s="165" t="s">
        <v>61</v>
      </c>
      <c r="K120" s="166"/>
      <c r="L120" s="79" t="s">
        <v>61</v>
      </c>
      <c r="M120" s="80" t="s">
        <v>61</v>
      </c>
      <c r="N120" s="85"/>
      <c r="O120" s="70"/>
      <c r="P120" s="70"/>
    </row>
    <row r="121" spans="1:16" ht="20.25" customHeight="1">
      <c r="A121" s="71"/>
      <c r="B121" s="72" t="s">
        <v>61</v>
      </c>
      <c r="C121" s="73" t="s">
        <v>61</v>
      </c>
      <c r="D121" s="74" t="s">
        <v>61</v>
      </c>
      <c r="E121" s="75" t="s">
        <v>61</v>
      </c>
      <c r="F121" s="76" t="s">
        <v>61</v>
      </c>
      <c r="G121" s="77" t="s">
        <v>61</v>
      </c>
      <c r="H121" s="78" t="s">
        <v>61</v>
      </c>
      <c r="I121" s="77" t="s">
        <v>61</v>
      </c>
      <c r="J121" s="165" t="s">
        <v>61</v>
      </c>
      <c r="K121" s="166"/>
      <c r="L121" s="79" t="s">
        <v>61</v>
      </c>
      <c r="M121" s="80" t="s">
        <v>61</v>
      </c>
      <c r="N121" s="85"/>
      <c r="O121" s="70"/>
      <c r="P121" s="70"/>
    </row>
    <row r="122" spans="1:16" ht="20.25" customHeight="1">
      <c r="A122" s="71"/>
      <c r="B122" s="72" t="s">
        <v>61</v>
      </c>
      <c r="C122" s="73" t="s">
        <v>61</v>
      </c>
      <c r="D122" s="74" t="s">
        <v>61</v>
      </c>
      <c r="E122" s="75" t="s">
        <v>61</v>
      </c>
      <c r="F122" s="76" t="s">
        <v>61</v>
      </c>
      <c r="G122" s="77" t="s">
        <v>61</v>
      </c>
      <c r="H122" s="78" t="s">
        <v>61</v>
      </c>
      <c r="I122" s="77" t="s">
        <v>61</v>
      </c>
      <c r="J122" s="165" t="s">
        <v>61</v>
      </c>
      <c r="K122" s="166"/>
      <c r="L122" s="79" t="s">
        <v>61</v>
      </c>
      <c r="M122" s="80" t="s">
        <v>61</v>
      </c>
      <c r="N122" s="85"/>
      <c r="O122" s="70"/>
      <c r="P122" s="70"/>
    </row>
    <row r="123" spans="1:16" ht="20.25" customHeight="1">
      <c r="A123" s="71"/>
      <c r="B123" s="72" t="s">
        <v>61</v>
      </c>
      <c r="C123" s="73" t="s">
        <v>61</v>
      </c>
      <c r="D123" s="74" t="s">
        <v>61</v>
      </c>
      <c r="E123" s="75" t="s">
        <v>61</v>
      </c>
      <c r="F123" s="76" t="s">
        <v>61</v>
      </c>
      <c r="G123" s="77" t="s">
        <v>61</v>
      </c>
      <c r="H123" s="78" t="s">
        <v>61</v>
      </c>
      <c r="I123" s="77" t="s">
        <v>61</v>
      </c>
      <c r="J123" s="165" t="s">
        <v>61</v>
      </c>
      <c r="K123" s="166"/>
      <c r="L123" s="79" t="s">
        <v>61</v>
      </c>
      <c r="M123" s="80" t="s">
        <v>61</v>
      </c>
      <c r="N123" s="85"/>
      <c r="O123" s="70"/>
      <c r="P123" s="70"/>
    </row>
    <row r="124" spans="1:16" ht="20.25" customHeight="1">
      <c r="A124" s="71"/>
      <c r="B124" s="72" t="s">
        <v>61</v>
      </c>
      <c r="C124" s="73" t="s">
        <v>61</v>
      </c>
      <c r="D124" s="74" t="s">
        <v>61</v>
      </c>
      <c r="E124" s="75" t="s">
        <v>61</v>
      </c>
      <c r="F124" s="76" t="s">
        <v>61</v>
      </c>
      <c r="G124" s="77" t="s">
        <v>61</v>
      </c>
      <c r="H124" s="78" t="s">
        <v>61</v>
      </c>
      <c r="I124" s="77" t="s">
        <v>61</v>
      </c>
      <c r="J124" s="165" t="s">
        <v>61</v>
      </c>
      <c r="K124" s="166"/>
      <c r="L124" s="79" t="s">
        <v>61</v>
      </c>
      <c r="M124" s="80" t="s">
        <v>61</v>
      </c>
      <c r="N124" s="85"/>
      <c r="O124" s="70"/>
      <c r="P124" s="70"/>
    </row>
    <row r="125" spans="1:16" ht="20.25" customHeight="1">
      <c r="A125" s="71"/>
      <c r="B125" s="72" t="s">
        <v>61</v>
      </c>
      <c r="C125" s="73" t="s">
        <v>61</v>
      </c>
      <c r="D125" s="74" t="s">
        <v>61</v>
      </c>
      <c r="E125" s="75" t="s">
        <v>61</v>
      </c>
      <c r="F125" s="76" t="s">
        <v>61</v>
      </c>
      <c r="G125" s="77" t="s">
        <v>61</v>
      </c>
      <c r="H125" s="78" t="s">
        <v>61</v>
      </c>
      <c r="I125" s="77" t="s">
        <v>61</v>
      </c>
      <c r="J125" s="165" t="s">
        <v>61</v>
      </c>
      <c r="K125" s="166"/>
      <c r="L125" s="79" t="s">
        <v>61</v>
      </c>
      <c r="M125" s="80" t="s">
        <v>61</v>
      </c>
      <c r="N125" s="85"/>
      <c r="O125" s="70"/>
      <c r="P125" s="70"/>
    </row>
    <row r="126" spans="1:16" ht="20.25" customHeight="1">
      <c r="A126" s="71"/>
      <c r="B126" s="72" t="s">
        <v>61</v>
      </c>
      <c r="C126" s="73" t="s">
        <v>61</v>
      </c>
      <c r="D126" s="74" t="s">
        <v>61</v>
      </c>
      <c r="E126" s="75" t="s">
        <v>61</v>
      </c>
      <c r="F126" s="76" t="s">
        <v>61</v>
      </c>
      <c r="G126" s="77" t="s">
        <v>61</v>
      </c>
      <c r="H126" s="78" t="s">
        <v>61</v>
      </c>
      <c r="I126" s="77" t="s">
        <v>61</v>
      </c>
      <c r="J126" s="165" t="s">
        <v>61</v>
      </c>
      <c r="K126" s="166"/>
      <c r="L126" s="79" t="s">
        <v>61</v>
      </c>
      <c r="M126" s="80" t="s">
        <v>61</v>
      </c>
      <c r="N126" s="85"/>
      <c r="O126" s="70"/>
      <c r="P126" s="70"/>
    </row>
    <row r="127" spans="1:16" ht="20.25" customHeight="1">
      <c r="A127" s="71"/>
      <c r="B127" s="72" t="s">
        <v>61</v>
      </c>
      <c r="C127" s="73" t="s">
        <v>61</v>
      </c>
      <c r="D127" s="74" t="s">
        <v>61</v>
      </c>
      <c r="E127" s="75" t="s">
        <v>61</v>
      </c>
      <c r="F127" s="76" t="s">
        <v>61</v>
      </c>
      <c r="G127" s="77" t="s">
        <v>61</v>
      </c>
      <c r="H127" s="78" t="s">
        <v>61</v>
      </c>
      <c r="I127" s="77" t="s">
        <v>61</v>
      </c>
      <c r="J127" s="165" t="s">
        <v>61</v>
      </c>
      <c r="K127" s="166"/>
      <c r="L127" s="79" t="s">
        <v>61</v>
      </c>
      <c r="M127" s="80" t="s">
        <v>61</v>
      </c>
      <c r="N127" s="85"/>
      <c r="O127" s="70"/>
      <c r="P127" s="70"/>
    </row>
    <row r="128" spans="1:16" ht="20.25" customHeight="1">
      <c r="A128" s="71"/>
      <c r="B128" s="72" t="s">
        <v>61</v>
      </c>
      <c r="C128" s="73" t="s">
        <v>61</v>
      </c>
      <c r="D128" s="74" t="s">
        <v>61</v>
      </c>
      <c r="E128" s="75" t="s">
        <v>61</v>
      </c>
      <c r="F128" s="76" t="s">
        <v>61</v>
      </c>
      <c r="G128" s="77" t="s">
        <v>61</v>
      </c>
      <c r="H128" s="78" t="s">
        <v>61</v>
      </c>
      <c r="I128" s="77" t="s">
        <v>61</v>
      </c>
      <c r="J128" s="165" t="s">
        <v>61</v>
      </c>
      <c r="K128" s="166"/>
      <c r="L128" s="79" t="s">
        <v>61</v>
      </c>
      <c r="M128" s="80" t="s">
        <v>61</v>
      </c>
      <c r="N128" s="85"/>
      <c r="O128" s="70"/>
      <c r="P128" s="70"/>
    </row>
    <row r="129" spans="1:16" ht="20.25" customHeight="1">
      <c r="A129" s="71"/>
      <c r="B129" s="72" t="s">
        <v>61</v>
      </c>
      <c r="C129" s="73" t="s">
        <v>61</v>
      </c>
      <c r="D129" s="74" t="s">
        <v>61</v>
      </c>
      <c r="E129" s="75" t="s">
        <v>61</v>
      </c>
      <c r="F129" s="76" t="s">
        <v>61</v>
      </c>
      <c r="G129" s="77" t="s">
        <v>61</v>
      </c>
      <c r="H129" s="78" t="s">
        <v>61</v>
      </c>
      <c r="I129" s="77" t="s">
        <v>61</v>
      </c>
      <c r="J129" s="165" t="s">
        <v>61</v>
      </c>
      <c r="K129" s="166"/>
      <c r="L129" s="79" t="s">
        <v>61</v>
      </c>
      <c r="M129" s="80" t="s">
        <v>61</v>
      </c>
      <c r="N129" s="85"/>
      <c r="O129" s="70"/>
      <c r="P129" s="70"/>
    </row>
    <row r="130" spans="1:16" ht="20.25" customHeight="1">
      <c r="A130" s="71"/>
      <c r="B130" s="72" t="s">
        <v>61</v>
      </c>
      <c r="C130" s="73" t="s">
        <v>61</v>
      </c>
      <c r="D130" s="74" t="s">
        <v>61</v>
      </c>
      <c r="E130" s="75" t="s">
        <v>61</v>
      </c>
      <c r="F130" s="76" t="s">
        <v>61</v>
      </c>
      <c r="G130" s="77" t="s">
        <v>61</v>
      </c>
      <c r="H130" s="78" t="s">
        <v>61</v>
      </c>
      <c r="I130" s="77" t="s">
        <v>61</v>
      </c>
      <c r="J130" s="165" t="s">
        <v>61</v>
      </c>
      <c r="K130" s="166"/>
      <c r="L130" s="79" t="s">
        <v>61</v>
      </c>
      <c r="M130" s="80" t="s">
        <v>61</v>
      </c>
      <c r="N130" s="85"/>
      <c r="O130" s="70"/>
      <c r="P130" s="70"/>
    </row>
    <row r="131" spans="1:16" ht="20.25" customHeight="1">
      <c r="A131" s="71"/>
      <c r="B131" s="72" t="s">
        <v>61</v>
      </c>
      <c r="C131" s="73" t="s">
        <v>61</v>
      </c>
      <c r="D131" s="74" t="s">
        <v>61</v>
      </c>
      <c r="E131" s="75" t="s">
        <v>61</v>
      </c>
      <c r="F131" s="76" t="s">
        <v>61</v>
      </c>
      <c r="G131" s="77" t="s">
        <v>61</v>
      </c>
      <c r="H131" s="78" t="s">
        <v>61</v>
      </c>
      <c r="I131" s="77" t="s">
        <v>61</v>
      </c>
      <c r="J131" s="165" t="s">
        <v>61</v>
      </c>
      <c r="K131" s="166"/>
      <c r="L131" s="79" t="s">
        <v>61</v>
      </c>
      <c r="M131" s="80" t="s">
        <v>61</v>
      </c>
      <c r="N131" s="85"/>
      <c r="O131" s="70"/>
      <c r="P131" s="70"/>
    </row>
    <row r="132" spans="1:16" ht="20.25" customHeight="1">
      <c r="A132" s="71"/>
      <c r="B132" s="72" t="s">
        <v>61</v>
      </c>
      <c r="C132" s="73" t="s">
        <v>61</v>
      </c>
      <c r="D132" s="74" t="s">
        <v>61</v>
      </c>
      <c r="E132" s="75" t="s">
        <v>61</v>
      </c>
      <c r="F132" s="76" t="s">
        <v>61</v>
      </c>
      <c r="G132" s="77" t="s">
        <v>61</v>
      </c>
      <c r="H132" s="78" t="s">
        <v>61</v>
      </c>
      <c r="I132" s="77" t="s">
        <v>61</v>
      </c>
      <c r="J132" s="165" t="s">
        <v>61</v>
      </c>
      <c r="K132" s="166"/>
      <c r="L132" s="79" t="s">
        <v>61</v>
      </c>
      <c r="M132" s="80" t="s">
        <v>61</v>
      </c>
      <c r="N132" s="85"/>
      <c r="O132" s="70"/>
      <c r="P132" s="70"/>
    </row>
    <row r="133" spans="1:16" ht="20.25" customHeight="1">
      <c r="A133" s="71"/>
      <c r="B133" s="72" t="s">
        <v>61</v>
      </c>
      <c r="C133" s="73" t="s">
        <v>61</v>
      </c>
      <c r="D133" s="74" t="s">
        <v>61</v>
      </c>
      <c r="E133" s="75" t="s">
        <v>61</v>
      </c>
      <c r="F133" s="76" t="s">
        <v>61</v>
      </c>
      <c r="G133" s="77" t="s">
        <v>61</v>
      </c>
      <c r="H133" s="78" t="s">
        <v>61</v>
      </c>
      <c r="I133" s="77" t="s">
        <v>61</v>
      </c>
      <c r="J133" s="165" t="s">
        <v>61</v>
      </c>
      <c r="K133" s="166"/>
      <c r="L133" s="79" t="s">
        <v>61</v>
      </c>
      <c r="M133" s="80" t="s">
        <v>61</v>
      </c>
      <c r="N133" s="85"/>
      <c r="O133" s="70"/>
      <c r="P133" s="70"/>
    </row>
    <row r="134" spans="1:16" ht="20.25" customHeight="1">
      <c r="A134" s="71"/>
      <c r="B134" s="72" t="s">
        <v>61</v>
      </c>
      <c r="C134" s="73" t="s">
        <v>61</v>
      </c>
      <c r="D134" s="74" t="s">
        <v>61</v>
      </c>
      <c r="E134" s="75" t="s">
        <v>61</v>
      </c>
      <c r="F134" s="76" t="s">
        <v>61</v>
      </c>
      <c r="G134" s="77" t="s">
        <v>61</v>
      </c>
      <c r="H134" s="78" t="s">
        <v>61</v>
      </c>
      <c r="I134" s="77" t="s">
        <v>61</v>
      </c>
      <c r="J134" s="165" t="s">
        <v>61</v>
      </c>
      <c r="K134" s="166"/>
      <c r="L134" s="79" t="s">
        <v>61</v>
      </c>
      <c r="M134" s="80" t="s">
        <v>61</v>
      </c>
      <c r="N134" s="85"/>
      <c r="O134" s="70"/>
      <c r="P134" s="70"/>
    </row>
    <row r="135" spans="1:16" ht="20.25" customHeight="1">
      <c r="A135" s="71"/>
      <c r="B135" s="72" t="s">
        <v>61</v>
      </c>
      <c r="C135" s="73" t="s">
        <v>61</v>
      </c>
      <c r="D135" s="74" t="s">
        <v>61</v>
      </c>
      <c r="E135" s="75" t="s">
        <v>61</v>
      </c>
      <c r="F135" s="76" t="s">
        <v>61</v>
      </c>
      <c r="G135" s="77" t="s">
        <v>61</v>
      </c>
      <c r="H135" s="78" t="s">
        <v>61</v>
      </c>
      <c r="I135" s="77" t="s">
        <v>61</v>
      </c>
      <c r="J135" s="165" t="s">
        <v>61</v>
      </c>
      <c r="K135" s="166"/>
      <c r="L135" s="79" t="s">
        <v>61</v>
      </c>
      <c r="M135" s="80" t="s">
        <v>61</v>
      </c>
      <c r="N135" s="85"/>
      <c r="O135" s="70"/>
      <c r="P135" s="70"/>
    </row>
    <row r="136" spans="1:16" ht="20.25" customHeight="1">
      <c r="A136" s="71"/>
      <c r="B136" s="72" t="s">
        <v>61</v>
      </c>
      <c r="C136" s="73" t="s">
        <v>61</v>
      </c>
      <c r="D136" s="74" t="s">
        <v>61</v>
      </c>
      <c r="E136" s="75" t="s">
        <v>61</v>
      </c>
      <c r="F136" s="76" t="s">
        <v>61</v>
      </c>
      <c r="G136" s="77" t="s">
        <v>61</v>
      </c>
      <c r="H136" s="78" t="s">
        <v>61</v>
      </c>
      <c r="I136" s="77" t="s">
        <v>61</v>
      </c>
      <c r="J136" s="165" t="s">
        <v>61</v>
      </c>
      <c r="K136" s="166"/>
      <c r="L136" s="79" t="s">
        <v>61</v>
      </c>
      <c r="M136" s="80" t="s">
        <v>61</v>
      </c>
      <c r="N136" s="85"/>
      <c r="O136" s="70"/>
      <c r="P136" s="70"/>
    </row>
    <row r="137" spans="1:16" ht="20.25" customHeight="1">
      <c r="A137" s="71"/>
      <c r="B137" s="72" t="s">
        <v>61</v>
      </c>
      <c r="C137" s="73" t="s">
        <v>61</v>
      </c>
      <c r="D137" s="74" t="s">
        <v>61</v>
      </c>
      <c r="E137" s="75" t="s">
        <v>61</v>
      </c>
      <c r="F137" s="76" t="s">
        <v>61</v>
      </c>
      <c r="G137" s="77" t="s">
        <v>61</v>
      </c>
      <c r="H137" s="78" t="s">
        <v>61</v>
      </c>
      <c r="I137" s="77" t="s">
        <v>61</v>
      </c>
      <c r="J137" s="165" t="s">
        <v>61</v>
      </c>
      <c r="K137" s="166"/>
      <c r="L137" s="79" t="s">
        <v>61</v>
      </c>
      <c r="M137" s="80" t="s">
        <v>61</v>
      </c>
      <c r="N137" s="85"/>
      <c r="O137" s="70"/>
      <c r="P137" s="70"/>
    </row>
    <row r="138" spans="1:16" ht="20.25" customHeight="1">
      <c r="A138" s="71"/>
      <c r="B138" s="72" t="s">
        <v>61</v>
      </c>
      <c r="C138" s="73" t="s">
        <v>61</v>
      </c>
      <c r="D138" s="74" t="s">
        <v>61</v>
      </c>
      <c r="E138" s="75" t="s">
        <v>61</v>
      </c>
      <c r="F138" s="76" t="s">
        <v>61</v>
      </c>
      <c r="G138" s="77" t="s">
        <v>61</v>
      </c>
      <c r="H138" s="78" t="s">
        <v>61</v>
      </c>
      <c r="I138" s="77" t="s">
        <v>61</v>
      </c>
      <c r="J138" s="165" t="s">
        <v>61</v>
      </c>
      <c r="K138" s="166"/>
      <c r="L138" s="79" t="s">
        <v>61</v>
      </c>
      <c r="M138" s="80" t="s">
        <v>61</v>
      </c>
      <c r="N138" s="85"/>
      <c r="O138" s="70"/>
      <c r="P138" s="70"/>
    </row>
    <row r="139" spans="1:16" ht="20.25" customHeight="1">
      <c r="A139" s="71"/>
      <c r="B139" s="72" t="s">
        <v>61</v>
      </c>
      <c r="C139" s="73" t="s">
        <v>61</v>
      </c>
      <c r="D139" s="74" t="s">
        <v>61</v>
      </c>
      <c r="E139" s="75" t="s">
        <v>61</v>
      </c>
      <c r="F139" s="76" t="s">
        <v>61</v>
      </c>
      <c r="G139" s="77" t="s">
        <v>61</v>
      </c>
      <c r="H139" s="78" t="s">
        <v>61</v>
      </c>
      <c r="I139" s="77" t="s">
        <v>61</v>
      </c>
      <c r="J139" s="165" t="s">
        <v>61</v>
      </c>
      <c r="K139" s="166"/>
      <c r="L139" s="79" t="s">
        <v>61</v>
      </c>
      <c r="M139" s="80" t="s">
        <v>61</v>
      </c>
      <c r="N139" s="85"/>
      <c r="O139" s="70"/>
      <c r="P139" s="70"/>
    </row>
    <row r="140" spans="1:16" ht="20.25" customHeight="1">
      <c r="A140" s="71"/>
      <c r="B140" s="72" t="s">
        <v>61</v>
      </c>
      <c r="C140" s="73" t="s">
        <v>61</v>
      </c>
      <c r="D140" s="74" t="s">
        <v>61</v>
      </c>
      <c r="E140" s="75" t="s">
        <v>61</v>
      </c>
      <c r="F140" s="76" t="s">
        <v>61</v>
      </c>
      <c r="G140" s="77" t="s">
        <v>61</v>
      </c>
      <c r="H140" s="78" t="s">
        <v>61</v>
      </c>
      <c r="I140" s="77" t="s">
        <v>61</v>
      </c>
      <c r="J140" s="165" t="s">
        <v>61</v>
      </c>
      <c r="K140" s="166"/>
      <c r="L140" s="79" t="s">
        <v>61</v>
      </c>
      <c r="M140" s="80" t="s">
        <v>61</v>
      </c>
      <c r="N140" s="85"/>
      <c r="O140" s="70"/>
      <c r="P140" s="70"/>
    </row>
    <row r="141" spans="1:16" ht="18.75" customHeight="1">
      <c r="A141" s="71"/>
      <c r="B141" s="72" t="s">
        <v>61</v>
      </c>
      <c r="C141" s="73" t="s">
        <v>61</v>
      </c>
      <c r="D141" s="74" t="s">
        <v>61</v>
      </c>
      <c r="E141" s="75" t="s">
        <v>61</v>
      </c>
      <c r="F141" s="76" t="s">
        <v>61</v>
      </c>
      <c r="G141" s="77" t="s">
        <v>61</v>
      </c>
      <c r="H141" s="78" t="s">
        <v>61</v>
      </c>
      <c r="I141" s="77" t="s">
        <v>61</v>
      </c>
      <c r="J141" s="165" t="s">
        <v>61</v>
      </c>
      <c r="K141" s="166"/>
      <c r="L141" s="79" t="s">
        <v>61</v>
      </c>
      <c r="M141" s="80" t="s">
        <v>61</v>
      </c>
      <c r="N141" s="85"/>
      <c r="O141" s="70"/>
      <c r="P141" s="70"/>
    </row>
    <row r="142" spans="1:16" ht="18.75" customHeight="1">
      <c r="A142" s="71"/>
      <c r="B142" s="72" t="s">
        <v>61</v>
      </c>
      <c r="C142" s="73" t="s">
        <v>61</v>
      </c>
      <c r="D142" s="74" t="s">
        <v>61</v>
      </c>
      <c r="E142" s="75" t="s">
        <v>61</v>
      </c>
      <c r="F142" s="76" t="s">
        <v>61</v>
      </c>
      <c r="G142" s="77" t="s">
        <v>61</v>
      </c>
      <c r="H142" s="78" t="s">
        <v>61</v>
      </c>
      <c r="I142" s="77" t="s">
        <v>61</v>
      </c>
      <c r="J142" s="165" t="s">
        <v>61</v>
      </c>
      <c r="K142" s="166"/>
      <c r="L142" s="79" t="s">
        <v>61</v>
      </c>
      <c r="M142" s="80" t="s">
        <v>61</v>
      </c>
      <c r="N142" s="85"/>
      <c r="O142" s="70"/>
      <c r="P142" s="70"/>
    </row>
    <row r="143" spans="1:16" ht="18.75" customHeight="1">
      <c r="A143" s="71"/>
      <c r="B143" s="72" t="s">
        <v>61</v>
      </c>
      <c r="C143" s="73" t="s">
        <v>61</v>
      </c>
      <c r="D143" s="74" t="s">
        <v>61</v>
      </c>
      <c r="E143" s="75" t="s">
        <v>61</v>
      </c>
      <c r="F143" s="76" t="s">
        <v>61</v>
      </c>
      <c r="G143" s="77" t="s">
        <v>61</v>
      </c>
      <c r="H143" s="78" t="s">
        <v>61</v>
      </c>
      <c r="I143" s="77" t="s">
        <v>61</v>
      </c>
      <c r="J143" s="165" t="s">
        <v>61</v>
      </c>
      <c r="K143" s="166"/>
      <c r="L143" s="79" t="s">
        <v>61</v>
      </c>
      <c r="M143" s="80" t="s">
        <v>61</v>
      </c>
      <c r="N143" s="85"/>
      <c r="O143" s="70"/>
      <c r="P143" s="70"/>
    </row>
    <row r="144" spans="1:16" ht="18.75" customHeight="1">
      <c r="A144" s="71"/>
      <c r="B144" s="72" t="s">
        <v>61</v>
      </c>
      <c r="C144" s="73" t="s">
        <v>61</v>
      </c>
      <c r="D144" s="74" t="s">
        <v>61</v>
      </c>
      <c r="E144" s="75" t="s">
        <v>61</v>
      </c>
      <c r="F144" s="76" t="s">
        <v>61</v>
      </c>
      <c r="G144" s="77" t="s">
        <v>61</v>
      </c>
      <c r="H144" s="78" t="s">
        <v>61</v>
      </c>
      <c r="I144" s="77" t="s">
        <v>61</v>
      </c>
      <c r="J144" s="165" t="s">
        <v>61</v>
      </c>
      <c r="K144" s="166"/>
      <c r="L144" s="79" t="s">
        <v>61</v>
      </c>
      <c r="M144" s="80" t="s">
        <v>61</v>
      </c>
      <c r="N144" s="85"/>
      <c r="O144" s="70"/>
      <c r="P144" s="70"/>
    </row>
    <row r="145" spans="1:16" ht="18.75" customHeight="1">
      <c r="A145" s="71"/>
      <c r="B145" s="72" t="s">
        <v>61</v>
      </c>
      <c r="C145" s="73" t="s">
        <v>61</v>
      </c>
      <c r="D145" s="74" t="s">
        <v>61</v>
      </c>
      <c r="E145" s="75" t="s">
        <v>61</v>
      </c>
      <c r="F145" s="76" t="s">
        <v>61</v>
      </c>
      <c r="G145" s="77" t="s">
        <v>61</v>
      </c>
      <c r="H145" s="78" t="s">
        <v>61</v>
      </c>
      <c r="I145" s="77" t="s">
        <v>61</v>
      </c>
      <c r="J145" s="165" t="s">
        <v>61</v>
      </c>
      <c r="K145" s="166"/>
      <c r="L145" s="79" t="s">
        <v>61</v>
      </c>
      <c r="M145" s="80" t="s">
        <v>61</v>
      </c>
      <c r="N145" s="85"/>
      <c r="O145" s="70"/>
      <c r="P145" s="70"/>
    </row>
    <row r="146" spans="1:16" ht="18.75" customHeight="1">
      <c r="A146" s="71"/>
      <c r="B146" s="72" t="s">
        <v>61</v>
      </c>
      <c r="C146" s="73" t="s">
        <v>61</v>
      </c>
      <c r="D146" s="74" t="s">
        <v>61</v>
      </c>
      <c r="E146" s="75" t="s">
        <v>61</v>
      </c>
      <c r="F146" s="76" t="s">
        <v>61</v>
      </c>
      <c r="G146" s="77" t="s">
        <v>61</v>
      </c>
      <c r="H146" s="78" t="s">
        <v>61</v>
      </c>
      <c r="I146" s="77" t="s">
        <v>61</v>
      </c>
      <c r="J146" s="165" t="s">
        <v>61</v>
      </c>
      <c r="K146" s="166"/>
      <c r="L146" s="79" t="s">
        <v>61</v>
      </c>
      <c r="M146" s="80" t="s">
        <v>61</v>
      </c>
      <c r="N146" s="85"/>
      <c r="O146" s="70"/>
      <c r="P146" s="70"/>
    </row>
    <row r="147" spans="1:16" ht="18.75" customHeight="1">
      <c r="A147" s="71"/>
      <c r="B147" s="72" t="s">
        <v>61</v>
      </c>
      <c r="C147" s="73" t="s">
        <v>61</v>
      </c>
      <c r="D147" s="74" t="s">
        <v>61</v>
      </c>
      <c r="E147" s="75" t="s">
        <v>61</v>
      </c>
      <c r="F147" s="76" t="s">
        <v>61</v>
      </c>
      <c r="G147" s="77" t="s">
        <v>61</v>
      </c>
      <c r="H147" s="78" t="s">
        <v>61</v>
      </c>
      <c r="I147" s="77" t="s">
        <v>61</v>
      </c>
      <c r="J147" s="165" t="s">
        <v>61</v>
      </c>
      <c r="K147" s="166"/>
      <c r="L147" s="79" t="s">
        <v>61</v>
      </c>
      <c r="M147" s="80" t="s">
        <v>61</v>
      </c>
      <c r="N147" s="85"/>
      <c r="O147" s="70"/>
      <c r="P147" s="70"/>
    </row>
    <row r="148" spans="1:16" ht="18.75" customHeight="1">
      <c r="A148" s="71"/>
      <c r="B148" s="72" t="s">
        <v>61</v>
      </c>
      <c r="C148" s="73" t="s">
        <v>61</v>
      </c>
      <c r="D148" s="74" t="s">
        <v>61</v>
      </c>
      <c r="E148" s="75" t="s">
        <v>61</v>
      </c>
      <c r="F148" s="76" t="s">
        <v>61</v>
      </c>
      <c r="G148" s="77" t="s">
        <v>61</v>
      </c>
      <c r="H148" s="78" t="s">
        <v>61</v>
      </c>
      <c r="I148" s="77" t="s">
        <v>61</v>
      </c>
      <c r="J148" s="165" t="s">
        <v>61</v>
      </c>
      <c r="K148" s="166"/>
      <c r="L148" s="79" t="s">
        <v>61</v>
      </c>
      <c r="M148" s="80" t="s">
        <v>61</v>
      </c>
      <c r="N148" s="85"/>
      <c r="O148" s="70"/>
      <c r="P148" s="70"/>
    </row>
    <row r="149" spans="1:16" ht="18.75" customHeight="1">
      <c r="A149" s="71"/>
      <c r="B149" s="72" t="s">
        <v>61</v>
      </c>
      <c r="C149" s="73" t="s">
        <v>61</v>
      </c>
      <c r="D149" s="74" t="s">
        <v>61</v>
      </c>
      <c r="E149" s="75" t="s">
        <v>61</v>
      </c>
      <c r="F149" s="76" t="s">
        <v>61</v>
      </c>
      <c r="G149" s="77" t="s">
        <v>61</v>
      </c>
      <c r="H149" s="78" t="s">
        <v>61</v>
      </c>
      <c r="I149" s="77" t="s">
        <v>61</v>
      </c>
      <c r="J149" s="165" t="s">
        <v>61</v>
      </c>
      <c r="K149" s="166"/>
      <c r="L149" s="79" t="s">
        <v>61</v>
      </c>
      <c r="M149" s="80" t="s">
        <v>61</v>
      </c>
      <c r="N149" s="85"/>
      <c r="O149" s="70"/>
      <c r="P149" s="70"/>
    </row>
    <row r="150" spans="1:16" ht="18.75" customHeight="1">
      <c r="A150" s="71"/>
      <c r="B150" s="72" t="s">
        <v>61</v>
      </c>
      <c r="C150" s="73" t="s">
        <v>61</v>
      </c>
      <c r="D150" s="74" t="s">
        <v>61</v>
      </c>
      <c r="E150" s="75" t="s">
        <v>61</v>
      </c>
      <c r="F150" s="76" t="s">
        <v>61</v>
      </c>
      <c r="G150" s="77" t="s">
        <v>61</v>
      </c>
      <c r="H150" s="78" t="s">
        <v>61</v>
      </c>
      <c r="I150" s="77" t="s">
        <v>61</v>
      </c>
      <c r="J150" s="165" t="s">
        <v>61</v>
      </c>
      <c r="K150" s="166"/>
      <c r="L150" s="79" t="s">
        <v>61</v>
      </c>
      <c r="M150" s="80" t="s">
        <v>61</v>
      </c>
      <c r="N150" s="85"/>
      <c r="O150" s="70"/>
      <c r="P150" s="70"/>
    </row>
    <row r="151" spans="1:16" ht="18.75" customHeight="1">
      <c r="A151" s="71"/>
      <c r="B151" s="72" t="s">
        <v>61</v>
      </c>
      <c r="C151" s="73" t="s">
        <v>61</v>
      </c>
      <c r="D151" s="74" t="s">
        <v>61</v>
      </c>
      <c r="E151" s="75" t="s">
        <v>61</v>
      </c>
      <c r="F151" s="76" t="s">
        <v>61</v>
      </c>
      <c r="G151" s="77" t="s">
        <v>61</v>
      </c>
      <c r="H151" s="78" t="s">
        <v>61</v>
      </c>
      <c r="I151" s="77" t="s">
        <v>61</v>
      </c>
      <c r="J151" s="165" t="s">
        <v>61</v>
      </c>
      <c r="K151" s="166"/>
      <c r="L151" s="79" t="s">
        <v>61</v>
      </c>
      <c r="M151" s="80" t="s">
        <v>61</v>
      </c>
      <c r="N151" s="85"/>
      <c r="O151" s="70"/>
      <c r="P151" s="70"/>
    </row>
    <row r="152" spans="1:16" ht="18.75" customHeight="1">
      <c r="A152" s="71"/>
      <c r="B152" s="72" t="s">
        <v>61</v>
      </c>
      <c r="C152" s="73" t="s">
        <v>61</v>
      </c>
      <c r="D152" s="74" t="s">
        <v>61</v>
      </c>
      <c r="E152" s="75" t="s">
        <v>61</v>
      </c>
      <c r="F152" s="76" t="s">
        <v>61</v>
      </c>
      <c r="G152" s="77" t="s">
        <v>61</v>
      </c>
      <c r="H152" s="78" t="s">
        <v>61</v>
      </c>
      <c r="I152" s="77" t="s">
        <v>61</v>
      </c>
      <c r="J152" s="165" t="s">
        <v>61</v>
      </c>
      <c r="K152" s="166"/>
      <c r="L152" s="79" t="s">
        <v>61</v>
      </c>
      <c r="M152" s="80" t="s">
        <v>61</v>
      </c>
      <c r="N152" s="85"/>
      <c r="O152" s="70"/>
      <c r="P152" s="70"/>
    </row>
    <row r="153" spans="1:16" ht="18.75" customHeight="1">
      <c r="A153" s="71"/>
      <c r="B153" s="72" t="s">
        <v>61</v>
      </c>
      <c r="C153" s="73" t="s">
        <v>61</v>
      </c>
      <c r="D153" s="74" t="s">
        <v>61</v>
      </c>
      <c r="E153" s="75" t="s">
        <v>61</v>
      </c>
      <c r="F153" s="76" t="s">
        <v>61</v>
      </c>
      <c r="G153" s="77" t="s">
        <v>61</v>
      </c>
      <c r="H153" s="78" t="s">
        <v>61</v>
      </c>
      <c r="I153" s="77" t="s">
        <v>61</v>
      </c>
      <c r="J153" s="165" t="s">
        <v>61</v>
      </c>
      <c r="K153" s="166"/>
      <c r="L153" s="79" t="s">
        <v>61</v>
      </c>
      <c r="M153" s="80" t="s">
        <v>61</v>
      </c>
      <c r="N153" s="85"/>
      <c r="O153" s="70"/>
      <c r="P153" s="70"/>
    </row>
    <row r="154" spans="1:16" ht="20.399999999999999" collapsed="1">
      <c r="A154" s="88"/>
      <c r="B154" s="130" t="s">
        <v>61</v>
      </c>
      <c r="C154" s="86" t="s">
        <v>61</v>
      </c>
      <c r="D154" s="131" t="s">
        <v>61</v>
      </c>
      <c r="E154" s="89" t="s">
        <v>61</v>
      </c>
      <c r="F154" s="91" t="s">
        <v>61</v>
      </c>
      <c r="G154" s="92"/>
      <c r="H154" s="93" t="s">
        <v>61</v>
      </c>
      <c r="I154" s="92" t="s">
        <v>61</v>
      </c>
      <c r="J154" s="132" t="s">
        <v>61</v>
      </c>
      <c r="K154" s="133" t="s">
        <v>61</v>
      </c>
      <c r="L154" s="94" t="s">
        <v>61</v>
      </c>
      <c r="M154" s="95" t="s">
        <v>61</v>
      </c>
      <c r="N154" s="85"/>
      <c r="O154" s="70"/>
      <c r="P154" s="70"/>
    </row>
    <row r="155" spans="1:16" ht="22.8">
      <c r="A155" s="106"/>
      <c r="B155" s="134"/>
      <c r="C155" s="134"/>
      <c r="D155" s="8"/>
      <c r="E155" s="135"/>
      <c r="F155" s="136" t="s">
        <v>53</v>
      </c>
      <c r="G155" s="137">
        <v>2</v>
      </c>
      <c r="H155" s="137" t="s">
        <v>54</v>
      </c>
      <c r="I155" s="138"/>
      <c r="J155" s="139" t="s">
        <v>61</v>
      </c>
      <c r="K155" s="140" t="s">
        <v>55</v>
      </c>
      <c r="L155" s="141" t="s">
        <v>56</v>
      </c>
      <c r="M155" s="142">
        <f>SUM(M91:M154,M24:M73)</f>
        <v>311965</v>
      </c>
      <c r="N155" s="85"/>
      <c r="O155" s="70"/>
      <c r="P155" s="70"/>
    </row>
    <row r="156" spans="1:16" ht="22.8">
      <c r="A156" s="106"/>
      <c r="B156" s="134"/>
      <c r="C156" s="134"/>
      <c r="D156" s="134"/>
      <c r="E156" s="134"/>
      <c r="F156" s="134"/>
      <c r="G156" s="134"/>
      <c r="H156" s="134"/>
      <c r="I156" s="143"/>
      <c r="J156" s="139" t="s">
        <v>61</v>
      </c>
      <c r="K156" s="144" t="s">
        <v>55</v>
      </c>
      <c r="L156" s="145"/>
      <c r="M156" s="142" t="s">
        <v>61</v>
      </c>
      <c r="N156" s="85"/>
      <c r="O156" s="70"/>
      <c r="P156" s="70"/>
    </row>
    <row r="157" spans="1:16" ht="22.8">
      <c r="A157" s="134"/>
      <c r="B157" s="8"/>
      <c r="C157" s="134"/>
      <c r="D157" s="134"/>
      <c r="E157" s="134"/>
      <c r="F157" s="134"/>
      <c r="G157" s="134"/>
      <c r="H157" s="134"/>
      <c r="I157" s="146"/>
      <c r="J157" s="139" t="s">
        <v>61</v>
      </c>
      <c r="K157" s="140" t="s">
        <v>55</v>
      </c>
      <c r="L157" s="145"/>
      <c r="M157" s="147"/>
      <c r="N157" s="85"/>
      <c r="O157" s="70"/>
      <c r="P157" s="70"/>
    </row>
    <row r="158" spans="1:16" ht="22.8">
      <c r="A158" s="134"/>
      <c r="B158" s="8"/>
      <c r="C158" s="134"/>
      <c r="D158" s="134"/>
      <c r="E158" s="134"/>
      <c r="F158" s="134"/>
      <c r="G158" s="134"/>
      <c r="H158" s="134"/>
      <c r="I158" s="148"/>
      <c r="J158" s="139" t="s">
        <v>61</v>
      </c>
      <c r="K158" s="144" t="s">
        <v>55</v>
      </c>
      <c r="L158" s="145" t="s">
        <v>57</v>
      </c>
      <c r="M158" s="147">
        <f>SUM(M155:M157)</f>
        <v>311965</v>
      </c>
      <c r="N158" s="85"/>
      <c r="O158" s="70"/>
      <c r="P158" s="70"/>
    </row>
    <row r="159" spans="1:16" ht="20.399999999999999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50"/>
      <c r="M159" s="151"/>
      <c r="N159" s="85"/>
      <c r="O159" s="70"/>
      <c r="P159" s="70"/>
    </row>
    <row r="160" spans="1:16" ht="21">
      <c r="A160" s="152" t="s">
        <v>58</v>
      </c>
      <c r="B160" s="153"/>
      <c r="C160" s="154"/>
      <c r="D160" s="155"/>
      <c r="E160" s="156"/>
      <c r="F160" s="149"/>
      <c r="G160" s="149"/>
      <c r="H160" s="149"/>
      <c r="I160" s="9" t="s">
        <v>59</v>
      </c>
      <c r="J160" s="149"/>
      <c r="K160" s="149"/>
      <c r="L160" s="150"/>
      <c r="M160" s="151"/>
      <c r="N160" s="85"/>
      <c r="O160" s="70"/>
      <c r="P160" s="70"/>
    </row>
    <row r="161" spans="1:16" ht="22.8">
      <c r="A161" s="232" t="s">
        <v>174</v>
      </c>
      <c r="B161" s="168"/>
      <c r="C161" s="168"/>
      <c r="D161" s="168"/>
      <c r="E161" s="169"/>
      <c r="F161" s="107"/>
      <c r="G161" s="107"/>
      <c r="H161" s="107"/>
      <c r="I161" s="157"/>
      <c r="J161" s="158"/>
      <c r="K161" s="159"/>
      <c r="L161" s="160"/>
      <c r="M161" s="161"/>
      <c r="N161" s="85"/>
      <c r="O161" s="70"/>
      <c r="P161" s="70"/>
    </row>
    <row r="162" spans="1:16">
      <c r="A162" s="167"/>
      <c r="B162" s="168"/>
      <c r="C162" s="168"/>
      <c r="D162" s="168"/>
      <c r="E162" s="169"/>
      <c r="F162" s="107"/>
      <c r="G162" s="107"/>
      <c r="H162" s="107"/>
      <c r="I162" s="173" t="s">
        <v>60</v>
      </c>
      <c r="J162" s="173"/>
      <c r="K162" s="173"/>
      <c r="L162" s="173"/>
      <c r="M162" s="173"/>
      <c r="N162" s="85"/>
      <c r="O162" s="70"/>
      <c r="P162" s="70"/>
    </row>
    <row r="163" spans="1:16" ht="18.600000000000001" thickBot="1">
      <c r="A163" s="170"/>
      <c r="B163" s="171"/>
      <c r="C163" s="171"/>
      <c r="D163" s="171"/>
      <c r="E163" s="172"/>
      <c r="F163" s="107"/>
      <c r="G163" s="107"/>
      <c r="H163" s="107"/>
      <c r="I163" s="174"/>
      <c r="J163" s="174"/>
      <c r="K163" s="174"/>
      <c r="L163" s="174"/>
      <c r="M163" s="174"/>
      <c r="N163" s="85"/>
      <c r="O163" s="70"/>
      <c r="P163" s="70"/>
    </row>
    <row r="164" spans="1:16" ht="22.8">
      <c r="A164" s="162"/>
      <c r="B164" s="162"/>
      <c r="C164" s="162"/>
      <c r="D164" s="162"/>
      <c r="E164" s="162"/>
      <c r="F164" s="162"/>
      <c r="G164" s="162"/>
      <c r="H164" s="162"/>
      <c r="I164" s="163"/>
      <c r="J164" s="163"/>
      <c r="K164" s="163"/>
      <c r="L164" s="163"/>
      <c r="M164" s="163"/>
      <c r="N164" s="85"/>
      <c r="O164" s="70"/>
      <c r="P164" s="70"/>
    </row>
    <row r="165" spans="1:16"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85"/>
      <c r="P165" s="70"/>
    </row>
    <row r="166" spans="1:16"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85"/>
      <c r="P166" s="70"/>
    </row>
    <row r="167" spans="1:16"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85"/>
      <c r="P167" s="70"/>
    </row>
    <row r="168" spans="1:16"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85"/>
      <c r="P168" s="70"/>
    </row>
    <row r="169" spans="1:16"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85"/>
      <c r="P169" s="70"/>
    </row>
    <row r="170" spans="1:16"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85"/>
      <c r="P170" s="70"/>
    </row>
    <row r="171" spans="1:16"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85"/>
      <c r="P171" s="70"/>
    </row>
    <row r="172" spans="1:16"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6"/>
    </row>
    <row r="173" spans="1:16">
      <c r="O173" s="6"/>
    </row>
    <row r="174" spans="1:16">
      <c r="O174" s="6"/>
    </row>
    <row r="175" spans="1:16">
      <c r="O175" s="6"/>
    </row>
    <row r="176" spans="1:16">
      <c r="O176" s="6"/>
    </row>
    <row r="177" spans="15:15">
      <c r="O177" s="6"/>
    </row>
    <row r="178" spans="15:15">
      <c r="O178" s="6"/>
    </row>
  </sheetData>
  <mergeCells count="154">
    <mergeCell ref="D1:J1"/>
    <mergeCell ref="L2:M3"/>
    <mergeCell ref="L4:M5"/>
    <mergeCell ref="A7:A12"/>
    <mergeCell ref="A13:A15"/>
    <mergeCell ref="A16:B16"/>
    <mergeCell ref="C16:E16"/>
    <mergeCell ref="F16:J16"/>
    <mergeCell ref="K16:M19"/>
    <mergeCell ref="A17:B17"/>
    <mergeCell ref="C20:E20"/>
    <mergeCell ref="F20:K20"/>
    <mergeCell ref="F21:G21"/>
    <mergeCell ref="H21:I21"/>
    <mergeCell ref="J21:K21"/>
    <mergeCell ref="J23:K23"/>
    <mergeCell ref="C17:E17"/>
    <mergeCell ref="F17:J17"/>
    <mergeCell ref="A18:B18"/>
    <mergeCell ref="C18:E18"/>
    <mergeCell ref="F18:J18"/>
    <mergeCell ref="A19:B19"/>
    <mergeCell ref="C19:E19"/>
    <mergeCell ref="F19:J19"/>
    <mergeCell ref="J30:K30"/>
    <mergeCell ref="J31:K31"/>
    <mergeCell ref="J32:K32"/>
    <mergeCell ref="J33:K33"/>
    <mergeCell ref="J34:K34"/>
    <mergeCell ref="J35:K35"/>
    <mergeCell ref="J24:K24"/>
    <mergeCell ref="J25:K25"/>
    <mergeCell ref="J26:K26"/>
    <mergeCell ref="J27:K27"/>
    <mergeCell ref="J28:K28"/>
    <mergeCell ref="J29:K29"/>
    <mergeCell ref="J42:K42"/>
    <mergeCell ref="J43:K43"/>
    <mergeCell ref="J44:K44"/>
    <mergeCell ref="J45:K45"/>
    <mergeCell ref="J46:K46"/>
    <mergeCell ref="J47:K47"/>
    <mergeCell ref="J36:K36"/>
    <mergeCell ref="J37:K37"/>
    <mergeCell ref="J38:K38"/>
    <mergeCell ref="J39:K39"/>
    <mergeCell ref="J40:K40"/>
    <mergeCell ref="J41:K41"/>
    <mergeCell ref="J54:K54"/>
    <mergeCell ref="J55:K55"/>
    <mergeCell ref="J56:K56"/>
    <mergeCell ref="J57:K57"/>
    <mergeCell ref="J58:K58"/>
    <mergeCell ref="J59:K59"/>
    <mergeCell ref="J48:K48"/>
    <mergeCell ref="J49:K49"/>
    <mergeCell ref="J50:K50"/>
    <mergeCell ref="J51:K51"/>
    <mergeCell ref="J52:K52"/>
    <mergeCell ref="J53:K53"/>
    <mergeCell ref="J66:K66"/>
    <mergeCell ref="J67:K67"/>
    <mergeCell ref="J68:K68"/>
    <mergeCell ref="J69:K69"/>
    <mergeCell ref="J70:K70"/>
    <mergeCell ref="J71:K71"/>
    <mergeCell ref="J60:K60"/>
    <mergeCell ref="J61:K61"/>
    <mergeCell ref="J62:K62"/>
    <mergeCell ref="J63:K63"/>
    <mergeCell ref="J64:K64"/>
    <mergeCell ref="J65:K65"/>
    <mergeCell ref="J78:K78"/>
    <mergeCell ref="J79:K79"/>
    <mergeCell ref="J80:K80"/>
    <mergeCell ref="A82:M82"/>
    <mergeCell ref="E83:H83"/>
    <mergeCell ref="E84:H85"/>
    <mergeCell ref="J72:K72"/>
    <mergeCell ref="J73:K73"/>
    <mergeCell ref="J74:K74"/>
    <mergeCell ref="J75:K75"/>
    <mergeCell ref="J76:K76"/>
    <mergeCell ref="J77:K77"/>
    <mergeCell ref="J92:K92"/>
    <mergeCell ref="J93:K93"/>
    <mergeCell ref="J94:K94"/>
    <mergeCell ref="J95:K95"/>
    <mergeCell ref="J96:K96"/>
    <mergeCell ref="J97:K97"/>
    <mergeCell ref="C88:E88"/>
    <mergeCell ref="F88:K88"/>
    <mergeCell ref="F89:G89"/>
    <mergeCell ref="H89:I89"/>
    <mergeCell ref="J89:K89"/>
    <mergeCell ref="J91:K91"/>
    <mergeCell ref="J104:K104"/>
    <mergeCell ref="J105:K105"/>
    <mergeCell ref="J106:K106"/>
    <mergeCell ref="J107:K107"/>
    <mergeCell ref="J108:K108"/>
    <mergeCell ref="J109:K109"/>
    <mergeCell ref="J98:K98"/>
    <mergeCell ref="J99:K99"/>
    <mergeCell ref="J100:K100"/>
    <mergeCell ref="J101:K101"/>
    <mergeCell ref="J102:K102"/>
    <mergeCell ref="J103:K103"/>
    <mergeCell ref="J116:K116"/>
    <mergeCell ref="J117:K117"/>
    <mergeCell ref="J118:K118"/>
    <mergeCell ref="J119:K119"/>
    <mergeCell ref="J120:K120"/>
    <mergeCell ref="J121:K121"/>
    <mergeCell ref="J110:K110"/>
    <mergeCell ref="J111:K111"/>
    <mergeCell ref="J112:K112"/>
    <mergeCell ref="J113:K113"/>
    <mergeCell ref="J114:K114"/>
    <mergeCell ref="J115:K115"/>
    <mergeCell ref="J128:K128"/>
    <mergeCell ref="J129:K129"/>
    <mergeCell ref="J130:K130"/>
    <mergeCell ref="J131:K131"/>
    <mergeCell ref="J132:K132"/>
    <mergeCell ref="J133:K133"/>
    <mergeCell ref="J122:K122"/>
    <mergeCell ref="J123:K123"/>
    <mergeCell ref="J124:K124"/>
    <mergeCell ref="J125:K125"/>
    <mergeCell ref="J126:K126"/>
    <mergeCell ref="J127:K127"/>
    <mergeCell ref="J140:K140"/>
    <mergeCell ref="J141:K141"/>
    <mergeCell ref="J142:K142"/>
    <mergeCell ref="J143:K143"/>
    <mergeCell ref="J144:K144"/>
    <mergeCell ref="J145:K145"/>
    <mergeCell ref="J134:K134"/>
    <mergeCell ref="J135:K135"/>
    <mergeCell ref="J136:K136"/>
    <mergeCell ref="J137:K137"/>
    <mergeCell ref="J138:K138"/>
    <mergeCell ref="J139:K139"/>
    <mergeCell ref="J152:K152"/>
    <mergeCell ref="J153:K153"/>
    <mergeCell ref="A161:E163"/>
    <mergeCell ref="I162:M163"/>
    <mergeCell ref="J146:K146"/>
    <mergeCell ref="J147:K147"/>
    <mergeCell ref="J148:K148"/>
    <mergeCell ref="J149:K149"/>
    <mergeCell ref="J150:K150"/>
    <mergeCell ref="J151:K151"/>
  </mergeCells>
  <phoneticPr fontId="3"/>
  <conditionalFormatting sqref="C23:C81">
    <cfRule type="expression" dxfId="1" priority="2">
      <formula>#REF!="YES"</formula>
    </cfRule>
  </conditionalFormatting>
  <conditionalFormatting sqref="C91:C153">
    <cfRule type="expression" dxfId="0" priority="1">
      <formula>#REF!="YES"</formula>
    </cfRule>
  </conditionalFormatting>
  <dataValidations count="4">
    <dataValidation type="list" showInputMessage="1" showErrorMessage="1" sqref="K158" xr:uid="{D178676F-C3EC-4C14-B5B2-C447ADA8C905}">
      <formula1>"　,roll,m,bag,pcs.,set,sheet,BOX,KG,hank,pair,bobbin"</formula1>
    </dataValidation>
    <dataValidation type="list" showInputMessage="1" showErrorMessage="1" sqref="K157" xr:uid="{CCB72DEA-7610-4F17-9578-6E9E5D43564F}">
      <formula1>"　,roll,m,bag,pcs.,set,sheet,BOX,KG,hank, pair"</formula1>
    </dataValidation>
    <dataValidation type="list" showInputMessage="1" showErrorMessage="1" sqref="K156" xr:uid="{D7677010-3D21-47AE-80C4-EA2DF75A0C54}">
      <formula1>"　,roll,m,bag,pcs.,set,sheet,BOX,KG,hank,bobbin"</formula1>
    </dataValidation>
    <dataValidation type="list" showInputMessage="1" showErrorMessage="1" sqref="K155" xr:uid="{49882FDA-87D6-49D5-B58F-5545C29C2774}">
      <formula1>"　,roll,m,bag,pcs.,set,sheet,BOX,KG"</formula1>
    </dataValidation>
  </dataValidations>
  <hyperlinks>
    <hyperlink ref="B12" r:id="rId1" display="TEL:86-20-87304987" xr:uid="{7443CA3E-4FC6-4410-805E-A2322EFBB828}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46" fitToHeight="0" orientation="portrait" horizontalDpi="1200" verticalDpi="1200" r:id="rId2"/>
  <rowBreaks count="1" manualBreakCount="1">
    <brk id="81" max="11" man="1"/>
  </rowBreaks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2026-01-15T05:37:16Z</cp:lastPrinted>
  <dcterms:created xsi:type="dcterms:W3CDTF">2026-01-14T07:17:28Z</dcterms:created>
  <dcterms:modified xsi:type="dcterms:W3CDTF">2026-01-15T05:38:52Z</dcterms:modified>
</cp:coreProperties>
</file>