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amada\Box\共用\D-Order\Invoice\発注書自動保存\"/>
    </mc:Choice>
  </mc:AlternateContent>
  <xr:revisionPtr revIDLastSave="0" documentId="13_ncr:1_{623E3F63-E4C0-46AD-BC12-F5EF498DFCB2}" xr6:coauthVersionLast="47" xr6:coauthVersionMax="47" xr10:uidLastSave="{00000000-0000-0000-0000-000000000000}"/>
  <bookViews>
    <workbookView xWindow="-120" yWindow="-120" windowWidth="19440" windowHeight="14880" xr2:uid="{B390FB27-CCAB-49A1-A4AE-C96F506E5013}"/>
  </bookViews>
  <sheets>
    <sheet name="発注書" sheetId="1" r:id="rId1"/>
  </sheets>
  <externalReferences>
    <externalReference r:id="rId2"/>
    <externalReference r:id="rId3"/>
  </externalReferences>
  <definedNames>
    <definedName name="_List_Currency">[2]Master!$K$2:$K$5</definedName>
    <definedName name="_List_TradeCondition">[2]Master!$D$2:$D$5</definedName>
    <definedName name="_xlnm.Print_Area" localSheetId="0">発注書!$A$1:$L$32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" i="1" l="1"/>
  <c r="H12" i="1"/>
  <c r="H11" i="1"/>
  <c r="I12" i="1"/>
  <c r="I11" i="1"/>
  <c r="G12" i="1" l="1"/>
  <c r="G11" i="1"/>
</calcChain>
</file>

<file path=xl/sharedStrings.xml><?xml version="1.0" encoding="utf-8"?>
<sst xmlns="http://schemas.openxmlformats.org/spreadsheetml/2006/main" count="56" uniqueCount="45">
  <si>
    <t>高島リボン株式会社</t>
  </si>
  <si>
    <t>注文番号</t>
    <rPh sb="0" eb="4">
      <t>チュウモンバンゴウ</t>
    </rPh>
    <phoneticPr fontId="1"/>
  </si>
  <si>
    <t>注文日</t>
    <rPh sb="0" eb="3">
      <t>チュウモンビ</t>
    </rPh>
    <phoneticPr fontId="1"/>
  </si>
  <si>
    <t xml:space="preserve">御会社名: </t>
    <rPh sb="0" eb="4">
      <t>オカイシャメイ</t>
    </rPh>
    <phoneticPr fontId="1"/>
  </si>
  <si>
    <t>株式会社サンファッション</t>
    <rPh sb="0" eb="4">
      <t>カブシキガイシャ</t>
    </rPh>
    <phoneticPr fontId="1"/>
  </si>
  <si>
    <t xml:space="preserve">御住所: </t>
    <rPh sb="0" eb="3">
      <t>ゴジュウショ</t>
    </rPh>
    <phoneticPr fontId="1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</si>
  <si>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1"/>
  </si>
  <si>
    <t xml:space="preserve">Tel: </t>
    <phoneticPr fontId="1"/>
  </si>
  <si>
    <t>Tel: 06-6455-2850 (代)</t>
    <rPh sb="19" eb="20">
      <t>ダイ</t>
    </rPh>
    <phoneticPr fontId="1"/>
  </si>
  <si>
    <t>Fax: 06-6452-1641</t>
    <phoneticPr fontId="1"/>
  </si>
  <si>
    <t xml:space="preserve">部署: </t>
    <rPh sb="0" eb="2">
      <t>ブショ</t>
    </rPh>
    <phoneticPr fontId="1"/>
  </si>
  <si>
    <t>貿易部</t>
    <rPh sb="0" eb="3">
      <t>ボウエキブ</t>
    </rPh>
    <phoneticPr fontId="1"/>
  </si>
  <si>
    <t xml:space="preserve">ご担当様: </t>
    <rPh sb="1" eb="4">
      <t>タントウサマ</t>
    </rPh>
    <phoneticPr fontId="1"/>
  </si>
  <si>
    <t>No.</t>
  </si>
  <si>
    <t>サイズ</t>
  </si>
  <si>
    <t>合計金額</t>
    <rPh sb="0" eb="4">
      <t>ゴウケイキンガク</t>
    </rPh>
    <phoneticPr fontId="1"/>
  </si>
  <si>
    <t>メモ</t>
    <phoneticPr fontId="1"/>
  </si>
  <si>
    <t xml:space="preserve">〒916-0016 福井県鯖江市神中町2-6-36 </t>
  </si>
  <si>
    <t>0778-52-3800</t>
  </si>
  <si>
    <t/>
  </si>
  <si>
    <t>品番</t>
    <rPh sb="0" eb="2">
      <t>ヒンバン</t>
    </rPh>
    <phoneticPr fontId="1"/>
  </si>
  <si>
    <t>色番</t>
    <rPh sb="0" eb="1">
      <t>イロ</t>
    </rPh>
    <rPh sb="1" eb="2">
      <t>バン</t>
    </rPh>
    <phoneticPr fontId="1"/>
  </si>
  <si>
    <t>仕立</t>
    <rPh sb="0" eb="2">
      <t>シタテ</t>
    </rPh>
    <phoneticPr fontId="1"/>
  </si>
  <si>
    <t>反数</t>
    <rPh sb="0" eb="1">
      <t>ハン</t>
    </rPh>
    <rPh sb="1" eb="2">
      <t>スウ</t>
    </rPh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</si>
  <si>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</si>
  <si>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</si>
  <si>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</si>
  <si>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備考/御社品番</t>
    <rPh sb="0" eb="2">
      <t>ビコウ</t>
    </rPh>
    <rPh sb="3" eb="5">
      <t>オンシャ</t>
    </rPh>
    <rPh sb="5" eb="7">
      <t>ヒンバン</t>
    </rPh>
    <phoneticPr fontId="1"/>
  </si>
  <si>
    <t>在庫有無</t>
    <rPh sb="0" eb="4">
      <t>ザイコウム</t>
    </rPh>
    <phoneticPr fontId="1"/>
  </si>
  <si>
    <t>納期</t>
    <rPh sb="0" eb="2">
      <t>ノウキ</t>
    </rPh>
    <phoneticPr fontId="1"/>
  </si>
  <si>
    <t>9mm</t>
    <phoneticPr fontId="1"/>
  </si>
  <si>
    <t>#53</t>
    <phoneticPr fontId="1"/>
  </si>
  <si>
    <t>#70</t>
    <phoneticPr fontId="1"/>
  </si>
  <si>
    <t>濵田 (藤原分)</t>
    <rPh sb="0" eb="1">
      <t>ハマ</t>
    </rPh>
    <rPh sb="1" eb="2">
      <t>タ</t>
    </rPh>
    <rPh sb="4" eb="6">
      <t>フジワラ</t>
    </rPh>
    <rPh sb="6" eb="7">
      <t>フン</t>
    </rPh>
    <phoneticPr fontId="1"/>
  </si>
  <si>
    <t>(2200) 両面別珍</t>
    <phoneticPr fontId="1"/>
  </si>
  <si>
    <t>在庫有無、納期のご回答をお待ちいたしております。</t>
    <rPh sb="0" eb="4">
      <t>ザイコウム</t>
    </rPh>
    <rPh sb="5" eb="7">
      <t>ノウキ</t>
    </rPh>
    <rPh sb="9" eb="11">
      <t>カイトウ</t>
    </rPh>
    <rPh sb="13" eb="14">
      <t>マ</t>
    </rPh>
    <phoneticPr fontId="1"/>
  </si>
  <si>
    <t>注記(1)</t>
    <rPh sb="0" eb="2">
      <t>チュウキ</t>
    </rPh>
    <phoneticPr fontId="1"/>
  </si>
  <si>
    <t>注記(2)</t>
    <rPh sb="0" eb="2">
      <t>チュウキ</t>
    </rPh>
    <phoneticPr fontId="1"/>
  </si>
  <si>
    <t>発注書 (SELECTION)</t>
    <rPh sb="0" eb="2">
      <t>ハッチュウ</t>
    </rPh>
    <rPh sb="2" eb="3">
      <t>ショ</t>
    </rPh>
    <phoneticPr fontId="1"/>
  </si>
  <si>
    <t>〃</t>
    <phoneticPr fontId="1"/>
  </si>
  <si>
    <t>上記商品、1ロットにてご手配をお願いいたします。</t>
    <rPh sb="0" eb="4">
      <t>ジョウキショウヒン</t>
    </rPh>
    <rPh sb="12" eb="14">
      <t>テハイ</t>
    </rPh>
    <rPh sb="16" eb="17">
      <t>ネガイ</t>
    </rPh>
    <phoneticPr fontId="1"/>
  </si>
  <si>
    <t>注記(3)</t>
    <phoneticPr fontId="1"/>
  </si>
  <si>
    <t>もし可能でしたら、本日5/13出荷・5/14AM弊社着にてご手配をお願いいたします。</t>
    <rPh sb="2" eb="4">
      <t>カノウ</t>
    </rPh>
    <rPh sb="9" eb="11">
      <t>ホンジツ</t>
    </rPh>
    <rPh sb="15" eb="17">
      <t>シュッカ</t>
    </rPh>
    <rPh sb="24" eb="26">
      <t>ヘイシャ</t>
    </rPh>
    <rPh sb="26" eb="27">
      <t>チャク</t>
    </rPh>
    <rPh sb="30" eb="32">
      <t>テハイ</t>
    </rPh>
    <rPh sb="34" eb="35">
      <t>ネガイ</t>
    </rPh>
    <phoneticPr fontId="1"/>
  </si>
  <si>
    <t>本日出荷不可の場合、明日5/14出荷・5/15AM弊社着でお願いいたします。</t>
    <rPh sb="0" eb="2">
      <t>ホンジツ</t>
    </rPh>
    <rPh sb="2" eb="4">
      <t>シュッカ</t>
    </rPh>
    <rPh sb="4" eb="6">
      <t>フカ</t>
    </rPh>
    <rPh sb="7" eb="9">
      <t>バアイ</t>
    </rPh>
    <rPh sb="10" eb="12">
      <t>アス</t>
    </rPh>
    <rPh sb="16" eb="18">
      <t>シュッカ</t>
    </rPh>
    <rPh sb="25" eb="27">
      <t>ヘイシャ</t>
    </rPh>
    <rPh sb="27" eb="28">
      <t>チャク</t>
    </rPh>
    <rPh sb="30" eb="31">
      <t>ネガイ</t>
    </rPh>
    <phoneticPr fontId="1"/>
  </si>
  <si>
    <t>SHG-2024025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</si>
</sst>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8" formatCode="[$-F800]dddd\,\ mmmm\ dd\,\ yyyy"/>
    <numFmt numFmtId="179" formatCode="#,##0&quot;cm&quot;"/>
    <numFmt numFmtId="180" formatCode="General&quot; m&quot;"/>
    <numFmt numFmtId="181" formatCode="General&quot; rolls&quot;"/>
    <numFmt numFmtId="182" formatCode="#,##0&quot; m&quot;"/>
    <numFmt numFmtId="183" formatCode="#,##0&quot; rolls&quot;"/>
    <numFmt numFmtId="184" formatCode="[$¥-411]#,##0_);\([$¥-411]#,##0\)"/>
    <numFmt numFmtId="185" formatCode="#,##0\ &quot;cm&quot;"/>
    <numFmt numFmtId="186" formatCode="#,##0&quot;mm&quot;"/>
    <numFmt numFmtId="187" formatCode="#,##0&quot; set&quot;"/>
    <numFmt numFmtId="191" formatCode="[$¥-411]#,##0.0_);\([$¥-411]#,##0.0\)"/>
  </numFmts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2" borderId="4" xfId="0" applyFont="1" applyFill="1" applyBorder="1" applyAlignment="1">
      <alignment horizontal="center" vertical="center"/>
    </xf>
    <xf numFmtId="178" fontId="6" fillId="0" borderId="3" xfId="0" applyNumberFormat="1" applyFont="1" applyBorder="1" applyAlignment="1">
      <alignment horizontal="center" vertical="center"/>
    </xf>
    <xf numFmtId="0" fontId="0" fillId="0" borderId="0" xfId="0" applyFont="1" applyAlignment="1">
      <alignment horizontal="right" vertical="center"/>
    </xf>
    <xf numFmtId="178" fontId="0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shrinkToFit="1"/>
    </xf>
    <xf numFmtId="0" fontId="0" fillId="0" borderId="0" xfId="0" applyFont="1" applyAlignment="1">
      <alignment horizontal="left" vertical="center"/>
    </xf>
    <xf numFmtId="179" fontId="0" fillId="0" borderId="0" xfId="0" applyNumberFormat="1" applyFont="1">
      <alignment vertical="center"/>
    </xf>
    <xf numFmtId="180" fontId="0" fillId="0" borderId="0" xfId="0" applyNumberFormat="1" applyFont="1">
      <alignment vertical="center"/>
    </xf>
    <xf numFmtId="181" fontId="0" fillId="0" borderId="0" xfId="0" applyNumberFormat="1" applyFont="1">
      <alignment vertical="center"/>
    </xf>
    <xf numFmtId="182" fontId="0" fillId="0" borderId="0" xfId="0" applyNumberFormat="1" applyFont="1">
      <alignment vertical="center"/>
    </xf>
    <xf numFmtId="183" fontId="0" fillId="0" borderId="0" xfId="0" applyNumberFormat="1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9" fontId="4" fillId="2" borderId="6" xfId="0" applyNumberFormat="1" applyFont="1" applyFill="1" applyBorder="1" applyAlignment="1">
      <alignment horizontal="center" vertical="center"/>
    </xf>
    <xf numFmtId="182" fontId="4" fillId="2" borderId="6" xfId="0" applyNumberFormat="1" applyFont="1" applyFill="1" applyBorder="1" applyAlignment="1">
      <alignment horizontal="center" vertical="center"/>
    </xf>
    <xf numFmtId="183" fontId="4" fillId="2" borderId="6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left" vertical="center"/>
    </xf>
    <xf numFmtId="179" fontId="0" fillId="0" borderId="9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180" fontId="0" fillId="0" borderId="9" xfId="0" applyNumberFormat="1" applyFont="1" applyBorder="1" applyAlignment="1">
      <alignment horizontal="center" vertical="center"/>
    </xf>
    <xf numFmtId="181" fontId="0" fillId="0" borderId="9" xfId="0" applyNumberFormat="1" applyFont="1" applyBorder="1" applyAlignment="1">
      <alignment horizontal="center" vertical="center"/>
    </xf>
    <xf numFmtId="182" fontId="0" fillId="0" borderId="9" xfId="0" applyNumberFormat="1" applyFont="1" applyBorder="1" applyAlignment="1">
      <alignment horizontal="center" vertical="center"/>
    </xf>
    <xf numFmtId="184" fontId="0" fillId="0" borderId="9" xfId="0" applyNumberFormat="1" applyFont="1" applyBorder="1" applyAlignment="1">
      <alignment horizontal="center" vertical="center"/>
    </xf>
    <xf numFmtId="0" fontId="0" fillId="0" borderId="9" xfId="0" applyFont="1" applyBorder="1">
      <alignment vertical="center"/>
    </xf>
    <xf numFmtId="0" fontId="0" fillId="0" borderId="10" xfId="0" applyFont="1" applyBorder="1">
      <alignment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left" vertical="center"/>
    </xf>
    <xf numFmtId="179" fontId="0" fillId="0" borderId="12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182" fontId="0" fillId="0" borderId="12" xfId="0" applyNumberFormat="1" applyFont="1" applyBorder="1" applyAlignment="1">
      <alignment horizontal="center" vertical="center"/>
    </xf>
    <xf numFmtId="183" fontId="0" fillId="0" borderId="12" xfId="0" applyNumberFormat="1" applyFont="1" applyBorder="1" applyAlignment="1">
      <alignment horizontal="center" vertical="center"/>
    </xf>
    <xf numFmtId="184" fontId="0" fillId="0" borderId="12" xfId="0" applyNumberFormat="1" applyFont="1" applyBorder="1" applyAlignment="1">
      <alignment horizontal="center" vertical="center"/>
    </xf>
    <xf numFmtId="0" fontId="0" fillId="0" borderId="12" xfId="0" applyFont="1" applyBorder="1">
      <alignment vertical="center"/>
    </xf>
    <xf numFmtId="0" fontId="0" fillId="0" borderId="13" xfId="0" applyFont="1" applyBorder="1">
      <alignment vertical="center"/>
    </xf>
    <xf numFmtId="185" fontId="0" fillId="0" borderId="12" xfId="0" applyNumberFormat="1" applyFont="1" applyBorder="1" applyAlignment="1">
      <alignment horizontal="center" vertical="center"/>
    </xf>
    <xf numFmtId="186" fontId="0" fillId="0" borderId="12" xfId="0" applyNumberFormat="1" applyFont="1" applyBorder="1" applyAlignment="1">
      <alignment horizontal="center" vertical="center"/>
    </xf>
    <xf numFmtId="187" fontId="0" fillId="0" borderId="12" xfId="0" applyNumberFormat="1" applyFont="1" applyBorder="1" applyAlignment="1">
      <alignment horizontal="center" vertical="center"/>
    </xf>
    <xf numFmtId="180" fontId="0" fillId="0" borderId="12" xfId="0" applyNumberFormat="1" applyFont="1" applyBorder="1" applyAlignment="1">
      <alignment horizontal="center" vertical="center"/>
    </xf>
    <xf numFmtId="181" fontId="0" fillId="0" borderId="12" xfId="0" applyNumberFormat="1" applyFont="1" applyBorder="1" applyAlignment="1">
      <alignment horizontal="center" vertical="center"/>
    </xf>
    <xf numFmtId="0" fontId="0" fillId="0" borderId="14" xfId="0" applyFont="1" applyBorder="1" applyAlignment="1">
      <alignment horizontal="left" vertical="center"/>
    </xf>
    <xf numFmtId="0" fontId="0" fillId="0" borderId="14" xfId="0" applyFont="1" applyBorder="1" applyAlignment="1">
      <alignment horizontal="center" vertical="center"/>
    </xf>
    <xf numFmtId="184" fontId="0" fillId="0" borderId="14" xfId="0" applyNumberFormat="1" applyFont="1" applyBorder="1" applyAlignment="1">
      <alignment horizontal="center" vertical="center"/>
    </xf>
    <xf numFmtId="0" fontId="0" fillId="0" borderId="14" xfId="0" applyFont="1" applyBorder="1">
      <alignment vertical="center"/>
    </xf>
    <xf numFmtId="0" fontId="0" fillId="0" borderId="15" xfId="0" applyFont="1" applyBorder="1">
      <alignment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left" vertical="center"/>
    </xf>
    <xf numFmtId="0" fontId="0" fillId="0" borderId="17" xfId="0" applyFont="1" applyBorder="1" applyAlignment="1">
      <alignment horizontal="center" vertical="center"/>
    </xf>
    <xf numFmtId="184" fontId="0" fillId="0" borderId="17" xfId="0" applyNumberFormat="1" applyFont="1" applyBorder="1" applyAlignment="1">
      <alignment horizontal="center" vertical="center"/>
    </xf>
    <xf numFmtId="0" fontId="0" fillId="0" borderId="17" xfId="0" applyFont="1" applyBorder="1">
      <alignment vertical="center"/>
    </xf>
    <xf numFmtId="0" fontId="0" fillId="0" borderId="18" xfId="0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184" fontId="4" fillId="0" borderId="20" xfId="0" applyNumberFormat="1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22" xfId="0" applyFont="1" applyBorder="1" applyAlignment="1">
      <alignment horizontal="left" vertical="center" shrinkToFit="1"/>
    </xf>
    <xf numFmtId="0" fontId="0" fillId="0" borderId="23" xfId="0" applyFont="1" applyBorder="1" applyAlignment="1">
      <alignment horizontal="left" vertical="center" shrinkToFit="1"/>
    </xf>
    <xf numFmtId="0" fontId="0" fillId="0" borderId="24" xfId="0" applyFont="1" applyBorder="1" applyAlignment="1">
      <alignment horizontal="left" vertical="center" shrinkToFit="1"/>
    </xf>
    <xf numFmtId="0" fontId="0" fillId="0" borderId="25" xfId="0" applyFont="1" applyBorder="1" applyAlignment="1">
      <alignment horizontal="center" vertical="center"/>
    </xf>
    <xf numFmtId="0" fontId="0" fillId="0" borderId="23" xfId="0" applyFont="1" applyBorder="1">
      <alignment vertical="center"/>
    </xf>
    <xf numFmtId="0" fontId="0" fillId="0" borderId="24" xfId="0" applyFont="1" applyBorder="1">
      <alignment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left" vertical="center" shrinkToFit="1"/>
    </xf>
    <xf numFmtId="0" fontId="0" fillId="0" borderId="28" xfId="0" applyFont="1" applyBorder="1" applyAlignment="1">
      <alignment horizontal="left" vertical="center" shrinkToFit="1"/>
    </xf>
    <xf numFmtId="0" fontId="0" fillId="0" borderId="29" xfId="0" applyFont="1" applyBorder="1" applyAlignment="1">
      <alignment horizontal="left" vertical="center" shrinkToFit="1"/>
    </xf>
    <xf numFmtId="0" fontId="0" fillId="0" borderId="11" xfId="0" applyFont="1" applyBorder="1">
      <alignment vertical="center"/>
    </xf>
    <xf numFmtId="0" fontId="0" fillId="0" borderId="28" xfId="0" applyFont="1" applyBorder="1">
      <alignment vertical="center"/>
    </xf>
    <xf numFmtId="0" fontId="0" fillId="0" borderId="29" xfId="0" applyFont="1" applyBorder="1">
      <alignment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left" vertical="center" shrinkToFit="1"/>
    </xf>
    <xf numFmtId="0" fontId="0" fillId="0" borderId="32" xfId="0" applyFont="1" applyBorder="1" applyAlignment="1">
      <alignment horizontal="left" vertical="center" shrinkToFit="1"/>
    </xf>
    <xf numFmtId="0" fontId="0" fillId="0" borderId="33" xfId="0" applyFont="1" applyBorder="1" applyAlignment="1">
      <alignment horizontal="left" vertical="center" shrinkToFit="1"/>
    </xf>
    <xf numFmtId="0" fontId="0" fillId="0" borderId="16" xfId="0" applyFont="1" applyBorder="1">
      <alignment vertical="center"/>
    </xf>
    <xf numFmtId="0" fontId="0" fillId="0" borderId="32" xfId="0" applyFont="1" applyBorder="1">
      <alignment vertical="center"/>
    </xf>
    <xf numFmtId="0" fontId="0" fillId="0" borderId="33" xfId="0" applyFont="1" applyBorder="1">
      <alignment vertical="center"/>
    </xf>
    <xf numFmtId="191" fontId="0" fillId="0" borderId="9" xfId="0" applyNumberFormat="1" applyFont="1" applyBorder="1" applyAlignment="1">
      <alignment horizontal="center" vertical="center"/>
    </xf>
    <xf numFmtId="191" fontId="0" fillId="0" borderId="12" xfId="0" applyNumberFormat="1" applyFont="1" applyBorder="1" applyAlignment="1">
      <alignment horizontal="center"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.hamada\Box\&#20849;&#29992;\D-Order\Invoice\&#21315;&#33865;%20PT-Backorder%20.xlsm" TargetMode="External"/><Relationship Id="rId1" Type="http://schemas.openxmlformats.org/officeDocument/2006/relationships/externalLinkPath" Target="/Users/a.hamada/Box/&#20849;&#29992;/D-Order/Invoice/&#21315;&#33865;%20PT-Backorder%2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Y BackOrder"/>
      <sheetName val="取引先マスタ"/>
      <sheetName val="仕入先マスタ"/>
      <sheetName val="Invoice(SF米国)"/>
      <sheetName val="Invoice(SF大阪)"/>
      <sheetName val="発注書"/>
      <sheetName val="顧客連絡用シート"/>
      <sheetName val="Sheet2"/>
      <sheetName val="Invoice(Sample)"/>
    </sheetNames>
    <definedNames>
      <definedName name="DataCopy_発注書"/>
      <definedName name="改行設定発注書"/>
      <definedName name="発注書メモクリア"/>
      <definedName name="発注書注記クリア"/>
      <definedName name="発注書明細クリア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7A5F-F297-4F66-B805-E6D610052F77}">
  <sheetPr codeName="Sheet6">
    <tabColor rgb="FF00B050"/>
    <pageSetUpPr fitToPage="1"/>
  </sheetPr>
  <dimension ref="A1:N988"/>
  <sheetViews>
    <sheetView showGridLines="0" tabSelected="1" topLeftCell="C1" zoomScale="85" zoomScaleNormal="85" workbookViewId="0">
      <selection activeCell="L2" sqref="L2"/>
    </sheetView>
  </sheetViews>
  <sheetFormatPr defaultColWidth="9" defaultRowHeight="18.75" x14ac:dyDescent="0.15"/>
  <cols>
    <col min="1" max="1" width="12.5" style="1" customWidth="1"/>
    <col min="2" max="2" width="22.5" style="1" customWidth="1"/>
    <col min="3" max="3" width="12.5" style="1" customWidth="1"/>
    <col min="4" max="4" width="25" style="1" customWidth="1"/>
    <col min="5" max="9" width="12.5" style="1" customWidth="1"/>
    <col min="10" max="12" width="22.5" style="1" customWidth="1"/>
    <col min="13" max="16384" width="9" style="1"/>
  </cols>
  <sheetData>
    <row r="1" spans="1:14" ht="41.25" customHeight="1" x14ac:dyDescent="0.15">
      <c r="A1" s="2"/>
      <c r="B1" s="2"/>
      <c r="C1" s="2"/>
      <c r="D1" s="2"/>
      <c r="E1" s="3" t="s">
        <v>38</v>
      </c>
      <c r="F1" s="3"/>
      <c r="G1" s="3"/>
      <c r="H1" s="3"/>
      <c r="I1" s="3"/>
      <c r="J1" s="2"/>
      <c r="K1" s="4" t="s">
        <v>1</v>
      </c>
      <c r="L1" s="5">
        <v>633</v>
      </c>
      <c r="M1" s="2"/>
      <c r="N1" s="2"/>
    </row>
    <row r="2" spans="1:14" ht="18" customHeight="1" thickBot="1" x14ac:dyDescent="0.2">
      <c r="A2" s="2"/>
      <c r="B2" s="2"/>
      <c r="C2" s="2"/>
      <c r="D2" s="2"/>
      <c r="E2" s="2"/>
      <c r="F2" s="6"/>
      <c r="G2" s="6"/>
      <c r="H2" s="6"/>
      <c r="I2" s="2"/>
      <c r="J2" s="2"/>
      <c r="K2" s="7" t="s">
        <v>2</v>
      </c>
      <c r="L2" s="8">
        <v>45425</v>
      </c>
      <c r="M2" s="2"/>
      <c r="N2" s="2"/>
    </row>
    <row r="3" spans="1:14" ht="5.25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9"/>
      <c r="L3" s="10"/>
      <c r="M3" s="2"/>
      <c r="N3" s="2"/>
    </row>
    <row r="4" spans="1:14" x14ac:dyDescent="0.15">
      <c r="A4" s="9" t="s">
        <v>3</v>
      </c>
      <c r="B4" s="11" t="s">
        <v>0</v>
      </c>
      <c r="C4" s="2"/>
      <c r="D4" s="2"/>
      <c r="E4" s="2"/>
      <c r="F4" s="2"/>
      <c r="G4" s="2"/>
      <c r="H4" s="2"/>
      <c r="I4" s="2"/>
      <c r="J4" s="2"/>
      <c r="K4" s="12" t="s">
        <v>4</v>
      </c>
      <c r="L4" s="12"/>
      <c r="M4" s="2"/>
      <c r="N4" s="2"/>
    </row>
    <row r="5" spans="1:14" ht="18.95" customHeight="1" x14ac:dyDescent="0.15">
      <c r="A5" s="9" t="s">
        <v>5</v>
      </c>
      <c r="B5" s="2" t="s">
        <v>17</v>
      </c>
      <c r="C5" s="2"/>
      <c r="D5" s="2"/>
      <c r="E5" s="2"/>
      <c r="F5" s="2"/>
      <c r="G5" s="2"/>
      <c r="H5" s="2"/>
      <c r="I5" s="2"/>
      <c r="J5" s="2"/>
      <c r="K5" s="13" t="s">
        <v>6</v>
      </c>
      <c r="L5" s="13"/>
      <c r="M5" s="2"/>
      <c r="N5" s="2"/>
    </row>
    <row r="6" spans="1:14" ht="18.95" customHeight="1" x14ac:dyDescent="0.15">
      <c r="A6" s="9" t="s">
        <v>7</v>
      </c>
      <c r="B6" s="2" t="s">
        <v>18</v>
      </c>
      <c r="C6" s="2"/>
      <c r="D6" s="2"/>
      <c r="E6" s="2"/>
      <c r="F6" s="2"/>
      <c r="G6" s="2"/>
      <c r="H6" s="2"/>
      <c r="I6" s="2"/>
      <c r="J6" s="2"/>
      <c r="K6" s="14" t="s">
        <v>8</v>
      </c>
      <c r="L6" s="14" t="s">
        <v>9</v>
      </c>
      <c r="M6" s="2"/>
      <c r="N6" s="2"/>
    </row>
    <row r="7" spans="1:14" ht="18.95" customHeight="1" x14ac:dyDescent="0.15">
      <c r="A7" s="9" t="s">
        <v>10</v>
      </c>
      <c r="B7" s="2"/>
      <c r="C7" s="2"/>
      <c r="D7" s="2"/>
      <c r="E7" s="2"/>
      <c r="F7" s="2"/>
      <c r="G7" s="2"/>
      <c r="H7" s="2"/>
      <c r="I7" s="2"/>
      <c r="J7" s="2"/>
      <c r="K7" s="9" t="s">
        <v>10</v>
      </c>
      <c r="L7" s="14" t="s">
        <v>11</v>
      </c>
      <c r="M7" s="2"/>
      <c r="N7" s="2"/>
    </row>
    <row r="8" spans="1:14" ht="18.95" customHeight="1" x14ac:dyDescent="0.15">
      <c r="A8" s="9" t="s">
        <v>12</v>
      </c>
      <c r="B8" s="2"/>
      <c r="C8" s="15"/>
      <c r="D8" s="2"/>
      <c r="E8" s="16"/>
      <c r="F8" s="17"/>
      <c r="G8" s="16"/>
      <c r="H8" s="2"/>
      <c r="I8" s="2"/>
      <c r="J8" s="2"/>
      <c r="K8" s="9"/>
      <c r="L8" s="14" t="s">
        <v>33</v>
      </c>
      <c r="M8" s="2"/>
      <c r="N8" s="2"/>
    </row>
    <row r="9" spans="1:14" ht="5.25" customHeight="1" thickBot="1" x14ac:dyDescent="0.2">
      <c r="A9" s="2"/>
      <c r="B9" s="2"/>
      <c r="C9" s="15"/>
      <c r="D9" s="2"/>
      <c r="E9" s="18"/>
      <c r="F9" s="19"/>
      <c r="G9" s="18"/>
      <c r="H9" s="2"/>
      <c r="I9" s="2"/>
      <c r="J9" s="2"/>
      <c r="K9" s="2"/>
      <c r="L9" s="2"/>
      <c r="M9" s="2"/>
      <c r="N9" s="2"/>
    </row>
    <row r="10" spans="1:14" ht="24" customHeight="1" thickBot="1" x14ac:dyDescent="0.2">
      <c r="A10" s="20" t="s">
        <v>13</v>
      </c>
      <c r="B10" s="21" t="s">
        <v>20</v>
      </c>
      <c r="C10" s="22" t="s">
        <v>14</v>
      </c>
      <c r="D10" s="21" t="s">
        <v>21</v>
      </c>
      <c r="E10" s="23" t="s">
        <v>22</v>
      </c>
      <c r="F10" s="24" t="s">
        <v>23</v>
      </c>
      <c r="G10" s="23" t="s">
        <v>24</v>
      </c>
      <c r="H10" s="21" t="s">
        <v>25</v>
      </c>
      <c r="I10" s="21" t="s">
        <v>26</v>
      </c>
      <c r="J10" s="21" t="s">
        <v>27</v>
      </c>
      <c r="K10" s="21" t="s">
        <v>28</v>
      </c>
      <c r="L10" s="25" t="s">
        <v>29</v>
      </c>
      <c r="M10" s="2"/>
      <c r="N10" s="2"/>
    </row>
    <row r="11" spans="1:14" ht="24" customHeight="1" thickTop="1" x14ac:dyDescent="0.15">
      <c r="A11" s="26">
        <v>1</v>
      </c>
      <c r="B11" s="27">
        <v>11700</v>
      </c>
      <c r="C11" s="28" t="s">
        <v>30</v>
      </c>
      <c r="D11" s="29" t="s">
        <v>31</v>
      </c>
      <c r="E11" s="30">
        <v>10</v>
      </c>
      <c r="F11" s="31">
        <v>2</v>
      </c>
      <c r="G11" s="32">
        <f>E11*F11</f>
        <v>20</v>
      </c>
      <c r="H11" s="84">
        <f>883/10</f>
        <v>88.3</v>
      </c>
      <c r="I11" s="33">
        <f>883*2</f>
        <v>1766</v>
      </c>
      <c r="J11" s="34" t="s">
        <v>34</v>
      </c>
      <c r="K11" s="34"/>
      <c r="L11" s="35"/>
      <c r="M11" s="2"/>
      <c r="N11" s="2"/>
    </row>
    <row r="12" spans="1:14" ht="24" customHeight="1" x14ac:dyDescent="0.15">
      <c r="A12" s="36">
        <v>2</v>
      </c>
      <c r="B12" s="37">
        <v>11700</v>
      </c>
      <c r="C12" s="38" t="s">
        <v>30</v>
      </c>
      <c r="D12" s="39" t="s">
        <v>32</v>
      </c>
      <c r="E12" s="40">
        <v>10</v>
      </c>
      <c r="F12" s="41">
        <v>6</v>
      </c>
      <c r="G12" s="40">
        <f>E12*F12</f>
        <v>60</v>
      </c>
      <c r="H12" s="85">
        <f>883/10</f>
        <v>88.3</v>
      </c>
      <c r="I12" s="42">
        <f>883*6</f>
        <v>5298</v>
      </c>
      <c r="J12" s="34" t="s">
        <v>39</v>
      </c>
      <c r="K12" s="43"/>
      <c r="L12" s="44"/>
      <c r="M12" s="2"/>
      <c r="N12" s="2"/>
    </row>
    <row r="13" spans="1:14" ht="24" customHeight="1" x14ac:dyDescent="0.15">
      <c r="A13" s="36"/>
      <c r="B13" s="37"/>
      <c r="C13" s="45"/>
      <c r="D13" s="46"/>
      <c r="E13" s="40"/>
      <c r="F13" s="41"/>
      <c r="G13" s="40"/>
      <c r="H13" s="42"/>
      <c r="I13" s="42"/>
      <c r="J13" s="43"/>
      <c r="K13" s="43"/>
      <c r="L13" s="44"/>
      <c r="M13" s="2"/>
      <c r="N13" s="2"/>
    </row>
    <row r="14" spans="1:14" ht="24" customHeight="1" x14ac:dyDescent="0.15">
      <c r="A14" s="36"/>
      <c r="B14" s="37"/>
      <c r="C14" s="38"/>
      <c r="D14" s="39"/>
      <c r="E14" s="48"/>
      <c r="F14" s="49"/>
      <c r="G14" s="48"/>
      <c r="H14" s="42"/>
      <c r="I14" s="42"/>
      <c r="J14" s="43"/>
      <c r="K14" s="43"/>
      <c r="L14" s="44"/>
      <c r="M14" s="2"/>
      <c r="N14" s="2"/>
    </row>
    <row r="15" spans="1:14" ht="24" customHeight="1" x14ac:dyDescent="0.15">
      <c r="A15" s="36"/>
      <c r="B15" s="37"/>
      <c r="C15" s="38"/>
      <c r="D15" s="39"/>
      <c r="E15" s="40"/>
      <c r="F15" s="41"/>
      <c r="G15" s="40"/>
      <c r="H15" s="42"/>
      <c r="I15" s="42"/>
      <c r="J15" s="37"/>
      <c r="K15" s="43"/>
      <c r="L15" s="44"/>
      <c r="M15" s="2"/>
      <c r="N15" s="2"/>
    </row>
    <row r="16" spans="1:14" ht="24" customHeight="1" x14ac:dyDescent="0.15">
      <c r="A16" s="36"/>
      <c r="B16" s="37"/>
      <c r="C16" s="38"/>
      <c r="D16" s="39"/>
      <c r="E16" s="40"/>
      <c r="F16" s="41"/>
      <c r="G16" s="40"/>
      <c r="H16" s="42"/>
      <c r="I16" s="42"/>
      <c r="J16" s="37"/>
      <c r="K16" s="43"/>
      <c r="L16" s="44"/>
      <c r="M16" s="2"/>
      <c r="N16" s="2"/>
    </row>
    <row r="17" spans="1:14" ht="24" customHeight="1" x14ac:dyDescent="0.15">
      <c r="A17" s="36"/>
      <c r="B17" s="37"/>
      <c r="C17" s="38"/>
      <c r="D17" s="39"/>
      <c r="E17" s="48"/>
      <c r="F17" s="49"/>
      <c r="G17" s="48"/>
      <c r="H17" s="42"/>
      <c r="I17" s="42"/>
      <c r="J17" s="43"/>
      <c r="K17" s="43"/>
      <c r="L17" s="44"/>
      <c r="M17" s="2"/>
      <c r="N17" s="2"/>
    </row>
    <row r="18" spans="1:14" ht="24" customHeight="1" x14ac:dyDescent="0.15">
      <c r="A18" s="36" t="s">
        <v>19</v>
      </c>
      <c r="B18" s="37"/>
      <c r="C18" s="38"/>
      <c r="D18" s="39"/>
      <c r="E18" s="40"/>
      <c r="F18" s="41"/>
      <c r="G18" s="40"/>
      <c r="H18" s="42"/>
      <c r="I18" s="42"/>
      <c r="J18" s="43"/>
      <c r="K18" s="43"/>
      <c r="L18" s="44"/>
      <c r="M18" s="2"/>
      <c r="N18" s="2"/>
    </row>
    <row r="19" spans="1:14" ht="24" customHeight="1" x14ac:dyDescent="0.15">
      <c r="A19" s="36" t="s">
        <v>19</v>
      </c>
      <c r="B19" s="37"/>
      <c r="C19" s="38"/>
      <c r="D19" s="39"/>
      <c r="E19" s="40"/>
      <c r="F19" s="41"/>
      <c r="G19" s="40"/>
      <c r="H19" s="42"/>
      <c r="I19" s="42"/>
      <c r="J19" s="43"/>
      <c r="K19" s="43"/>
      <c r="L19" s="44"/>
      <c r="M19" s="2"/>
      <c r="N19" s="2"/>
    </row>
    <row r="20" spans="1:14" ht="24" customHeight="1" x14ac:dyDescent="0.15">
      <c r="A20" s="36" t="s">
        <v>19</v>
      </c>
      <c r="B20" s="37"/>
      <c r="C20" s="45"/>
      <c r="D20" s="39"/>
      <c r="E20" s="40"/>
      <c r="F20" s="41"/>
      <c r="G20" s="47"/>
      <c r="H20" s="42"/>
      <c r="I20" s="42"/>
      <c r="J20" s="43"/>
      <c r="K20" s="43"/>
      <c r="L20" s="44"/>
      <c r="M20" s="2"/>
      <c r="N20" s="2"/>
    </row>
    <row r="21" spans="1:14" ht="24" customHeight="1" x14ac:dyDescent="0.15">
      <c r="A21" s="36" t="s">
        <v>19</v>
      </c>
      <c r="B21" s="50"/>
      <c r="C21" s="51"/>
      <c r="D21" s="51"/>
      <c r="E21" s="51"/>
      <c r="F21" s="51"/>
      <c r="G21" s="51"/>
      <c r="H21" s="52"/>
      <c r="I21" s="52"/>
      <c r="J21" s="53"/>
      <c r="K21" s="53"/>
      <c r="L21" s="54"/>
      <c r="M21" s="2"/>
      <c r="N21" s="2"/>
    </row>
    <row r="22" spans="1:14" ht="24" customHeight="1" x14ac:dyDescent="0.15">
      <c r="A22" s="36" t="s">
        <v>19</v>
      </c>
      <c r="B22" s="50"/>
      <c r="C22" s="51"/>
      <c r="D22" s="51"/>
      <c r="E22" s="51"/>
      <c r="F22" s="51"/>
      <c r="G22" s="51"/>
      <c r="H22" s="52"/>
      <c r="I22" s="52"/>
      <c r="J22" s="53"/>
      <c r="K22" s="53"/>
      <c r="L22" s="54"/>
      <c r="M22" s="2"/>
      <c r="N22" s="2"/>
    </row>
    <row r="23" spans="1:14" ht="24" customHeight="1" x14ac:dyDescent="0.15">
      <c r="A23" s="36" t="s">
        <v>19</v>
      </c>
      <c r="B23" s="50"/>
      <c r="C23" s="51"/>
      <c r="D23" s="51"/>
      <c r="E23" s="51"/>
      <c r="F23" s="51"/>
      <c r="G23" s="51"/>
      <c r="H23" s="52"/>
      <c r="I23" s="52"/>
      <c r="J23" s="53"/>
      <c r="K23" s="53"/>
      <c r="L23" s="54"/>
      <c r="M23" s="2"/>
      <c r="N23" s="2"/>
    </row>
    <row r="24" spans="1:14" ht="24" customHeight="1" thickBot="1" x14ac:dyDescent="0.2">
      <c r="A24" s="55" t="s">
        <v>19</v>
      </c>
      <c r="B24" s="56"/>
      <c r="C24" s="57"/>
      <c r="D24" s="57"/>
      <c r="E24" s="57"/>
      <c r="F24" s="57"/>
      <c r="G24" s="57"/>
      <c r="H24" s="58"/>
      <c r="I24" s="58"/>
      <c r="J24" s="59"/>
      <c r="K24" s="59"/>
      <c r="L24" s="60"/>
      <c r="M24" s="2"/>
      <c r="N24" s="2"/>
    </row>
    <row r="25" spans="1:14" ht="24" customHeight="1" thickBot="1" x14ac:dyDescent="0.2">
      <c r="A25" s="2"/>
      <c r="B25" s="2"/>
      <c r="C25" s="2"/>
      <c r="D25" s="2"/>
      <c r="E25" s="2"/>
      <c r="F25" s="2"/>
      <c r="G25" s="2"/>
      <c r="H25" s="61" t="s">
        <v>15</v>
      </c>
      <c r="I25" s="62">
        <f>SUM(I11:I12)</f>
        <v>7064</v>
      </c>
      <c r="J25" s="2"/>
      <c r="K25" s="2"/>
      <c r="L25" s="2"/>
      <c r="M25" s="2"/>
      <c r="N25" s="2"/>
    </row>
    <row r="26" spans="1:14" ht="24" customHeight="1" thickBo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24" customHeight="1" x14ac:dyDescent="0.15">
      <c r="A27" s="63" t="s">
        <v>36</v>
      </c>
      <c r="B27" s="64" t="s">
        <v>40</v>
      </c>
      <c r="C27" s="65"/>
      <c r="D27" s="65"/>
      <c r="E27" s="66"/>
      <c r="F27" s="67" t="s">
        <v>16</v>
      </c>
      <c r="G27" s="68" t="s">
        <v>44</v>
      </c>
      <c r="H27" s="68"/>
      <c r="I27" s="68"/>
      <c r="J27" s="69"/>
      <c r="K27" s="2"/>
      <c r="L27" s="2"/>
      <c r="M27" s="2"/>
      <c r="N27" s="2"/>
    </row>
    <row r="28" spans="1:14" ht="24" customHeight="1" x14ac:dyDescent="0.15">
      <c r="A28" s="70" t="s">
        <v>37</v>
      </c>
      <c r="B28" s="71" t="s">
        <v>35</v>
      </c>
      <c r="C28" s="72"/>
      <c r="D28" s="72"/>
      <c r="E28" s="73"/>
      <c r="F28" s="74"/>
      <c r="G28" s="75"/>
      <c r="H28" s="75"/>
      <c r="I28" s="75"/>
      <c r="J28" s="76"/>
      <c r="K28" s="2"/>
      <c r="L28" s="2"/>
      <c r="M28" s="2"/>
      <c r="N28" s="2"/>
    </row>
    <row r="29" spans="1:14" ht="24" customHeight="1" x14ac:dyDescent="0.15">
      <c r="A29" s="70" t="s">
        <v>41</v>
      </c>
      <c r="B29" s="71" t="s">
        <v>42</v>
      </c>
      <c r="C29" s="72"/>
      <c r="D29" s="72"/>
      <c r="E29" s="73"/>
      <c r="F29" s="74"/>
      <c r="G29" s="75"/>
      <c r="H29" s="75"/>
      <c r="I29" s="75"/>
      <c r="J29" s="76"/>
      <c r="K29" s="2"/>
      <c r="L29" s="2"/>
      <c r="M29" s="2"/>
      <c r="N29" s="2"/>
    </row>
    <row r="30" spans="1:14" ht="24" customHeight="1" x14ac:dyDescent="0.15">
      <c r="A30" s="70" t="s">
        <v>19</v>
      </c>
      <c r="B30" s="71" t="s">
        <v>43</v>
      </c>
      <c r="C30" s="72"/>
      <c r="D30" s="72"/>
      <c r="E30" s="73"/>
      <c r="F30" s="74"/>
      <c r="G30" s="75"/>
      <c r="H30" s="75"/>
      <c r="I30" s="75"/>
      <c r="J30" s="76"/>
      <c r="K30" s="2"/>
      <c r="L30" s="2"/>
      <c r="M30" s="2"/>
      <c r="N30" s="2"/>
    </row>
    <row r="31" spans="1:14" ht="24" customHeight="1" thickBot="1" x14ac:dyDescent="0.2">
      <c r="A31" s="77" t="s">
        <v>19</v>
      </c>
      <c r="B31" s="78" t="s">
        <v>19</v>
      </c>
      <c r="C31" s="79"/>
      <c r="D31" s="79"/>
      <c r="E31" s="80"/>
      <c r="F31" s="81"/>
      <c r="G31" s="82"/>
      <c r="H31" s="82"/>
      <c r="I31" s="82"/>
      <c r="J31" s="83"/>
      <c r="K31" s="2"/>
      <c r="L31" s="2"/>
      <c r="M31" s="2"/>
      <c r="N31" s="2"/>
    </row>
    <row r="32" spans="1:14" ht="5.2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pans="1:14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pans="1:14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pans="1:14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pans="1:14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pans="1:14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spans="1:14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pans="1:14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pans="1:14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pans="1:14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pans="1:14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pans="1:14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pans="1:14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pans="1:14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pans="1:14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pans="1:14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spans="1:14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pans="1:14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pans="1:14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pans="1:14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pans="1:14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pans="1:14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pans="1:14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pans="1:14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spans="1:14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pans="1:14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pans="1:14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spans="1:14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pans="1:14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pans="1:14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pans="1:14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pans="1:14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pans="1:14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pans="1:14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pans="1:14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pans="1:14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spans="1:14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pans="1:14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spans="1:14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</sheetData>
  <mergeCells count="8">
    <mergeCell ref="B28:E28"/>
    <mergeCell ref="B29:E29"/>
    <mergeCell ref="B30:E30"/>
    <mergeCell ref="B31:E31"/>
    <mergeCell ref="E1:I1"/>
    <mergeCell ref="K4:L4"/>
    <mergeCell ref="K5:L5"/>
    <mergeCell ref="B27:E27"/>
  </mergeCells>
  <phoneticPr fontId="1"/>
  <conditionalFormatting sqref="A11:A24">
    <cfRule type="cellIs" dxfId="0" priority="1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発注書</vt:lpstr>
      <vt:lpstr>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2024-05-13T05:47:00Z</cp:lastPrinted>
  <dcterms:created xsi:type="dcterms:W3CDTF">2024-05-13T04:04:10Z</dcterms:created>
  <dcterms:modified xsi:type="dcterms:W3CDTF">2024-05-13T05:47:01Z</dcterms:modified>
</cp:coreProperties>
</file>